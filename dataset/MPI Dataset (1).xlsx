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sharmila/Documents/UG-PG Projects/Anna University/3-2025-2026/Medicinal Plant/Dataset/"/>
    </mc:Choice>
  </mc:AlternateContent>
  <xr:revisionPtr revIDLastSave="0" documentId="13_ncr:1_{5B45F1DD-5675-AA4A-B764-A0E07D5BD0BD}" xr6:coauthVersionLast="47" xr6:coauthVersionMax="47" xr10:uidLastSave="{00000000-0000-0000-0000-000000000000}"/>
  <bookViews>
    <workbookView xWindow="0" yWindow="740" windowWidth="29400" windowHeight="1692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02" i="2" l="1"/>
  <c r="AW201" i="2"/>
  <c r="AT201" i="2"/>
  <c r="AR201" i="2"/>
  <c r="AO201" i="2"/>
  <c r="AM201" i="2"/>
  <c r="AK201" i="2"/>
  <c r="AI201" i="2"/>
  <c r="AG201" i="2"/>
  <c r="AE201" i="2"/>
  <c r="AC201" i="2"/>
  <c r="AA201" i="2"/>
  <c r="Y201" i="2"/>
  <c r="W201" i="2"/>
  <c r="U201" i="2"/>
  <c r="S201" i="2"/>
  <c r="Q201" i="2"/>
  <c r="N201" i="2"/>
  <c r="L201" i="2"/>
  <c r="J201" i="2"/>
  <c r="H201" i="2"/>
  <c r="F201" i="2"/>
  <c r="D201" i="2"/>
  <c r="B201" i="2"/>
  <c r="AW200" i="2"/>
  <c r="AT200" i="2"/>
  <c r="AR200" i="2"/>
  <c r="AO200" i="2"/>
  <c r="AM200" i="2"/>
  <c r="AK200" i="2"/>
  <c r="AI200" i="2"/>
  <c r="AG200" i="2"/>
  <c r="AE200" i="2"/>
  <c r="AC200" i="2"/>
  <c r="AA200" i="2"/>
  <c r="Y200" i="2"/>
  <c r="W200" i="2"/>
  <c r="U200" i="2"/>
  <c r="S200" i="2"/>
  <c r="Q200" i="2"/>
  <c r="N200" i="2"/>
  <c r="L200" i="2"/>
  <c r="J200" i="2"/>
  <c r="H200" i="2"/>
  <c r="F200" i="2"/>
  <c r="D200" i="2"/>
  <c r="B200" i="2"/>
  <c r="AW199" i="2"/>
  <c r="AT199" i="2"/>
  <c r="AR199" i="2"/>
  <c r="AO199" i="2"/>
  <c r="AM199" i="2"/>
  <c r="AK199" i="2"/>
  <c r="AI199" i="2"/>
  <c r="AG199" i="2"/>
  <c r="AE199" i="2"/>
  <c r="AC199" i="2"/>
  <c r="AA199" i="2"/>
  <c r="Y199" i="2"/>
  <c r="W199" i="2"/>
  <c r="U199" i="2"/>
  <c r="S199" i="2"/>
  <c r="Q199" i="2"/>
  <c r="N199" i="2"/>
  <c r="L199" i="2"/>
  <c r="J199" i="2"/>
  <c r="H199" i="2"/>
  <c r="F199" i="2"/>
  <c r="D199" i="2"/>
  <c r="B199" i="2"/>
  <c r="AW198" i="2"/>
  <c r="AT198" i="2"/>
  <c r="AR198" i="2"/>
  <c r="AO198" i="2"/>
  <c r="AM198" i="2"/>
  <c r="AK198" i="2"/>
  <c r="AI198" i="2"/>
  <c r="AG198" i="2"/>
  <c r="AE198" i="2"/>
  <c r="AC198" i="2"/>
  <c r="AA198" i="2"/>
  <c r="Y198" i="2"/>
  <c r="W198" i="2"/>
  <c r="U198" i="2"/>
  <c r="S198" i="2"/>
  <c r="Q198" i="2"/>
  <c r="N198" i="2"/>
  <c r="L198" i="2"/>
  <c r="J198" i="2"/>
  <c r="H198" i="2"/>
  <c r="F198" i="2"/>
  <c r="D198" i="2"/>
  <c r="B198" i="2"/>
  <c r="AW197" i="2"/>
  <c r="AT197" i="2"/>
  <c r="AR197" i="2"/>
  <c r="AO197" i="2"/>
  <c r="AM197" i="2"/>
  <c r="AK197" i="2"/>
  <c r="AI197" i="2"/>
  <c r="AG197" i="2"/>
  <c r="AE197" i="2"/>
  <c r="AC197" i="2"/>
  <c r="AA197" i="2"/>
  <c r="Y197" i="2"/>
  <c r="W197" i="2"/>
  <c r="U197" i="2"/>
  <c r="S197" i="2"/>
  <c r="Q197" i="2"/>
  <c r="N197" i="2"/>
  <c r="L197" i="2"/>
  <c r="J197" i="2"/>
  <c r="H197" i="2"/>
  <c r="F197" i="2"/>
  <c r="D197" i="2"/>
  <c r="B197" i="2"/>
  <c r="AW196" i="2"/>
  <c r="AT196" i="2"/>
  <c r="AR196" i="2"/>
  <c r="AO196" i="2"/>
  <c r="AM196" i="2"/>
  <c r="AK196" i="2"/>
  <c r="AI196" i="2"/>
  <c r="AG196" i="2"/>
  <c r="AE196" i="2"/>
  <c r="AC196" i="2"/>
  <c r="AA196" i="2"/>
  <c r="Y196" i="2"/>
  <c r="W196" i="2"/>
  <c r="U196" i="2"/>
  <c r="S196" i="2"/>
  <c r="Q196" i="2"/>
  <c r="N196" i="2"/>
  <c r="L196" i="2"/>
  <c r="J196" i="2"/>
  <c r="H196" i="2"/>
  <c r="F196" i="2"/>
  <c r="D196" i="2"/>
  <c r="B196" i="2"/>
  <c r="AW195" i="2"/>
  <c r="AT195" i="2"/>
  <c r="AR195" i="2"/>
  <c r="AO195" i="2"/>
  <c r="AM195" i="2"/>
  <c r="AK195" i="2"/>
  <c r="AI195" i="2"/>
  <c r="AG195" i="2"/>
  <c r="AE195" i="2"/>
  <c r="AC195" i="2"/>
  <c r="AA195" i="2"/>
  <c r="Y195" i="2"/>
  <c r="W195" i="2"/>
  <c r="U195" i="2"/>
  <c r="S195" i="2"/>
  <c r="Q195" i="2"/>
  <c r="N195" i="2"/>
  <c r="L195" i="2"/>
  <c r="J195" i="2"/>
  <c r="H195" i="2"/>
  <c r="F195" i="2"/>
  <c r="D195" i="2"/>
  <c r="B195" i="2"/>
  <c r="AW194" i="2"/>
  <c r="AT194" i="2"/>
  <c r="AR194" i="2"/>
  <c r="AO194" i="2"/>
  <c r="AM194" i="2"/>
  <c r="AK194" i="2"/>
  <c r="AI194" i="2"/>
  <c r="AG194" i="2"/>
  <c r="AE194" i="2"/>
  <c r="AC194" i="2"/>
  <c r="AA194" i="2"/>
  <c r="Y194" i="2"/>
  <c r="W194" i="2"/>
  <c r="U194" i="2"/>
  <c r="S194" i="2"/>
  <c r="Q194" i="2"/>
  <c r="N194" i="2"/>
  <c r="L194" i="2"/>
  <c r="J194" i="2"/>
  <c r="H194" i="2"/>
  <c r="F194" i="2"/>
  <c r="D194" i="2"/>
  <c r="B194" i="2"/>
  <c r="AW193" i="2"/>
  <c r="AT193" i="2"/>
  <c r="AR193" i="2"/>
  <c r="AO193" i="2"/>
  <c r="AM193" i="2"/>
  <c r="AK193" i="2"/>
  <c r="AI193" i="2"/>
  <c r="AG193" i="2"/>
  <c r="AE193" i="2"/>
  <c r="AC193" i="2"/>
  <c r="AA193" i="2"/>
  <c r="Y193" i="2"/>
  <c r="W193" i="2"/>
  <c r="U193" i="2"/>
  <c r="S193" i="2"/>
  <c r="Q193" i="2"/>
  <c r="N193" i="2"/>
  <c r="L193" i="2"/>
  <c r="J193" i="2"/>
  <c r="H193" i="2"/>
  <c r="F193" i="2"/>
  <c r="D193" i="2"/>
  <c r="B193" i="2"/>
  <c r="AW192" i="2"/>
  <c r="AT192" i="2"/>
  <c r="AR192" i="2"/>
  <c r="AO192" i="2"/>
  <c r="AM192" i="2"/>
  <c r="AK192" i="2"/>
  <c r="AI192" i="2"/>
  <c r="AG192" i="2"/>
  <c r="AE192" i="2"/>
  <c r="AC192" i="2"/>
  <c r="AA192" i="2"/>
  <c r="Y192" i="2"/>
  <c r="W192" i="2"/>
  <c r="U192" i="2"/>
  <c r="S192" i="2"/>
  <c r="Q192" i="2"/>
  <c r="N192" i="2"/>
  <c r="L192" i="2"/>
  <c r="J192" i="2"/>
  <c r="H192" i="2"/>
  <c r="F192" i="2"/>
  <c r="D192" i="2"/>
  <c r="B192" i="2"/>
  <c r="AW191" i="2"/>
  <c r="AT191" i="2"/>
  <c r="AR191" i="2"/>
  <c r="AO191" i="2"/>
  <c r="AM191" i="2"/>
  <c r="AK191" i="2"/>
  <c r="AI191" i="2"/>
  <c r="AG191" i="2"/>
  <c r="AE191" i="2"/>
  <c r="AC191" i="2"/>
  <c r="AA191" i="2"/>
  <c r="Y191" i="2"/>
  <c r="W191" i="2"/>
  <c r="U191" i="2"/>
  <c r="S191" i="2"/>
  <c r="Q191" i="2"/>
  <c r="N191" i="2"/>
  <c r="L191" i="2"/>
  <c r="J191" i="2"/>
  <c r="H191" i="2"/>
  <c r="F191" i="2"/>
  <c r="D191" i="2"/>
  <c r="B191" i="2"/>
  <c r="AW190" i="2"/>
  <c r="AT190" i="2"/>
  <c r="AR190" i="2"/>
  <c r="AO190" i="2"/>
  <c r="AM190" i="2"/>
  <c r="AK190" i="2"/>
  <c r="AI190" i="2"/>
  <c r="AG190" i="2"/>
  <c r="AE190" i="2"/>
  <c r="AC190" i="2"/>
  <c r="AA190" i="2"/>
  <c r="Y190" i="2"/>
  <c r="W190" i="2"/>
  <c r="U190" i="2"/>
  <c r="S190" i="2"/>
  <c r="Q190" i="2"/>
  <c r="N190" i="2"/>
  <c r="L190" i="2"/>
  <c r="J190" i="2"/>
  <c r="H190" i="2"/>
  <c r="F190" i="2"/>
  <c r="D190" i="2"/>
  <c r="B190" i="2"/>
  <c r="AW189" i="2"/>
  <c r="AT189" i="2"/>
  <c r="AR189" i="2"/>
  <c r="AO189" i="2"/>
  <c r="AM189" i="2"/>
  <c r="AK189" i="2"/>
  <c r="AI189" i="2"/>
  <c r="AG189" i="2"/>
  <c r="AE189" i="2"/>
  <c r="AC189" i="2"/>
  <c r="AA189" i="2"/>
  <c r="Y189" i="2"/>
  <c r="W189" i="2"/>
  <c r="U189" i="2"/>
  <c r="S189" i="2"/>
  <c r="Q189" i="2"/>
  <c r="N189" i="2"/>
  <c r="L189" i="2"/>
  <c r="J189" i="2"/>
  <c r="H189" i="2"/>
  <c r="F189" i="2"/>
  <c r="D189" i="2"/>
  <c r="B189" i="2"/>
  <c r="AW188" i="2"/>
  <c r="AT188" i="2"/>
  <c r="AR188" i="2"/>
  <c r="AO188" i="2"/>
  <c r="AM188" i="2"/>
  <c r="AK188" i="2"/>
  <c r="AI188" i="2"/>
  <c r="AG188" i="2"/>
  <c r="AE188" i="2"/>
  <c r="AC188" i="2"/>
  <c r="AA188" i="2"/>
  <c r="Y188" i="2"/>
  <c r="W188" i="2"/>
  <c r="U188" i="2"/>
  <c r="S188" i="2"/>
  <c r="Q188" i="2"/>
  <c r="N188" i="2"/>
  <c r="L188" i="2"/>
  <c r="J188" i="2"/>
  <c r="H188" i="2"/>
  <c r="F188" i="2"/>
  <c r="D188" i="2"/>
  <c r="B188" i="2"/>
  <c r="AW187" i="2"/>
  <c r="AT187" i="2"/>
  <c r="AR187" i="2"/>
  <c r="AO187" i="2"/>
  <c r="AM187" i="2"/>
  <c r="AK187" i="2"/>
  <c r="AI187" i="2"/>
  <c r="AG187" i="2"/>
  <c r="AE187" i="2"/>
  <c r="AC187" i="2"/>
  <c r="AA187" i="2"/>
  <c r="Y187" i="2"/>
  <c r="W187" i="2"/>
  <c r="U187" i="2"/>
  <c r="S187" i="2"/>
  <c r="Q187" i="2"/>
  <c r="N187" i="2"/>
  <c r="L187" i="2"/>
  <c r="J187" i="2"/>
  <c r="H187" i="2"/>
  <c r="F187" i="2"/>
  <c r="D187" i="2"/>
  <c r="B187" i="2"/>
  <c r="AW186" i="2"/>
  <c r="AT186" i="2"/>
  <c r="AR186" i="2"/>
  <c r="AO186" i="2"/>
  <c r="AM186" i="2"/>
  <c r="AK186" i="2"/>
  <c r="AI186" i="2"/>
  <c r="AG186" i="2"/>
  <c r="AE186" i="2"/>
  <c r="AC186" i="2"/>
  <c r="AA186" i="2"/>
  <c r="Y186" i="2"/>
  <c r="W186" i="2"/>
  <c r="U186" i="2"/>
  <c r="S186" i="2"/>
  <c r="Q186" i="2"/>
  <c r="N186" i="2"/>
  <c r="L186" i="2"/>
  <c r="J186" i="2"/>
  <c r="H186" i="2"/>
  <c r="F186" i="2"/>
  <c r="D186" i="2"/>
  <c r="B186" i="2"/>
  <c r="AW185" i="2"/>
  <c r="AT185" i="2"/>
  <c r="AR185" i="2"/>
  <c r="AO185" i="2"/>
  <c r="AM185" i="2"/>
  <c r="AK185" i="2"/>
  <c r="AI185" i="2"/>
  <c r="AG185" i="2"/>
  <c r="AE185" i="2"/>
  <c r="AC185" i="2"/>
  <c r="AA185" i="2"/>
  <c r="Y185" i="2"/>
  <c r="W185" i="2"/>
  <c r="U185" i="2"/>
  <c r="S185" i="2"/>
  <c r="Q185" i="2"/>
  <c r="N185" i="2"/>
  <c r="L185" i="2"/>
  <c r="J185" i="2"/>
  <c r="H185" i="2"/>
  <c r="F185" i="2"/>
  <c r="D185" i="2"/>
  <c r="B185" i="2"/>
  <c r="AW184" i="2"/>
  <c r="AT184" i="2"/>
  <c r="AR184" i="2"/>
  <c r="AO184" i="2"/>
  <c r="AM184" i="2"/>
  <c r="AK184" i="2"/>
  <c r="AI184" i="2"/>
  <c r="AG184" i="2"/>
  <c r="AE184" i="2"/>
  <c r="AC184" i="2"/>
  <c r="AA184" i="2"/>
  <c r="Y184" i="2"/>
  <c r="W184" i="2"/>
  <c r="U184" i="2"/>
  <c r="S184" i="2"/>
  <c r="Q184" i="2"/>
  <c r="N184" i="2"/>
  <c r="L184" i="2"/>
  <c r="J184" i="2"/>
  <c r="H184" i="2"/>
  <c r="F184" i="2"/>
  <c r="D184" i="2"/>
  <c r="B184" i="2"/>
  <c r="AW183" i="2"/>
  <c r="AT183" i="2"/>
  <c r="AR183" i="2"/>
  <c r="AO183" i="2"/>
  <c r="AM183" i="2"/>
  <c r="AK183" i="2"/>
  <c r="AI183" i="2"/>
  <c r="AG183" i="2"/>
  <c r="AE183" i="2"/>
  <c r="AC183" i="2"/>
  <c r="AA183" i="2"/>
  <c r="Y183" i="2"/>
  <c r="W183" i="2"/>
  <c r="U183" i="2"/>
  <c r="S183" i="2"/>
  <c r="Q183" i="2"/>
  <c r="N183" i="2"/>
  <c r="L183" i="2"/>
  <c r="J183" i="2"/>
  <c r="H183" i="2"/>
  <c r="F183" i="2"/>
  <c r="D183" i="2"/>
  <c r="B183" i="2"/>
  <c r="AW182" i="2"/>
  <c r="AT182" i="2"/>
  <c r="AR182" i="2"/>
  <c r="AO182" i="2"/>
  <c r="AM182" i="2"/>
  <c r="AK182" i="2"/>
  <c r="AI182" i="2"/>
  <c r="AG182" i="2"/>
  <c r="AE182" i="2"/>
  <c r="AC182" i="2"/>
  <c r="AA182" i="2"/>
  <c r="Y182" i="2"/>
  <c r="W182" i="2"/>
  <c r="U182" i="2"/>
  <c r="S182" i="2"/>
  <c r="Q182" i="2"/>
  <c r="N182" i="2"/>
  <c r="L182" i="2"/>
  <c r="J182" i="2"/>
  <c r="H182" i="2"/>
  <c r="F182" i="2"/>
  <c r="D182" i="2"/>
  <c r="B182" i="2"/>
  <c r="AW181" i="2"/>
  <c r="AT181" i="2"/>
  <c r="AR181" i="2"/>
  <c r="AO181" i="2"/>
  <c r="AM181" i="2"/>
  <c r="AK181" i="2"/>
  <c r="AI181" i="2"/>
  <c r="AG181" i="2"/>
  <c r="AE181" i="2"/>
  <c r="AC181" i="2"/>
  <c r="AA181" i="2"/>
  <c r="Y181" i="2"/>
  <c r="W181" i="2"/>
  <c r="U181" i="2"/>
  <c r="S181" i="2"/>
  <c r="Q181" i="2"/>
  <c r="N181" i="2"/>
  <c r="L181" i="2"/>
  <c r="J181" i="2"/>
  <c r="H181" i="2"/>
  <c r="F181" i="2"/>
  <c r="D181" i="2"/>
  <c r="B181" i="2"/>
  <c r="AW180" i="2"/>
  <c r="AT180" i="2"/>
  <c r="AR180" i="2"/>
  <c r="AO180" i="2"/>
  <c r="AM180" i="2"/>
  <c r="AK180" i="2"/>
  <c r="AI180" i="2"/>
  <c r="AG180" i="2"/>
  <c r="AE180" i="2"/>
  <c r="AC180" i="2"/>
  <c r="AA180" i="2"/>
  <c r="Y180" i="2"/>
  <c r="W180" i="2"/>
  <c r="U180" i="2"/>
  <c r="S180" i="2"/>
  <c r="Q180" i="2"/>
  <c r="N180" i="2"/>
  <c r="L180" i="2"/>
  <c r="J180" i="2"/>
  <c r="H180" i="2"/>
  <c r="F180" i="2"/>
  <c r="D180" i="2"/>
  <c r="B180" i="2"/>
  <c r="AW179" i="2"/>
  <c r="AT179" i="2"/>
  <c r="AR179" i="2"/>
  <c r="AO179" i="2"/>
  <c r="AM179" i="2"/>
  <c r="AK179" i="2"/>
  <c r="AI179" i="2"/>
  <c r="AG179" i="2"/>
  <c r="AE179" i="2"/>
  <c r="AC179" i="2"/>
  <c r="AA179" i="2"/>
  <c r="Y179" i="2"/>
  <c r="W179" i="2"/>
  <c r="U179" i="2"/>
  <c r="S179" i="2"/>
  <c r="Q179" i="2"/>
  <c r="N179" i="2"/>
  <c r="L179" i="2"/>
  <c r="J179" i="2"/>
  <c r="H179" i="2"/>
  <c r="F179" i="2"/>
  <c r="D179" i="2"/>
  <c r="B179" i="2"/>
  <c r="AW178" i="2"/>
  <c r="AT178" i="2"/>
  <c r="AR178" i="2"/>
  <c r="AO178" i="2"/>
  <c r="AM178" i="2"/>
  <c r="AK178" i="2"/>
  <c r="AI178" i="2"/>
  <c r="AG178" i="2"/>
  <c r="AE178" i="2"/>
  <c r="AC178" i="2"/>
  <c r="AA178" i="2"/>
  <c r="Y178" i="2"/>
  <c r="W178" i="2"/>
  <c r="U178" i="2"/>
  <c r="S178" i="2"/>
  <c r="Q178" i="2"/>
  <c r="N178" i="2"/>
  <c r="L178" i="2"/>
  <c r="J178" i="2"/>
  <c r="H178" i="2"/>
  <c r="F178" i="2"/>
  <c r="D178" i="2"/>
  <c r="B178" i="2"/>
  <c r="AW177" i="2"/>
  <c r="AT177" i="2"/>
  <c r="AR177" i="2"/>
  <c r="AO177" i="2"/>
  <c r="AM177" i="2"/>
  <c r="AK177" i="2"/>
  <c r="AI177" i="2"/>
  <c r="AG177" i="2"/>
  <c r="AE177" i="2"/>
  <c r="AC177" i="2"/>
  <c r="AA177" i="2"/>
  <c r="Y177" i="2"/>
  <c r="W177" i="2"/>
  <c r="U177" i="2"/>
  <c r="S177" i="2"/>
  <c r="Q177" i="2"/>
  <c r="N177" i="2"/>
  <c r="L177" i="2"/>
  <c r="J177" i="2"/>
  <c r="H177" i="2"/>
  <c r="F177" i="2"/>
  <c r="D177" i="2"/>
  <c r="B177" i="2"/>
  <c r="AW176" i="2"/>
  <c r="AT176" i="2"/>
  <c r="AR176" i="2"/>
  <c r="AO176" i="2"/>
  <c r="AM176" i="2"/>
  <c r="AK176" i="2"/>
  <c r="AI176" i="2"/>
  <c r="AG176" i="2"/>
  <c r="AE176" i="2"/>
  <c r="AC176" i="2"/>
  <c r="AA176" i="2"/>
  <c r="Y176" i="2"/>
  <c r="W176" i="2"/>
  <c r="U176" i="2"/>
  <c r="S176" i="2"/>
  <c r="Q176" i="2"/>
  <c r="N176" i="2"/>
  <c r="L176" i="2"/>
  <c r="J176" i="2"/>
  <c r="H176" i="2"/>
  <c r="F176" i="2"/>
  <c r="D176" i="2"/>
  <c r="B176" i="2"/>
  <c r="AW175" i="2"/>
  <c r="AT175" i="2"/>
  <c r="AR175" i="2"/>
  <c r="AO175" i="2"/>
  <c r="AM175" i="2"/>
  <c r="AK175" i="2"/>
  <c r="AI175" i="2"/>
  <c r="AG175" i="2"/>
  <c r="AE175" i="2"/>
  <c r="AC175" i="2"/>
  <c r="AA175" i="2"/>
  <c r="Y175" i="2"/>
  <c r="W175" i="2"/>
  <c r="U175" i="2"/>
  <c r="S175" i="2"/>
  <c r="Q175" i="2"/>
  <c r="N175" i="2"/>
  <c r="L175" i="2"/>
  <c r="J175" i="2"/>
  <c r="H175" i="2"/>
  <c r="F175" i="2"/>
  <c r="D175" i="2"/>
  <c r="B175" i="2"/>
  <c r="AW174" i="2"/>
  <c r="AT174" i="2"/>
  <c r="AR174" i="2"/>
  <c r="AO174" i="2"/>
  <c r="AM174" i="2"/>
  <c r="AK174" i="2"/>
  <c r="AI174" i="2"/>
  <c r="AG174" i="2"/>
  <c r="AE174" i="2"/>
  <c r="AC174" i="2"/>
  <c r="AA174" i="2"/>
  <c r="Y174" i="2"/>
  <c r="W174" i="2"/>
  <c r="U174" i="2"/>
  <c r="S174" i="2"/>
  <c r="Q174" i="2"/>
  <c r="N174" i="2"/>
  <c r="L174" i="2"/>
  <c r="J174" i="2"/>
  <c r="H174" i="2"/>
  <c r="F174" i="2"/>
  <c r="D174" i="2"/>
  <c r="B174" i="2"/>
  <c r="AW173" i="2"/>
  <c r="AT173" i="2"/>
  <c r="AR173" i="2"/>
  <c r="AO173" i="2"/>
  <c r="AM173" i="2"/>
  <c r="AK173" i="2"/>
  <c r="AI173" i="2"/>
  <c r="AG173" i="2"/>
  <c r="AE173" i="2"/>
  <c r="AC173" i="2"/>
  <c r="AA173" i="2"/>
  <c r="Y173" i="2"/>
  <c r="W173" i="2"/>
  <c r="U173" i="2"/>
  <c r="S173" i="2"/>
  <c r="Q173" i="2"/>
  <c r="N173" i="2"/>
  <c r="L173" i="2"/>
  <c r="J173" i="2"/>
  <c r="H173" i="2"/>
  <c r="F173" i="2"/>
  <c r="D173" i="2"/>
  <c r="B173" i="2"/>
  <c r="AW172" i="2"/>
  <c r="AT172" i="2"/>
  <c r="AR172" i="2"/>
  <c r="AO172" i="2"/>
  <c r="AM172" i="2"/>
  <c r="AK172" i="2"/>
  <c r="AI172" i="2"/>
  <c r="AG172" i="2"/>
  <c r="AE172" i="2"/>
  <c r="AC172" i="2"/>
  <c r="AA172" i="2"/>
  <c r="Y172" i="2"/>
  <c r="W172" i="2"/>
  <c r="U172" i="2"/>
  <c r="S172" i="2"/>
  <c r="Q172" i="2"/>
  <c r="N172" i="2"/>
  <c r="L172" i="2"/>
  <c r="J172" i="2"/>
  <c r="H172" i="2"/>
  <c r="F172" i="2"/>
  <c r="D172" i="2"/>
  <c r="B172" i="2"/>
  <c r="AW171" i="2"/>
  <c r="AT171" i="2"/>
  <c r="AR171" i="2"/>
  <c r="AO171" i="2"/>
  <c r="AM171" i="2"/>
  <c r="AK171" i="2"/>
  <c r="AI171" i="2"/>
  <c r="AG171" i="2"/>
  <c r="AE171" i="2"/>
  <c r="AC171" i="2"/>
  <c r="AA171" i="2"/>
  <c r="Y171" i="2"/>
  <c r="W171" i="2"/>
  <c r="U171" i="2"/>
  <c r="S171" i="2"/>
  <c r="Q171" i="2"/>
  <c r="N171" i="2"/>
  <c r="L171" i="2"/>
  <c r="J171" i="2"/>
  <c r="H171" i="2"/>
  <c r="F171" i="2"/>
  <c r="D171" i="2"/>
  <c r="B171" i="2"/>
  <c r="AW170" i="2"/>
  <c r="AT170" i="2"/>
  <c r="AR170" i="2"/>
  <c r="AO170" i="2"/>
  <c r="AM170" i="2"/>
  <c r="AK170" i="2"/>
  <c r="AI170" i="2"/>
  <c r="AG170" i="2"/>
  <c r="AE170" i="2"/>
  <c r="AC170" i="2"/>
  <c r="AA170" i="2"/>
  <c r="Y170" i="2"/>
  <c r="W170" i="2"/>
  <c r="U170" i="2"/>
  <c r="S170" i="2"/>
  <c r="Q170" i="2"/>
  <c r="N170" i="2"/>
  <c r="L170" i="2"/>
  <c r="J170" i="2"/>
  <c r="H170" i="2"/>
  <c r="F170" i="2"/>
  <c r="D170" i="2"/>
  <c r="B170" i="2"/>
  <c r="AW169" i="2"/>
  <c r="AT169" i="2"/>
  <c r="AR169" i="2"/>
  <c r="AO169" i="2"/>
  <c r="AM169" i="2"/>
  <c r="AK169" i="2"/>
  <c r="AI169" i="2"/>
  <c r="AG169" i="2"/>
  <c r="AE169" i="2"/>
  <c r="AC169" i="2"/>
  <c r="AA169" i="2"/>
  <c r="Y169" i="2"/>
  <c r="W169" i="2"/>
  <c r="U169" i="2"/>
  <c r="S169" i="2"/>
  <c r="Q169" i="2"/>
  <c r="N169" i="2"/>
  <c r="L169" i="2"/>
  <c r="J169" i="2"/>
  <c r="H169" i="2"/>
  <c r="F169" i="2"/>
  <c r="D169" i="2"/>
  <c r="B169" i="2"/>
  <c r="AW168" i="2"/>
  <c r="AT168" i="2"/>
  <c r="AR168" i="2"/>
  <c r="AO168" i="2"/>
  <c r="AM168" i="2"/>
  <c r="AK168" i="2"/>
  <c r="AI168" i="2"/>
  <c r="AG168" i="2"/>
  <c r="AE168" i="2"/>
  <c r="AC168" i="2"/>
  <c r="AA168" i="2"/>
  <c r="Y168" i="2"/>
  <c r="W168" i="2"/>
  <c r="U168" i="2"/>
  <c r="S168" i="2"/>
  <c r="Q168" i="2"/>
  <c r="N168" i="2"/>
  <c r="L168" i="2"/>
  <c r="J168" i="2"/>
  <c r="H168" i="2"/>
  <c r="F168" i="2"/>
  <c r="D168" i="2"/>
  <c r="B168" i="2"/>
  <c r="AW167" i="2"/>
  <c r="AT167" i="2"/>
  <c r="AR167" i="2"/>
  <c r="AO167" i="2"/>
  <c r="AM167" i="2"/>
  <c r="AK167" i="2"/>
  <c r="AI167" i="2"/>
  <c r="AG167" i="2"/>
  <c r="AE167" i="2"/>
  <c r="AC167" i="2"/>
  <c r="AA167" i="2"/>
  <c r="Y167" i="2"/>
  <c r="W167" i="2"/>
  <c r="U167" i="2"/>
  <c r="S167" i="2"/>
  <c r="Q167" i="2"/>
  <c r="N167" i="2"/>
  <c r="L167" i="2"/>
  <c r="J167" i="2"/>
  <c r="H167" i="2"/>
  <c r="F167" i="2"/>
  <c r="D167" i="2"/>
  <c r="B167" i="2"/>
  <c r="AW166" i="2"/>
  <c r="AT166" i="2"/>
  <c r="AR166" i="2"/>
  <c r="AO166" i="2"/>
  <c r="AM166" i="2"/>
  <c r="AK166" i="2"/>
  <c r="AI166" i="2"/>
  <c r="AG166" i="2"/>
  <c r="AE166" i="2"/>
  <c r="AC166" i="2"/>
  <c r="AA166" i="2"/>
  <c r="Y166" i="2"/>
  <c r="W166" i="2"/>
  <c r="U166" i="2"/>
  <c r="S166" i="2"/>
  <c r="Q166" i="2"/>
  <c r="N166" i="2"/>
  <c r="L166" i="2"/>
  <c r="J166" i="2"/>
  <c r="H166" i="2"/>
  <c r="F166" i="2"/>
  <c r="D166" i="2"/>
  <c r="B166" i="2"/>
  <c r="AW165" i="2"/>
  <c r="AT165" i="2"/>
  <c r="AR165" i="2"/>
  <c r="AO165" i="2"/>
  <c r="AM165" i="2"/>
  <c r="AK165" i="2"/>
  <c r="AI165" i="2"/>
  <c r="AG165" i="2"/>
  <c r="AE165" i="2"/>
  <c r="AC165" i="2"/>
  <c r="AA165" i="2"/>
  <c r="Y165" i="2"/>
  <c r="W165" i="2"/>
  <c r="U165" i="2"/>
  <c r="S165" i="2"/>
  <c r="Q165" i="2"/>
  <c r="N165" i="2"/>
  <c r="L165" i="2"/>
  <c r="J165" i="2"/>
  <c r="H165" i="2"/>
  <c r="F165" i="2"/>
  <c r="D165" i="2"/>
  <c r="B165" i="2"/>
  <c r="AW164" i="2"/>
  <c r="AT164" i="2"/>
  <c r="AR164" i="2"/>
  <c r="AO164" i="2"/>
  <c r="AM164" i="2"/>
  <c r="AK164" i="2"/>
  <c r="AI164" i="2"/>
  <c r="AG164" i="2"/>
  <c r="AE164" i="2"/>
  <c r="AC164" i="2"/>
  <c r="AA164" i="2"/>
  <c r="Y164" i="2"/>
  <c r="W164" i="2"/>
  <c r="U164" i="2"/>
  <c r="S164" i="2"/>
  <c r="Q164" i="2"/>
  <c r="N164" i="2"/>
  <c r="L164" i="2"/>
  <c r="J164" i="2"/>
  <c r="H164" i="2"/>
  <c r="F164" i="2"/>
  <c r="D164" i="2"/>
  <c r="B164" i="2"/>
  <c r="AW163" i="2"/>
  <c r="AT163" i="2"/>
  <c r="AR163" i="2"/>
  <c r="AO163" i="2"/>
  <c r="AM163" i="2"/>
  <c r="AK163" i="2"/>
  <c r="AI163" i="2"/>
  <c r="AG163" i="2"/>
  <c r="AE163" i="2"/>
  <c r="AC163" i="2"/>
  <c r="AA163" i="2"/>
  <c r="Y163" i="2"/>
  <c r="W163" i="2"/>
  <c r="U163" i="2"/>
  <c r="S163" i="2"/>
  <c r="Q163" i="2"/>
  <c r="N163" i="2"/>
  <c r="L163" i="2"/>
  <c r="J163" i="2"/>
  <c r="H163" i="2"/>
  <c r="F163" i="2"/>
  <c r="D163" i="2"/>
  <c r="B163" i="2"/>
  <c r="AW162" i="2"/>
  <c r="AT162" i="2"/>
  <c r="AR162" i="2"/>
  <c r="AO162" i="2"/>
  <c r="AM162" i="2"/>
  <c r="AK162" i="2"/>
  <c r="AI162" i="2"/>
  <c r="AG162" i="2"/>
  <c r="AE162" i="2"/>
  <c r="AC162" i="2"/>
  <c r="AA162" i="2"/>
  <c r="Y162" i="2"/>
  <c r="W162" i="2"/>
  <c r="U162" i="2"/>
  <c r="S162" i="2"/>
  <c r="Q162" i="2"/>
  <c r="N162" i="2"/>
  <c r="L162" i="2"/>
  <c r="J162" i="2"/>
  <c r="H162" i="2"/>
  <c r="F162" i="2"/>
  <c r="D162" i="2"/>
  <c r="B162" i="2"/>
  <c r="AW161" i="2"/>
  <c r="AT161" i="2"/>
  <c r="AR161" i="2"/>
  <c r="AO161" i="2"/>
  <c r="AM161" i="2"/>
  <c r="AK161" i="2"/>
  <c r="AI161" i="2"/>
  <c r="AG161" i="2"/>
  <c r="AE161" i="2"/>
  <c r="AC161" i="2"/>
  <c r="AA161" i="2"/>
  <c r="Y161" i="2"/>
  <c r="W161" i="2"/>
  <c r="U161" i="2"/>
  <c r="S161" i="2"/>
  <c r="Q161" i="2"/>
  <c r="N161" i="2"/>
  <c r="L161" i="2"/>
  <c r="J161" i="2"/>
  <c r="H161" i="2"/>
  <c r="F161" i="2"/>
  <c r="D161" i="2"/>
  <c r="B161" i="2"/>
  <c r="AW160" i="2"/>
  <c r="AT160" i="2"/>
  <c r="AR160" i="2"/>
  <c r="AO160" i="2"/>
  <c r="AM160" i="2"/>
  <c r="AK160" i="2"/>
  <c r="AI160" i="2"/>
  <c r="AG160" i="2"/>
  <c r="AE160" i="2"/>
  <c r="AC160" i="2"/>
  <c r="AA160" i="2"/>
  <c r="Y160" i="2"/>
  <c r="W160" i="2"/>
  <c r="U160" i="2"/>
  <c r="S160" i="2"/>
  <c r="Q160" i="2"/>
  <c r="N160" i="2"/>
  <c r="L160" i="2"/>
  <c r="J160" i="2"/>
  <c r="H160" i="2"/>
  <c r="F160" i="2"/>
  <c r="D160" i="2"/>
  <c r="B160" i="2"/>
  <c r="AW159" i="2"/>
  <c r="AT159" i="2"/>
  <c r="AR159" i="2"/>
  <c r="AO159" i="2"/>
  <c r="AM159" i="2"/>
  <c r="AK159" i="2"/>
  <c r="AI159" i="2"/>
  <c r="AG159" i="2"/>
  <c r="AE159" i="2"/>
  <c r="AC159" i="2"/>
  <c r="AA159" i="2"/>
  <c r="Y159" i="2"/>
  <c r="W159" i="2"/>
  <c r="U159" i="2"/>
  <c r="S159" i="2"/>
  <c r="Q159" i="2"/>
  <c r="N159" i="2"/>
  <c r="L159" i="2"/>
  <c r="J159" i="2"/>
  <c r="H159" i="2"/>
  <c r="F159" i="2"/>
  <c r="D159" i="2"/>
  <c r="B159" i="2"/>
  <c r="AW158" i="2"/>
  <c r="AT158" i="2"/>
  <c r="AR158" i="2"/>
  <c r="AO158" i="2"/>
  <c r="AM158" i="2"/>
  <c r="AK158" i="2"/>
  <c r="AI158" i="2"/>
  <c r="AG158" i="2"/>
  <c r="AE158" i="2"/>
  <c r="AC158" i="2"/>
  <c r="AA158" i="2"/>
  <c r="Y158" i="2"/>
  <c r="W158" i="2"/>
  <c r="U158" i="2"/>
  <c r="S158" i="2"/>
  <c r="Q158" i="2"/>
  <c r="N158" i="2"/>
  <c r="L158" i="2"/>
  <c r="J158" i="2"/>
  <c r="H158" i="2"/>
  <c r="F158" i="2"/>
  <c r="D158" i="2"/>
  <c r="B158" i="2"/>
  <c r="AW157" i="2"/>
  <c r="AT157" i="2"/>
  <c r="AR157" i="2"/>
  <c r="AO157" i="2"/>
  <c r="AM157" i="2"/>
  <c r="AK157" i="2"/>
  <c r="AI157" i="2"/>
  <c r="AG157" i="2"/>
  <c r="AE157" i="2"/>
  <c r="AC157" i="2"/>
  <c r="AA157" i="2"/>
  <c r="Y157" i="2"/>
  <c r="W157" i="2"/>
  <c r="U157" i="2"/>
  <c r="S157" i="2"/>
  <c r="Q157" i="2"/>
  <c r="N157" i="2"/>
  <c r="L157" i="2"/>
  <c r="J157" i="2"/>
  <c r="H157" i="2"/>
  <c r="F157" i="2"/>
  <c r="D157" i="2"/>
  <c r="B157" i="2"/>
  <c r="AW156" i="2"/>
  <c r="AT156" i="2"/>
  <c r="AR156" i="2"/>
  <c r="AO156" i="2"/>
  <c r="AM156" i="2"/>
  <c r="AK156" i="2"/>
  <c r="AI156" i="2"/>
  <c r="AG156" i="2"/>
  <c r="AE156" i="2"/>
  <c r="AC156" i="2"/>
  <c r="AA156" i="2"/>
  <c r="Y156" i="2"/>
  <c r="W156" i="2"/>
  <c r="U156" i="2"/>
  <c r="S156" i="2"/>
  <c r="Q156" i="2"/>
  <c r="N156" i="2"/>
  <c r="L156" i="2"/>
  <c r="J156" i="2"/>
  <c r="H156" i="2"/>
  <c r="F156" i="2"/>
  <c r="D156" i="2"/>
  <c r="B156" i="2"/>
  <c r="AW155" i="2"/>
  <c r="AT155" i="2"/>
  <c r="AR155" i="2"/>
  <c r="AO155" i="2"/>
  <c r="AM155" i="2"/>
  <c r="AK155" i="2"/>
  <c r="AI155" i="2"/>
  <c r="AG155" i="2"/>
  <c r="AE155" i="2"/>
  <c r="AC155" i="2"/>
  <c r="AA155" i="2"/>
  <c r="Y155" i="2"/>
  <c r="W155" i="2"/>
  <c r="U155" i="2"/>
  <c r="S155" i="2"/>
  <c r="Q155" i="2"/>
  <c r="N155" i="2"/>
  <c r="L155" i="2"/>
  <c r="J155" i="2"/>
  <c r="H155" i="2"/>
  <c r="F155" i="2"/>
  <c r="D155" i="2"/>
  <c r="B155" i="2"/>
  <c r="AW154" i="2"/>
  <c r="AT154" i="2"/>
  <c r="AR154" i="2"/>
  <c r="AO154" i="2"/>
  <c r="AM154" i="2"/>
  <c r="AK154" i="2"/>
  <c r="AI154" i="2"/>
  <c r="AG154" i="2"/>
  <c r="AE154" i="2"/>
  <c r="AC154" i="2"/>
  <c r="AA154" i="2"/>
  <c r="Y154" i="2"/>
  <c r="W154" i="2"/>
  <c r="U154" i="2"/>
  <c r="S154" i="2"/>
  <c r="Q154" i="2"/>
  <c r="N154" i="2"/>
  <c r="L154" i="2"/>
  <c r="J154" i="2"/>
  <c r="H154" i="2"/>
  <c r="F154" i="2"/>
  <c r="D154" i="2"/>
  <c r="B154" i="2"/>
  <c r="AW153" i="2"/>
  <c r="AT153" i="2"/>
  <c r="AR153" i="2"/>
  <c r="AO153" i="2"/>
  <c r="AM153" i="2"/>
  <c r="AK153" i="2"/>
  <c r="AI153" i="2"/>
  <c r="AG153" i="2"/>
  <c r="AE153" i="2"/>
  <c r="AC153" i="2"/>
  <c r="AA153" i="2"/>
  <c r="Y153" i="2"/>
  <c r="W153" i="2"/>
  <c r="U153" i="2"/>
  <c r="S153" i="2"/>
  <c r="Q153" i="2"/>
  <c r="N153" i="2"/>
  <c r="L153" i="2"/>
  <c r="J153" i="2"/>
  <c r="H153" i="2"/>
  <c r="F153" i="2"/>
  <c r="D153" i="2"/>
  <c r="B153" i="2"/>
  <c r="AW152" i="2"/>
  <c r="AT152" i="2"/>
  <c r="AR152" i="2"/>
  <c r="AO152" i="2"/>
  <c r="AM152" i="2"/>
  <c r="AK152" i="2"/>
  <c r="AI152" i="2"/>
  <c r="AG152" i="2"/>
  <c r="AE152" i="2"/>
  <c r="AC152" i="2"/>
  <c r="AA152" i="2"/>
  <c r="Y152" i="2"/>
  <c r="W152" i="2"/>
  <c r="U152" i="2"/>
  <c r="S152" i="2"/>
  <c r="Q152" i="2"/>
  <c r="N152" i="2"/>
  <c r="L152" i="2"/>
  <c r="J152" i="2"/>
  <c r="H152" i="2"/>
  <c r="F152" i="2"/>
  <c r="D152" i="2"/>
  <c r="B152" i="2"/>
  <c r="AW151" i="2"/>
  <c r="AT151" i="2"/>
  <c r="AR151" i="2"/>
  <c r="AO151" i="2"/>
  <c r="AM151" i="2"/>
  <c r="AK151" i="2"/>
  <c r="AI151" i="2"/>
  <c r="AG151" i="2"/>
  <c r="AE151" i="2"/>
  <c r="AC151" i="2"/>
  <c r="AA151" i="2"/>
  <c r="Y151" i="2"/>
  <c r="W151" i="2"/>
  <c r="U151" i="2"/>
  <c r="S151" i="2"/>
  <c r="Q151" i="2"/>
  <c r="N151" i="2"/>
  <c r="L151" i="2"/>
  <c r="J151" i="2"/>
  <c r="H151" i="2"/>
  <c r="F151" i="2"/>
  <c r="D151" i="2"/>
  <c r="B151" i="2"/>
  <c r="AW150" i="2"/>
  <c r="AT150" i="2"/>
  <c r="AR150" i="2"/>
  <c r="AO150" i="2"/>
  <c r="AM150" i="2"/>
  <c r="AK150" i="2"/>
  <c r="AI150" i="2"/>
  <c r="AG150" i="2"/>
  <c r="AE150" i="2"/>
  <c r="AC150" i="2"/>
  <c r="AA150" i="2"/>
  <c r="Y150" i="2"/>
  <c r="W150" i="2"/>
  <c r="U150" i="2"/>
  <c r="S150" i="2"/>
  <c r="Q150" i="2"/>
  <c r="N150" i="2"/>
  <c r="L150" i="2"/>
  <c r="J150" i="2"/>
  <c r="H150" i="2"/>
  <c r="F150" i="2"/>
  <c r="D150" i="2"/>
  <c r="B150" i="2"/>
  <c r="AW149" i="2"/>
  <c r="AT149" i="2"/>
  <c r="AR149" i="2"/>
  <c r="AO149" i="2"/>
  <c r="AM149" i="2"/>
  <c r="AK149" i="2"/>
  <c r="AI149" i="2"/>
  <c r="AG149" i="2"/>
  <c r="AE149" i="2"/>
  <c r="AC149" i="2"/>
  <c r="AA149" i="2"/>
  <c r="Y149" i="2"/>
  <c r="W149" i="2"/>
  <c r="U149" i="2"/>
  <c r="S149" i="2"/>
  <c r="Q149" i="2"/>
  <c r="N149" i="2"/>
  <c r="L149" i="2"/>
  <c r="J149" i="2"/>
  <c r="H149" i="2"/>
  <c r="F149" i="2"/>
  <c r="D149" i="2"/>
  <c r="B149" i="2"/>
  <c r="AW148" i="2"/>
  <c r="AT148" i="2"/>
  <c r="AR148" i="2"/>
  <c r="AO148" i="2"/>
  <c r="AM148" i="2"/>
  <c r="AK148" i="2"/>
  <c r="AI148" i="2"/>
  <c r="AG148" i="2"/>
  <c r="AE148" i="2"/>
  <c r="AC148" i="2"/>
  <c r="AA148" i="2"/>
  <c r="Y148" i="2"/>
  <c r="W148" i="2"/>
  <c r="U148" i="2"/>
  <c r="S148" i="2"/>
  <c r="Q148" i="2"/>
  <c r="N148" i="2"/>
  <c r="L148" i="2"/>
  <c r="J148" i="2"/>
  <c r="H148" i="2"/>
  <c r="F148" i="2"/>
  <c r="D148" i="2"/>
  <c r="B148" i="2"/>
  <c r="AW147" i="2"/>
  <c r="AT147" i="2"/>
  <c r="AR147" i="2"/>
  <c r="AO147" i="2"/>
  <c r="AM147" i="2"/>
  <c r="AK147" i="2"/>
  <c r="AI147" i="2"/>
  <c r="AG147" i="2"/>
  <c r="AE147" i="2"/>
  <c r="AC147" i="2"/>
  <c r="AA147" i="2"/>
  <c r="Y147" i="2"/>
  <c r="W147" i="2"/>
  <c r="U147" i="2"/>
  <c r="S147" i="2"/>
  <c r="Q147" i="2"/>
  <c r="N147" i="2"/>
  <c r="L147" i="2"/>
  <c r="J147" i="2"/>
  <c r="H147" i="2"/>
  <c r="F147" i="2"/>
  <c r="D147" i="2"/>
  <c r="B147" i="2"/>
  <c r="AW146" i="2"/>
  <c r="AT146" i="2"/>
  <c r="AR146" i="2"/>
  <c r="AO146" i="2"/>
  <c r="AM146" i="2"/>
  <c r="AK146" i="2"/>
  <c r="AI146" i="2"/>
  <c r="AG146" i="2"/>
  <c r="AE146" i="2"/>
  <c r="AC146" i="2"/>
  <c r="AA146" i="2"/>
  <c r="Y146" i="2"/>
  <c r="W146" i="2"/>
  <c r="U146" i="2"/>
  <c r="S146" i="2"/>
  <c r="Q146" i="2"/>
  <c r="N146" i="2"/>
  <c r="L146" i="2"/>
  <c r="J146" i="2"/>
  <c r="H146" i="2"/>
  <c r="F146" i="2"/>
  <c r="D146" i="2"/>
  <c r="B146" i="2"/>
  <c r="AW145" i="2"/>
  <c r="AT145" i="2"/>
  <c r="AR145" i="2"/>
  <c r="AO145" i="2"/>
  <c r="AM145" i="2"/>
  <c r="AK145" i="2"/>
  <c r="AI145" i="2"/>
  <c r="AG145" i="2"/>
  <c r="AE145" i="2"/>
  <c r="AC145" i="2"/>
  <c r="AA145" i="2"/>
  <c r="Y145" i="2"/>
  <c r="W145" i="2"/>
  <c r="U145" i="2"/>
  <c r="S145" i="2"/>
  <c r="Q145" i="2"/>
  <c r="N145" i="2"/>
  <c r="L145" i="2"/>
  <c r="J145" i="2"/>
  <c r="H145" i="2"/>
  <c r="F145" i="2"/>
  <c r="D145" i="2"/>
  <c r="B145" i="2"/>
  <c r="AW144" i="2"/>
  <c r="AT144" i="2"/>
  <c r="AR144" i="2"/>
  <c r="AO144" i="2"/>
  <c r="AM144" i="2"/>
  <c r="AK144" i="2"/>
  <c r="AI144" i="2"/>
  <c r="AG144" i="2"/>
  <c r="AE144" i="2"/>
  <c r="AC144" i="2"/>
  <c r="AA144" i="2"/>
  <c r="Y144" i="2"/>
  <c r="W144" i="2"/>
  <c r="U144" i="2"/>
  <c r="S144" i="2"/>
  <c r="Q144" i="2"/>
  <c r="N144" i="2"/>
  <c r="L144" i="2"/>
  <c r="J144" i="2"/>
  <c r="H144" i="2"/>
  <c r="F144" i="2"/>
  <c r="D144" i="2"/>
  <c r="B144" i="2"/>
  <c r="AW143" i="2"/>
  <c r="AT143" i="2"/>
  <c r="AR143" i="2"/>
  <c r="AO143" i="2"/>
  <c r="AM143" i="2"/>
  <c r="AK143" i="2"/>
  <c r="AI143" i="2"/>
  <c r="AG143" i="2"/>
  <c r="AE143" i="2"/>
  <c r="AC143" i="2"/>
  <c r="AA143" i="2"/>
  <c r="Y143" i="2"/>
  <c r="W143" i="2"/>
  <c r="U143" i="2"/>
  <c r="S143" i="2"/>
  <c r="Q143" i="2"/>
  <c r="N143" i="2"/>
  <c r="L143" i="2"/>
  <c r="J143" i="2"/>
  <c r="H143" i="2"/>
  <c r="F143" i="2"/>
  <c r="D143" i="2"/>
  <c r="B143" i="2"/>
  <c r="AW142" i="2"/>
  <c r="AT142" i="2"/>
  <c r="AR142" i="2"/>
  <c r="AO142" i="2"/>
  <c r="AM142" i="2"/>
  <c r="AK142" i="2"/>
  <c r="AI142" i="2"/>
  <c r="AG142" i="2"/>
  <c r="AE142" i="2"/>
  <c r="AC142" i="2"/>
  <c r="AA142" i="2"/>
  <c r="Y142" i="2"/>
  <c r="W142" i="2"/>
  <c r="U142" i="2"/>
  <c r="S142" i="2"/>
  <c r="Q142" i="2"/>
  <c r="N142" i="2"/>
  <c r="L142" i="2"/>
  <c r="J142" i="2"/>
  <c r="H142" i="2"/>
  <c r="F142" i="2"/>
  <c r="D142" i="2"/>
  <c r="B142" i="2"/>
  <c r="AW141" i="2"/>
  <c r="AT141" i="2"/>
  <c r="AR141" i="2"/>
  <c r="AO141" i="2"/>
  <c r="AM141" i="2"/>
  <c r="AK141" i="2"/>
  <c r="AI141" i="2"/>
  <c r="AG141" i="2"/>
  <c r="AE141" i="2"/>
  <c r="AC141" i="2"/>
  <c r="AA141" i="2"/>
  <c r="Y141" i="2"/>
  <c r="W141" i="2"/>
  <c r="U141" i="2"/>
  <c r="S141" i="2"/>
  <c r="Q141" i="2"/>
  <c r="N141" i="2"/>
  <c r="L141" i="2"/>
  <c r="J141" i="2"/>
  <c r="H141" i="2"/>
  <c r="F141" i="2"/>
  <c r="D141" i="2"/>
  <c r="B141" i="2"/>
  <c r="AW140" i="2"/>
  <c r="AT140" i="2"/>
  <c r="AR140" i="2"/>
  <c r="AO140" i="2"/>
  <c r="AM140" i="2"/>
  <c r="AK140" i="2"/>
  <c r="AI140" i="2"/>
  <c r="AG140" i="2"/>
  <c r="AE140" i="2"/>
  <c r="AC140" i="2"/>
  <c r="AA140" i="2"/>
  <c r="Y140" i="2"/>
  <c r="W140" i="2"/>
  <c r="U140" i="2"/>
  <c r="S140" i="2"/>
  <c r="Q140" i="2"/>
  <c r="N140" i="2"/>
  <c r="L140" i="2"/>
  <c r="J140" i="2"/>
  <c r="H140" i="2"/>
  <c r="F140" i="2"/>
  <c r="D140" i="2"/>
  <c r="B140" i="2"/>
  <c r="AW139" i="2"/>
  <c r="AT139" i="2"/>
  <c r="AR139" i="2"/>
  <c r="AO139" i="2"/>
  <c r="AM139" i="2"/>
  <c r="AK139" i="2"/>
  <c r="AI139" i="2"/>
  <c r="AG139" i="2"/>
  <c r="AE139" i="2"/>
  <c r="AC139" i="2"/>
  <c r="AA139" i="2"/>
  <c r="Y139" i="2"/>
  <c r="W139" i="2"/>
  <c r="U139" i="2"/>
  <c r="S139" i="2"/>
  <c r="Q139" i="2"/>
  <c r="N139" i="2"/>
  <c r="L139" i="2"/>
  <c r="J139" i="2"/>
  <c r="H139" i="2"/>
  <c r="F139" i="2"/>
  <c r="D139" i="2"/>
  <c r="B139" i="2"/>
  <c r="AW138" i="2"/>
  <c r="AT138" i="2"/>
  <c r="AR138" i="2"/>
  <c r="AO138" i="2"/>
  <c r="AM138" i="2"/>
  <c r="AK138" i="2"/>
  <c r="AI138" i="2"/>
  <c r="AG138" i="2"/>
  <c r="AE138" i="2"/>
  <c r="AC138" i="2"/>
  <c r="AA138" i="2"/>
  <c r="Y138" i="2"/>
  <c r="W138" i="2"/>
  <c r="U138" i="2"/>
  <c r="S138" i="2"/>
  <c r="Q138" i="2"/>
  <c r="N138" i="2"/>
  <c r="L138" i="2"/>
  <c r="J138" i="2"/>
  <c r="H138" i="2"/>
  <c r="F138" i="2"/>
  <c r="D138" i="2"/>
  <c r="B138" i="2"/>
  <c r="AW137" i="2"/>
  <c r="AT137" i="2"/>
  <c r="AR137" i="2"/>
  <c r="AO137" i="2"/>
  <c r="AM137" i="2"/>
  <c r="AK137" i="2"/>
  <c r="AI137" i="2"/>
  <c r="AG137" i="2"/>
  <c r="AE137" i="2"/>
  <c r="AC137" i="2"/>
  <c r="AA137" i="2"/>
  <c r="Y137" i="2"/>
  <c r="W137" i="2"/>
  <c r="U137" i="2"/>
  <c r="S137" i="2"/>
  <c r="Q137" i="2"/>
  <c r="N137" i="2"/>
  <c r="L137" i="2"/>
  <c r="J137" i="2"/>
  <c r="H137" i="2"/>
  <c r="F137" i="2"/>
  <c r="D137" i="2"/>
  <c r="B137" i="2"/>
  <c r="AW136" i="2"/>
  <c r="AT136" i="2"/>
  <c r="AR136" i="2"/>
  <c r="AO136" i="2"/>
  <c r="AM136" i="2"/>
  <c r="AK136" i="2"/>
  <c r="AI136" i="2"/>
  <c r="AG136" i="2"/>
  <c r="AE136" i="2"/>
  <c r="AC136" i="2"/>
  <c r="AA136" i="2"/>
  <c r="Y136" i="2"/>
  <c r="W136" i="2"/>
  <c r="U136" i="2"/>
  <c r="S136" i="2"/>
  <c r="Q136" i="2"/>
  <c r="N136" i="2"/>
  <c r="L136" i="2"/>
  <c r="J136" i="2"/>
  <c r="H136" i="2"/>
  <c r="F136" i="2"/>
  <c r="D136" i="2"/>
  <c r="B136" i="2"/>
  <c r="AW135" i="2"/>
  <c r="AT135" i="2"/>
  <c r="AR135" i="2"/>
  <c r="AO135" i="2"/>
  <c r="AM135" i="2"/>
  <c r="AK135" i="2"/>
  <c r="AI135" i="2"/>
  <c r="AG135" i="2"/>
  <c r="AE135" i="2"/>
  <c r="AC135" i="2"/>
  <c r="AA135" i="2"/>
  <c r="Y135" i="2"/>
  <c r="W135" i="2"/>
  <c r="U135" i="2"/>
  <c r="S135" i="2"/>
  <c r="Q135" i="2"/>
  <c r="N135" i="2"/>
  <c r="L135" i="2"/>
  <c r="J135" i="2"/>
  <c r="H135" i="2"/>
  <c r="F135" i="2"/>
  <c r="D135" i="2"/>
  <c r="B135" i="2"/>
  <c r="AW134" i="2"/>
  <c r="AT134" i="2"/>
  <c r="AR134" i="2"/>
  <c r="AO134" i="2"/>
  <c r="AM134" i="2"/>
  <c r="AK134" i="2"/>
  <c r="AI134" i="2"/>
  <c r="AG134" i="2"/>
  <c r="AE134" i="2"/>
  <c r="AC134" i="2"/>
  <c r="AA134" i="2"/>
  <c r="Y134" i="2"/>
  <c r="W134" i="2"/>
  <c r="U134" i="2"/>
  <c r="S134" i="2"/>
  <c r="Q134" i="2"/>
  <c r="N134" i="2"/>
  <c r="L134" i="2"/>
  <c r="J134" i="2"/>
  <c r="H134" i="2"/>
  <c r="F134" i="2"/>
  <c r="D134" i="2"/>
  <c r="B134" i="2"/>
  <c r="AW133" i="2"/>
  <c r="AT133" i="2"/>
  <c r="AR133" i="2"/>
  <c r="AO133" i="2"/>
  <c r="AM133" i="2"/>
  <c r="AK133" i="2"/>
  <c r="AI133" i="2"/>
  <c r="AG133" i="2"/>
  <c r="AE133" i="2"/>
  <c r="AC133" i="2"/>
  <c r="AA133" i="2"/>
  <c r="Y133" i="2"/>
  <c r="W133" i="2"/>
  <c r="U133" i="2"/>
  <c r="S133" i="2"/>
  <c r="Q133" i="2"/>
  <c r="N133" i="2"/>
  <c r="L133" i="2"/>
  <c r="J133" i="2"/>
  <c r="H133" i="2"/>
  <c r="F133" i="2"/>
  <c r="D133" i="2"/>
  <c r="B133" i="2"/>
  <c r="AW132" i="2"/>
  <c r="AT132" i="2"/>
  <c r="AR132" i="2"/>
  <c r="AO132" i="2"/>
  <c r="AM132" i="2"/>
  <c r="AK132" i="2"/>
  <c r="AI132" i="2"/>
  <c r="AG132" i="2"/>
  <c r="AE132" i="2"/>
  <c r="AC132" i="2"/>
  <c r="AA132" i="2"/>
  <c r="Y132" i="2"/>
  <c r="W132" i="2"/>
  <c r="U132" i="2"/>
  <c r="S132" i="2"/>
  <c r="Q132" i="2"/>
  <c r="N132" i="2"/>
  <c r="L132" i="2"/>
  <c r="J132" i="2"/>
  <c r="H132" i="2"/>
  <c r="F132" i="2"/>
  <c r="D132" i="2"/>
  <c r="B132" i="2"/>
  <c r="AW131" i="2"/>
  <c r="AT131" i="2"/>
  <c r="AR131" i="2"/>
  <c r="AO131" i="2"/>
  <c r="AM131" i="2"/>
  <c r="AK131" i="2"/>
  <c r="AI131" i="2"/>
  <c r="AG131" i="2"/>
  <c r="AE131" i="2"/>
  <c r="AC131" i="2"/>
  <c r="AA131" i="2"/>
  <c r="Y131" i="2"/>
  <c r="W131" i="2"/>
  <c r="U131" i="2"/>
  <c r="S131" i="2"/>
  <c r="Q131" i="2"/>
  <c r="N131" i="2"/>
  <c r="L131" i="2"/>
  <c r="J131" i="2"/>
  <c r="H131" i="2"/>
  <c r="F131" i="2"/>
  <c r="D131" i="2"/>
  <c r="B131" i="2"/>
  <c r="AW130" i="2"/>
  <c r="AT130" i="2"/>
  <c r="AR130" i="2"/>
  <c r="AO130" i="2"/>
  <c r="AM130" i="2"/>
  <c r="AK130" i="2"/>
  <c r="AI130" i="2"/>
  <c r="AG130" i="2"/>
  <c r="AE130" i="2"/>
  <c r="AC130" i="2"/>
  <c r="AA130" i="2"/>
  <c r="Y130" i="2"/>
  <c r="W130" i="2"/>
  <c r="U130" i="2"/>
  <c r="S130" i="2"/>
  <c r="Q130" i="2"/>
  <c r="N130" i="2"/>
  <c r="L130" i="2"/>
  <c r="J130" i="2"/>
  <c r="H130" i="2"/>
  <c r="F130" i="2"/>
  <c r="D130" i="2"/>
  <c r="B130" i="2"/>
  <c r="AW129" i="2"/>
  <c r="AT129" i="2"/>
  <c r="AR129" i="2"/>
  <c r="AO129" i="2"/>
  <c r="AM129" i="2"/>
  <c r="AK129" i="2"/>
  <c r="AI129" i="2"/>
  <c r="AG129" i="2"/>
  <c r="AE129" i="2"/>
  <c r="AC129" i="2"/>
  <c r="AA129" i="2"/>
  <c r="Y129" i="2"/>
  <c r="W129" i="2"/>
  <c r="U129" i="2"/>
  <c r="S129" i="2"/>
  <c r="Q129" i="2"/>
  <c r="N129" i="2"/>
  <c r="L129" i="2"/>
  <c r="J129" i="2"/>
  <c r="H129" i="2"/>
  <c r="F129" i="2"/>
  <c r="D129" i="2"/>
  <c r="B129" i="2"/>
  <c r="AW128" i="2"/>
  <c r="AT128" i="2"/>
  <c r="AR128" i="2"/>
  <c r="AO128" i="2"/>
  <c r="AM128" i="2"/>
  <c r="AK128" i="2"/>
  <c r="AI128" i="2"/>
  <c r="AG128" i="2"/>
  <c r="AE128" i="2"/>
  <c r="AC128" i="2"/>
  <c r="AA128" i="2"/>
  <c r="Y128" i="2"/>
  <c r="W128" i="2"/>
  <c r="U128" i="2"/>
  <c r="S128" i="2"/>
  <c r="Q128" i="2"/>
  <c r="N128" i="2"/>
  <c r="L128" i="2"/>
  <c r="J128" i="2"/>
  <c r="H128" i="2"/>
  <c r="F128" i="2"/>
  <c r="D128" i="2"/>
  <c r="B128" i="2"/>
  <c r="AW127" i="2"/>
  <c r="AT127" i="2"/>
  <c r="AR127" i="2"/>
  <c r="AO127" i="2"/>
  <c r="AM127" i="2"/>
  <c r="AK127" i="2"/>
  <c r="AI127" i="2"/>
  <c r="AG127" i="2"/>
  <c r="AE127" i="2"/>
  <c r="AC127" i="2"/>
  <c r="AA127" i="2"/>
  <c r="Y127" i="2"/>
  <c r="W127" i="2"/>
  <c r="U127" i="2"/>
  <c r="S127" i="2"/>
  <c r="Q127" i="2"/>
  <c r="N127" i="2"/>
  <c r="L127" i="2"/>
  <c r="J127" i="2"/>
  <c r="H127" i="2"/>
  <c r="F127" i="2"/>
  <c r="D127" i="2"/>
  <c r="B127" i="2"/>
  <c r="AW126" i="2"/>
  <c r="AT126" i="2"/>
  <c r="AR126" i="2"/>
  <c r="AO126" i="2"/>
  <c r="AM126" i="2"/>
  <c r="AK126" i="2"/>
  <c r="AI126" i="2"/>
  <c r="AG126" i="2"/>
  <c r="AE126" i="2"/>
  <c r="AC126" i="2"/>
  <c r="AA126" i="2"/>
  <c r="Y126" i="2"/>
  <c r="W126" i="2"/>
  <c r="U126" i="2"/>
  <c r="S126" i="2"/>
  <c r="Q126" i="2"/>
  <c r="N126" i="2"/>
  <c r="L126" i="2"/>
  <c r="J126" i="2"/>
  <c r="H126" i="2"/>
  <c r="F126" i="2"/>
  <c r="D126" i="2"/>
  <c r="B126" i="2"/>
  <c r="AW125" i="2"/>
  <c r="AT125" i="2"/>
  <c r="AR125" i="2"/>
  <c r="AO125" i="2"/>
  <c r="AM125" i="2"/>
  <c r="AK125" i="2"/>
  <c r="AI125" i="2"/>
  <c r="AG125" i="2"/>
  <c r="AE125" i="2"/>
  <c r="AC125" i="2"/>
  <c r="AA125" i="2"/>
  <c r="Y125" i="2"/>
  <c r="W125" i="2"/>
  <c r="U125" i="2"/>
  <c r="S125" i="2"/>
  <c r="Q125" i="2"/>
  <c r="N125" i="2"/>
  <c r="L125" i="2"/>
  <c r="J125" i="2"/>
  <c r="H125" i="2"/>
  <c r="F125" i="2"/>
  <c r="D125" i="2"/>
  <c r="B125" i="2"/>
  <c r="AW124" i="2"/>
  <c r="AT124" i="2"/>
  <c r="AR124" i="2"/>
  <c r="AO124" i="2"/>
  <c r="AM124" i="2"/>
  <c r="AK124" i="2"/>
  <c r="AI124" i="2"/>
  <c r="AG124" i="2"/>
  <c r="AE124" i="2"/>
  <c r="AC124" i="2"/>
  <c r="AA124" i="2"/>
  <c r="Y124" i="2"/>
  <c r="W124" i="2"/>
  <c r="U124" i="2"/>
  <c r="S124" i="2"/>
  <c r="Q124" i="2"/>
  <c r="N124" i="2"/>
  <c r="L124" i="2"/>
  <c r="J124" i="2"/>
  <c r="H124" i="2"/>
  <c r="F124" i="2"/>
  <c r="D124" i="2"/>
  <c r="B124" i="2"/>
  <c r="AW123" i="2"/>
  <c r="AT123" i="2"/>
  <c r="AR123" i="2"/>
  <c r="AO123" i="2"/>
  <c r="AM123" i="2"/>
  <c r="AK123" i="2"/>
  <c r="AI123" i="2"/>
  <c r="AG123" i="2"/>
  <c r="AE123" i="2"/>
  <c r="AC123" i="2"/>
  <c r="AA123" i="2"/>
  <c r="Y123" i="2"/>
  <c r="W123" i="2"/>
  <c r="U123" i="2"/>
  <c r="S123" i="2"/>
  <c r="Q123" i="2"/>
  <c r="N123" i="2"/>
  <c r="L123" i="2"/>
  <c r="J123" i="2"/>
  <c r="H123" i="2"/>
  <c r="F123" i="2"/>
  <c r="D123" i="2"/>
  <c r="B123" i="2"/>
  <c r="AW122" i="2"/>
  <c r="AT122" i="2"/>
  <c r="AR122" i="2"/>
  <c r="AO122" i="2"/>
  <c r="AM122" i="2"/>
  <c r="AK122" i="2"/>
  <c r="AI122" i="2"/>
  <c r="AG122" i="2"/>
  <c r="AE122" i="2"/>
  <c r="AC122" i="2"/>
  <c r="AA122" i="2"/>
  <c r="Y122" i="2"/>
  <c r="W122" i="2"/>
  <c r="U122" i="2"/>
  <c r="S122" i="2"/>
  <c r="Q122" i="2"/>
  <c r="N122" i="2"/>
  <c r="L122" i="2"/>
  <c r="J122" i="2"/>
  <c r="H122" i="2"/>
  <c r="F122" i="2"/>
  <c r="D122" i="2"/>
  <c r="B122" i="2"/>
  <c r="AW121" i="2"/>
  <c r="AT121" i="2"/>
  <c r="AR121" i="2"/>
  <c r="AO121" i="2"/>
  <c r="AM121" i="2"/>
  <c r="AK121" i="2"/>
  <c r="AI121" i="2"/>
  <c r="AG121" i="2"/>
  <c r="AE121" i="2"/>
  <c r="AC121" i="2"/>
  <c r="AA121" i="2"/>
  <c r="Y121" i="2"/>
  <c r="W121" i="2"/>
  <c r="U121" i="2"/>
  <c r="S121" i="2"/>
  <c r="Q121" i="2"/>
  <c r="N121" i="2"/>
  <c r="L121" i="2"/>
  <c r="J121" i="2"/>
  <c r="H121" i="2"/>
  <c r="F121" i="2"/>
  <c r="D121" i="2"/>
  <c r="B121" i="2"/>
  <c r="AW120" i="2"/>
  <c r="AT120" i="2"/>
  <c r="AR120" i="2"/>
  <c r="AO120" i="2"/>
  <c r="AM120" i="2"/>
  <c r="AK120" i="2"/>
  <c r="AI120" i="2"/>
  <c r="AG120" i="2"/>
  <c r="AE120" i="2"/>
  <c r="AC120" i="2"/>
  <c r="AA120" i="2"/>
  <c r="Y120" i="2"/>
  <c r="W120" i="2"/>
  <c r="U120" i="2"/>
  <c r="S120" i="2"/>
  <c r="Q120" i="2"/>
  <c r="N120" i="2"/>
  <c r="L120" i="2"/>
  <c r="J120" i="2"/>
  <c r="H120" i="2"/>
  <c r="F120" i="2"/>
  <c r="D120" i="2"/>
  <c r="B120" i="2"/>
  <c r="AW119" i="2"/>
  <c r="AT119" i="2"/>
  <c r="AR119" i="2"/>
  <c r="AO119" i="2"/>
  <c r="AM119" i="2"/>
  <c r="AK119" i="2"/>
  <c r="AI119" i="2"/>
  <c r="AG119" i="2"/>
  <c r="AE119" i="2"/>
  <c r="AC119" i="2"/>
  <c r="AA119" i="2"/>
  <c r="Y119" i="2"/>
  <c r="W119" i="2"/>
  <c r="U119" i="2"/>
  <c r="S119" i="2"/>
  <c r="Q119" i="2"/>
  <c r="N119" i="2"/>
  <c r="L119" i="2"/>
  <c r="J119" i="2"/>
  <c r="H119" i="2"/>
  <c r="F119" i="2"/>
  <c r="D119" i="2"/>
  <c r="B119" i="2"/>
  <c r="AW118" i="2"/>
  <c r="AT118" i="2"/>
  <c r="AR118" i="2"/>
  <c r="AO118" i="2"/>
  <c r="AM118" i="2"/>
  <c r="AK118" i="2"/>
  <c r="AI118" i="2"/>
  <c r="AG118" i="2"/>
  <c r="AE118" i="2"/>
  <c r="AC118" i="2"/>
  <c r="AA118" i="2"/>
  <c r="Y118" i="2"/>
  <c r="W118" i="2"/>
  <c r="U118" i="2"/>
  <c r="S118" i="2"/>
  <c r="Q118" i="2"/>
  <c r="N118" i="2"/>
  <c r="L118" i="2"/>
  <c r="J118" i="2"/>
  <c r="H118" i="2"/>
  <c r="F118" i="2"/>
  <c r="D118" i="2"/>
  <c r="B118" i="2"/>
  <c r="AW117" i="2"/>
  <c r="AT117" i="2"/>
  <c r="AR117" i="2"/>
  <c r="AO117" i="2"/>
  <c r="AM117" i="2"/>
  <c r="AK117" i="2"/>
  <c r="AI117" i="2"/>
  <c r="AG117" i="2"/>
  <c r="AE117" i="2"/>
  <c r="AC117" i="2"/>
  <c r="AA117" i="2"/>
  <c r="Y117" i="2"/>
  <c r="W117" i="2"/>
  <c r="U117" i="2"/>
  <c r="S117" i="2"/>
  <c r="Q117" i="2"/>
  <c r="N117" i="2"/>
  <c r="L117" i="2"/>
  <c r="J117" i="2"/>
  <c r="H117" i="2"/>
  <c r="F117" i="2"/>
  <c r="D117" i="2"/>
  <c r="B117" i="2"/>
  <c r="AW116" i="2"/>
  <c r="AT116" i="2"/>
  <c r="AR116" i="2"/>
  <c r="AO116" i="2"/>
  <c r="AM116" i="2"/>
  <c r="AK116" i="2"/>
  <c r="AI116" i="2"/>
  <c r="AG116" i="2"/>
  <c r="AE116" i="2"/>
  <c r="AC116" i="2"/>
  <c r="AA116" i="2"/>
  <c r="Y116" i="2"/>
  <c r="W116" i="2"/>
  <c r="U116" i="2"/>
  <c r="S116" i="2"/>
  <c r="Q116" i="2"/>
  <c r="N116" i="2"/>
  <c r="L116" i="2"/>
  <c r="J116" i="2"/>
  <c r="H116" i="2"/>
  <c r="F116" i="2"/>
  <c r="D116" i="2"/>
  <c r="B116" i="2"/>
  <c r="AW115" i="2"/>
  <c r="AT115" i="2"/>
  <c r="AR115" i="2"/>
  <c r="AO115" i="2"/>
  <c r="AM115" i="2"/>
  <c r="AK115" i="2"/>
  <c r="AI115" i="2"/>
  <c r="AG115" i="2"/>
  <c r="AE115" i="2"/>
  <c r="AC115" i="2"/>
  <c r="AA115" i="2"/>
  <c r="Y115" i="2"/>
  <c r="W115" i="2"/>
  <c r="U115" i="2"/>
  <c r="S115" i="2"/>
  <c r="Q115" i="2"/>
  <c r="N115" i="2"/>
  <c r="L115" i="2"/>
  <c r="J115" i="2"/>
  <c r="H115" i="2"/>
  <c r="F115" i="2"/>
  <c r="D115" i="2"/>
  <c r="B115" i="2"/>
  <c r="AW114" i="2"/>
  <c r="AT114" i="2"/>
  <c r="AR114" i="2"/>
  <c r="AO114" i="2"/>
  <c r="AM114" i="2"/>
  <c r="AK114" i="2"/>
  <c r="AI114" i="2"/>
  <c r="AG114" i="2"/>
  <c r="AE114" i="2"/>
  <c r="AC114" i="2"/>
  <c r="AA114" i="2"/>
  <c r="Y114" i="2"/>
  <c r="W114" i="2"/>
  <c r="U114" i="2"/>
  <c r="S114" i="2"/>
  <c r="Q114" i="2"/>
  <c r="N114" i="2"/>
  <c r="L114" i="2"/>
  <c r="J114" i="2"/>
  <c r="H114" i="2"/>
  <c r="F114" i="2"/>
  <c r="D114" i="2"/>
  <c r="B114" i="2"/>
  <c r="AW113" i="2"/>
  <c r="AT113" i="2"/>
  <c r="AR113" i="2"/>
  <c r="AO113" i="2"/>
  <c r="AM113" i="2"/>
  <c r="AK113" i="2"/>
  <c r="AI113" i="2"/>
  <c r="AG113" i="2"/>
  <c r="AE113" i="2"/>
  <c r="AC113" i="2"/>
  <c r="AA113" i="2"/>
  <c r="Y113" i="2"/>
  <c r="W113" i="2"/>
  <c r="U113" i="2"/>
  <c r="S113" i="2"/>
  <c r="Q113" i="2"/>
  <c r="N113" i="2"/>
  <c r="L113" i="2"/>
  <c r="J113" i="2"/>
  <c r="H113" i="2"/>
  <c r="F113" i="2"/>
  <c r="D113" i="2"/>
  <c r="B113" i="2"/>
  <c r="AW112" i="2"/>
  <c r="AT112" i="2"/>
  <c r="AR112" i="2"/>
  <c r="AO112" i="2"/>
  <c r="AM112" i="2"/>
  <c r="AK112" i="2"/>
  <c r="AI112" i="2"/>
  <c r="AG112" i="2"/>
  <c r="AE112" i="2"/>
  <c r="AC112" i="2"/>
  <c r="AA112" i="2"/>
  <c r="Y112" i="2"/>
  <c r="W112" i="2"/>
  <c r="U112" i="2"/>
  <c r="S112" i="2"/>
  <c r="Q112" i="2"/>
  <c r="N112" i="2"/>
  <c r="L112" i="2"/>
  <c r="J112" i="2"/>
  <c r="H112" i="2"/>
  <c r="F112" i="2"/>
  <c r="D112" i="2"/>
  <c r="B112" i="2"/>
  <c r="AW111" i="2"/>
  <c r="AT111" i="2"/>
  <c r="AR111" i="2"/>
  <c r="AO111" i="2"/>
  <c r="AM111" i="2"/>
  <c r="AK111" i="2"/>
  <c r="AI111" i="2"/>
  <c r="AG111" i="2"/>
  <c r="AE111" i="2"/>
  <c r="AC111" i="2"/>
  <c r="AA111" i="2"/>
  <c r="Y111" i="2"/>
  <c r="W111" i="2"/>
  <c r="U111" i="2"/>
  <c r="S111" i="2"/>
  <c r="Q111" i="2"/>
  <c r="N111" i="2"/>
  <c r="L111" i="2"/>
  <c r="J111" i="2"/>
  <c r="H111" i="2"/>
  <c r="F111" i="2"/>
  <c r="D111" i="2"/>
  <c r="B111" i="2"/>
  <c r="AW110" i="2"/>
  <c r="AT110" i="2"/>
  <c r="AR110" i="2"/>
  <c r="AO110" i="2"/>
  <c r="AM110" i="2"/>
  <c r="AK110" i="2"/>
  <c r="AI110" i="2"/>
  <c r="AG110" i="2"/>
  <c r="AE110" i="2"/>
  <c r="AC110" i="2"/>
  <c r="AA110" i="2"/>
  <c r="Y110" i="2"/>
  <c r="W110" i="2"/>
  <c r="U110" i="2"/>
  <c r="S110" i="2"/>
  <c r="Q110" i="2"/>
  <c r="N110" i="2"/>
  <c r="L110" i="2"/>
  <c r="J110" i="2"/>
  <c r="H110" i="2"/>
  <c r="F110" i="2"/>
  <c r="D110" i="2"/>
  <c r="B110" i="2"/>
  <c r="AW109" i="2"/>
  <c r="AT109" i="2"/>
  <c r="AR109" i="2"/>
  <c r="AO109" i="2"/>
  <c r="AM109" i="2"/>
  <c r="AK109" i="2"/>
  <c r="AI109" i="2"/>
  <c r="AG109" i="2"/>
  <c r="AE109" i="2"/>
  <c r="AC109" i="2"/>
  <c r="AA109" i="2"/>
  <c r="Y109" i="2"/>
  <c r="W109" i="2"/>
  <c r="U109" i="2"/>
  <c r="S109" i="2"/>
  <c r="Q109" i="2"/>
  <c r="N109" i="2"/>
  <c r="L109" i="2"/>
  <c r="J109" i="2"/>
  <c r="H109" i="2"/>
  <c r="F109" i="2"/>
  <c r="D109" i="2"/>
  <c r="B109" i="2"/>
  <c r="AW108" i="2"/>
  <c r="AT108" i="2"/>
  <c r="AR108" i="2"/>
  <c r="AO108" i="2"/>
  <c r="AM108" i="2"/>
  <c r="AK108" i="2"/>
  <c r="AI108" i="2"/>
  <c r="AG108" i="2"/>
  <c r="AE108" i="2"/>
  <c r="AC108" i="2"/>
  <c r="AA108" i="2"/>
  <c r="Y108" i="2"/>
  <c r="W108" i="2"/>
  <c r="U108" i="2"/>
  <c r="S108" i="2"/>
  <c r="Q108" i="2"/>
  <c r="N108" i="2"/>
  <c r="L108" i="2"/>
  <c r="J108" i="2"/>
  <c r="H108" i="2"/>
  <c r="F108" i="2"/>
  <c r="D108" i="2"/>
  <c r="B108" i="2"/>
  <c r="AW107" i="2"/>
  <c r="AT107" i="2"/>
  <c r="AR107" i="2"/>
  <c r="AO107" i="2"/>
  <c r="AM107" i="2"/>
  <c r="AK107" i="2"/>
  <c r="AI107" i="2"/>
  <c r="AG107" i="2"/>
  <c r="AE107" i="2"/>
  <c r="AC107" i="2"/>
  <c r="AA107" i="2"/>
  <c r="Y107" i="2"/>
  <c r="W107" i="2"/>
  <c r="U107" i="2"/>
  <c r="S107" i="2"/>
  <c r="Q107" i="2"/>
  <c r="N107" i="2"/>
  <c r="L107" i="2"/>
  <c r="J107" i="2"/>
  <c r="H107" i="2"/>
  <c r="F107" i="2"/>
  <c r="D107" i="2"/>
  <c r="B107" i="2"/>
  <c r="AW106" i="2"/>
  <c r="AT106" i="2"/>
  <c r="AR106" i="2"/>
  <c r="AO106" i="2"/>
  <c r="AM106" i="2"/>
  <c r="AK106" i="2"/>
  <c r="AI106" i="2"/>
  <c r="AG106" i="2"/>
  <c r="AE106" i="2"/>
  <c r="AC106" i="2"/>
  <c r="AA106" i="2"/>
  <c r="Y106" i="2"/>
  <c r="W106" i="2"/>
  <c r="U106" i="2"/>
  <c r="S106" i="2"/>
  <c r="Q106" i="2"/>
  <c r="N106" i="2"/>
  <c r="L106" i="2"/>
  <c r="J106" i="2"/>
  <c r="H106" i="2"/>
  <c r="F106" i="2"/>
  <c r="D106" i="2"/>
  <c r="B106" i="2"/>
  <c r="AW105" i="2"/>
  <c r="AT105" i="2"/>
  <c r="AR105" i="2"/>
  <c r="AO105" i="2"/>
  <c r="AM105" i="2"/>
  <c r="AK105" i="2"/>
  <c r="AI105" i="2"/>
  <c r="AG105" i="2"/>
  <c r="AE105" i="2"/>
  <c r="AC105" i="2"/>
  <c r="AA105" i="2"/>
  <c r="Y105" i="2"/>
  <c r="W105" i="2"/>
  <c r="U105" i="2"/>
  <c r="S105" i="2"/>
  <c r="Q105" i="2"/>
  <c r="N105" i="2"/>
  <c r="L105" i="2"/>
  <c r="J105" i="2"/>
  <c r="H105" i="2"/>
  <c r="F105" i="2"/>
  <c r="D105" i="2"/>
  <c r="B105" i="2"/>
  <c r="AW104" i="2"/>
  <c r="AT104" i="2"/>
  <c r="AR104" i="2"/>
  <c r="AO104" i="2"/>
  <c r="AM104" i="2"/>
  <c r="AK104" i="2"/>
  <c r="AI104" i="2"/>
  <c r="AG104" i="2"/>
  <c r="AE104" i="2"/>
  <c r="AC104" i="2"/>
  <c r="AA104" i="2"/>
  <c r="Y104" i="2"/>
  <c r="W104" i="2"/>
  <c r="U104" i="2"/>
  <c r="S104" i="2"/>
  <c r="Q104" i="2"/>
  <c r="N104" i="2"/>
  <c r="L104" i="2"/>
  <c r="J104" i="2"/>
  <c r="H104" i="2"/>
  <c r="F104" i="2"/>
  <c r="D104" i="2"/>
  <c r="B104" i="2"/>
  <c r="AW103" i="2"/>
  <c r="AT103" i="2"/>
  <c r="AR103" i="2"/>
  <c r="AO103" i="2"/>
  <c r="AM103" i="2"/>
  <c r="AK103" i="2"/>
  <c r="AI103" i="2"/>
  <c r="AG103" i="2"/>
  <c r="AE103" i="2"/>
  <c r="AC103" i="2"/>
  <c r="AA103" i="2"/>
  <c r="Y103" i="2"/>
  <c r="W103" i="2"/>
  <c r="U103" i="2"/>
  <c r="S103" i="2"/>
  <c r="Q103" i="2"/>
  <c r="N103" i="2"/>
  <c r="L103" i="2"/>
  <c r="J103" i="2"/>
  <c r="H103" i="2"/>
  <c r="F103" i="2"/>
  <c r="D103" i="2"/>
  <c r="B103" i="2"/>
  <c r="AW102" i="2"/>
  <c r="AT102" i="2"/>
  <c r="AR102" i="2"/>
  <c r="AO102" i="2"/>
  <c r="AM102" i="2"/>
  <c r="AK102" i="2"/>
  <c r="AI102" i="2"/>
  <c r="AG102" i="2"/>
  <c r="AE102" i="2"/>
  <c r="AC102" i="2"/>
  <c r="AA102" i="2"/>
  <c r="Y102" i="2"/>
  <c r="W102" i="2"/>
  <c r="U102" i="2"/>
  <c r="S102" i="2"/>
  <c r="Q102" i="2"/>
  <c r="N102" i="2"/>
  <c r="L102" i="2"/>
  <c r="J102" i="2"/>
  <c r="H102" i="2"/>
  <c r="F102" i="2"/>
  <c r="D102" i="2"/>
  <c r="B102" i="2"/>
  <c r="AW101" i="2"/>
  <c r="AT101" i="2"/>
  <c r="AR101" i="2"/>
  <c r="AO101" i="2"/>
  <c r="AM101" i="2"/>
  <c r="AK101" i="2"/>
  <c r="AI101" i="2"/>
  <c r="AG101" i="2"/>
  <c r="AE101" i="2"/>
  <c r="AC101" i="2"/>
  <c r="AA101" i="2"/>
  <c r="Y101" i="2"/>
  <c r="W101" i="2"/>
  <c r="U101" i="2"/>
  <c r="S101" i="2"/>
  <c r="Q101" i="2"/>
  <c r="N101" i="2"/>
  <c r="L101" i="2"/>
  <c r="J101" i="2"/>
  <c r="H101" i="2"/>
  <c r="F101" i="2"/>
  <c r="D101" i="2"/>
  <c r="B101" i="2"/>
  <c r="AW100" i="2"/>
  <c r="AT100" i="2"/>
  <c r="AR100" i="2"/>
  <c r="AO100" i="2"/>
  <c r="AM100" i="2"/>
  <c r="AK100" i="2"/>
  <c r="AI100" i="2"/>
  <c r="AG100" i="2"/>
  <c r="AE100" i="2"/>
  <c r="AC100" i="2"/>
  <c r="AA100" i="2"/>
  <c r="Y100" i="2"/>
  <c r="W100" i="2"/>
  <c r="U100" i="2"/>
  <c r="S100" i="2"/>
  <c r="Q100" i="2"/>
  <c r="N100" i="2"/>
  <c r="L100" i="2"/>
  <c r="J100" i="2"/>
  <c r="H100" i="2"/>
  <c r="F100" i="2"/>
  <c r="D100" i="2"/>
  <c r="B100" i="2"/>
  <c r="AW99" i="2"/>
  <c r="AT99" i="2"/>
  <c r="AR99" i="2"/>
  <c r="AO99" i="2"/>
  <c r="AM99" i="2"/>
  <c r="AK99" i="2"/>
  <c r="AI99" i="2"/>
  <c r="AG99" i="2"/>
  <c r="AE99" i="2"/>
  <c r="AC99" i="2"/>
  <c r="AA99" i="2"/>
  <c r="Y99" i="2"/>
  <c r="W99" i="2"/>
  <c r="U99" i="2"/>
  <c r="S99" i="2"/>
  <c r="Q99" i="2"/>
  <c r="N99" i="2"/>
  <c r="L99" i="2"/>
  <c r="J99" i="2"/>
  <c r="H99" i="2"/>
  <c r="F99" i="2"/>
  <c r="D99" i="2"/>
  <c r="B99" i="2"/>
  <c r="AW98" i="2"/>
  <c r="AT98" i="2"/>
  <c r="AR98" i="2"/>
  <c r="AO98" i="2"/>
  <c r="AM98" i="2"/>
  <c r="AK98" i="2"/>
  <c r="AI98" i="2"/>
  <c r="AG98" i="2"/>
  <c r="AE98" i="2"/>
  <c r="AC98" i="2"/>
  <c r="AA98" i="2"/>
  <c r="Y98" i="2"/>
  <c r="W98" i="2"/>
  <c r="U98" i="2"/>
  <c r="S98" i="2"/>
  <c r="Q98" i="2"/>
  <c r="N98" i="2"/>
  <c r="L98" i="2"/>
  <c r="J98" i="2"/>
  <c r="H98" i="2"/>
  <c r="F98" i="2"/>
  <c r="D98" i="2"/>
  <c r="B98" i="2"/>
  <c r="AW97" i="2"/>
  <c r="AT97" i="2"/>
  <c r="AR97" i="2"/>
  <c r="AO97" i="2"/>
  <c r="AM97" i="2"/>
  <c r="AK97" i="2"/>
  <c r="AI97" i="2"/>
  <c r="AG97" i="2"/>
  <c r="AE97" i="2"/>
  <c r="AC97" i="2"/>
  <c r="AA97" i="2"/>
  <c r="Y97" i="2"/>
  <c r="W97" i="2"/>
  <c r="U97" i="2"/>
  <c r="S97" i="2"/>
  <c r="Q97" i="2"/>
  <c r="N97" i="2"/>
  <c r="L97" i="2"/>
  <c r="J97" i="2"/>
  <c r="H97" i="2"/>
  <c r="F97" i="2"/>
  <c r="D97" i="2"/>
  <c r="B97" i="2"/>
  <c r="AW96" i="2"/>
  <c r="AT96" i="2"/>
  <c r="AR96" i="2"/>
  <c r="AO96" i="2"/>
  <c r="AM96" i="2"/>
  <c r="AK96" i="2"/>
  <c r="AI96" i="2"/>
  <c r="AG96" i="2"/>
  <c r="AE96" i="2"/>
  <c r="AC96" i="2"/>
  <c r="AA96" i="2"/>
  <c r="Y96" i="2"/>
  <c r="W96" i="2"/>
  <c r="U96" i="2"/>
  <c r="S96" i="2"/>
  <c r="Q96" i="2"/>
  <c r="N96" i="2"/>
  <c r="L96" i="2"/>
  <c r="J96" i="2"/>
  <c r="H96" i="2"/>
  <c r="F96" i="2"/>
  <c r="D96" i="2"/>
  <c r="B96" i="2"/>
  <c r="AW95" i="2"/>
  <c r="AT95" i="2"/>
  <c r="AR95" i="2"/>
  <c r="AO95" i="2"/>
  <c r="AM95" i="2"/>
  <c r="AK95" i="2"/>
  <c r="AI95" i="2"/>
  <c r="AG95" i="2"/>
  <c r="AE95" i="2"/>
  <c r="AC95" i="2"/>
  <c r="AA95" i="2"/>
  <c r="Y95" i="2"/>
  <c r="W95" i="2"/>
  <c r="U95" i="2"/>
  <c r="S95" i="2"/>
  <c r="Q95" i="2"/>
  <c r="N95" i="2"/>
  <c r="L95" i="2"/>
  <c r="J95" i="2"/>
  <c r="H95" i="2"/>
  <c r="F95" i="2"/>
  <c r="D95" i="2"/>
  <c r="B95" i="2"/>
  <c r="AW94" i="2"/>
  <c r="AT94" i="2"/>
  <c r="AR94" i="2"/>
  <c r="AO94" i="2"/>
  <c r="AM94" i="2"/>
  <c r="AK94" i="2"/>
  <c r="AI94" i="2"/>
  <c r="AG94" i="2"/>
  <c r="AE94" i="2"/>
  <c r="AC94" i="2"/>
  <c r="AA94" i="2"/>
  <c r="Y94" i="2"/>
  <c r="W94" i="2"/>
  <c r="U94" i="2"/>
  <c r="S94" i="2"/>
  <c r="Q94" i="2"/>
  <c r="N94" i="2"/>
  <c r="L94" i="2"/>
  <c r="J94" i="2"/>
  <c r="H94" i="2"/>
  <c r="F94" i="2"/>
  <c r="D94" i="2"/>
  <c r="B94" i="2"/>
  <c r="AW93" i="2"/>
  <c r="AT93" i="2"/>
  <c r="AR93" i="2"/>
  <c r="AO93" i="2"/>
  <c r="AM93" i="2"/>
  <c r="AK93" i="2"/>
  <c r="AI93" i="2"/>
  <c r="AG93" i="2"/>
  <c r="AE93" i="2"/>
  <c r="AC93" i="2"/>
  <c r="AA93" i="2"/>
  <c r="Y93" i="2"/>
  <c r="W93" i="2"/>
  <c r="U93" i="2"/>
  <c r="S93" i="2"/>
  <c r="Q93" i="2"/>
  <c r="N93" i="2"/>
  <c r="L93" i="2"/>
  <c r="J93" i="2"/>
  <c r="H93" i="2"/>
  <c r="F93" i="2"/>
  <c r="D93" i="2"/>
  <c r="B93" i="2"/>
  <c r="AW92" i="2"/>
  <c r="AT92" i="2"/>
  <c r="AR92" i="2"/>
  <c r="AO92" i="2"/>
  <c r="AM92" i="2"/>
  <c r="AK92" i="2"/>
  <c r="AI92" i="2"/>
  <c r="AG92" i="2"/>
  <c r="AE92" i="2"/>
  <c r="AC92" i="2"/>
  <c r="AA92" i="2"/>
  <c r="Y92" i="2"/>
  <c r="W92" i="2"/>
  <c r="U92" i="2"/>
  <c r="S92" i="2"/>
  <c r="Q92" i="2"/>
  <c r="N92" i="2"/>
  <c r="L92" i="2"/>
  <c r="J92" i="2"/>
  <c r="H92" i="2"/>
  <c r="F92" i="2"/>
  <c r="D92" i="2"/>
  <c r="B92" i="2"/>
  <c r="AW91" i="2"/>
  <c r="AT91" i="2"/>
  <c r="AR91" i="2"/>
  <c r="AO91" i="2"/>
  <c r="AM91" i="2"/>
  <c r="AK91" i="2"/>
  <c r="AI91" i="2"/>
  <c r="AG91" i="2"/>
  <c r="AE91" i="2"/>
  <c r="AC91" i="2"/>
  <c r="AA91" i="2"/>
  <c r="Y91" i="2"/>
  <c r="W91" i="2"/>
  <c r="U91" i="2"/>
  <c r="S91" i="2"/>
  <c r="Q91" i="2"/>
  <c r="N91" i="2"/>
  <c r="L91" i="2"/>
  <c r="J91" i="2"/>
  <c r="H91" i="2"/>
  <c r="F91" i="2"/>
  <c r="D91" i="2"/>
  <c r="B91" i="2"/>
  <c r="AW90" i="2"/>
  <c r="AT90" i="2"/>
  <c r="AR90" i="2"/>
  <c r="AO90" i="2"/>
  <c r="AM90" i="2"/>
  <c r="AK90" i="2"/>
  <c r="AI90" i="2"/>
  <c r="AG90" i="2"/>
  <c r="AE90" i="2"/>
  <c r="AC90" i="2"/>
  <c r="AA90" i="2"/>
  <c r="Y90" i="2"/>
  <c r="W90" i="2"/>
  <c r="U90" i="2"/>
  <c r="S90" i="2"/>
  <c r="Q90" i="2"/>
  <c r="N90" i="2"/>
  <c r="L90" i="2"/>
  <c r="J90" i="2"/>
  <c r="H90" i="2"/>
  <c r="F90" i="2"/>
  <c r="D90" i="2"/>
  <c r="B90" i="2"/>
  <c r="AW89" i="2"/>
  <c r="AT89" i="2"/>
  <c r="AR89" i="2"/>
  <c r="AO89" i="2"/>
  <c r="AM89" i="2"/>
  <c r="AK89" i="2"/>
  <c r="AI89" i="2"/>
  <c r="AG89" i="2"/>
  <c r="AE89" i="2"/>
  <c r="AC89" i="2"/>
  <c r="AA89" i="2"/>
  <c r="Y89" i="2"/>
  <c r="W89" i="2"/>
  <c r="U89" i="2"/>
  <c r="S89" i="2"/>
  <c r="Q89" i="2"/>
  <c r="N89" i="2"/>
  <c r="L89" i="2"/>
  <c r="J89" i="2"/>
  <c r="H89" i="2"/>
  <c r="F89" i="2"/>
  <c r="D89" i="2"/>
  <c r="B89" i="2"/>
  <c r="AW88" i="2"/>
  <c r="AT88" i="2"/>
  <c r="AR88" i="2"/>
  <c r="AO88" i="2"/>
  <c r="AM88" i="2"/>
  <c r="AK88" i="2"/>
  <c r="AI88" i="2"/>
  <c r="AG88" i="2"/>
  <c r="AE88" i="2"/>
  <c r="AC88" i="2"/>
  <c r="AA88" i="2"/>
  <c r="Y88" i="2"/>
  <c r="W88" i="2"/>
  <c r="U88" i="2"/>
  <c r="S88" i="2"/>
  <c r="Q88" i="2"/>
  <c r="N88" i="2"/>
  <c r="L88" i="2"/>
  <c r="J88" i="2"/>
  <c r="H88" i="2"/>
  <c r="F88" i="2"/>
  <c r="D88" i="2"/>
  <c r="B88" i="2"/>
  <c r="AW87" i="2"/>
  <c r="AT87" i="2"/>
  <c r="AR87" i="2"/>
  <c r="AO87" i="2"/>
  <c r="AM87" i="2"/>
  <c r="AK87" i="2"/>
  <c r="AI87" i="2"/>
  <c r="AG87" i="2"/>
  <c r="AE87" i="2"/>
  <c r="AC87" i="2"/>
  <c r="AA87" i="2"/>
  <c r="Y87" i="2"/>
  <c r="W87" i="2"/>
  <c r="U87" i="2"/>
  <c r="S87" i="2"/>
  <c r="Q87" i="2"/>
  <c r="N87" i="2"/>
  <c r="L87" i="2"/>
  <c r="J87" i="2"/>
  <c r="H87" i="2"/>
  <c r="F87" i="2"/>
  <c r="D87" i="2"/>
  <c r="B87" i="2"/>
  <c r="AW86" i="2"/>
  <c r="AT86" i="2"/>
  <c r="AR86" i="2"/>
  <c r="AO86" i="2"/>
  <c r="AM86" i="2"/>
  <c r="AK86" i="2"/>
  <c r="AI86" i="2"/>
  <c r="AG86" i="2"/>
  <c r="AE86" i="2"/>
  <c r="AC86" i="2"/>
  <c r="AA86" i="2"/>
  <c r="Y86" i="2"/>
  <c r="W86" i="2"/>
  <c r="U86" i="2"/>
  <c r="S86" i="2"/>
  <c r="Q86" i="2"/>
  <c r="N86" i="2"/>
  <c r="L86" i="2"/>
  <c r="J86" i="2"/>
  <c r="H86" i="2"/>
  <c r="F86" i="2"/>
  <c r="D86" i="2"/>
  <c r="B86" i="2"/>
  <c r="AW85" i="2"/>
  <c r="AT85" i="2"/>
  <c r="AR85" i="2"/>
  <c r="AO85" i="2"/>
  <c r="AM85" i="2"/>
  <c r="AK85" i="2"/>
  <c r="AI85" i="2"/>
  <c r="AG85" i="2"/>
  <c r="AE85" i="2"/>
  <c r="AC85" i="2"/>
  <c r="AA85" i="2"/>
  <c r="Y85" i="2"/>
  <c r="W85" i="2"/>
  <c r="U85" i="2"/>
  <c r="S85" i="2"/>
  <c r="Q85" i="2"/>
  <c r="N85" i="2"/>
  <c r="L85" i="2"/>
  <c r="J85" i="2"/>
  <c r="H85" i="2"/>
  <c r="F85" i="2"/>
  <c r="D85" i="2"/>
  <c r="B85" i="2"/>
  <c r="AW84" i="2"/>
  <c r="AT84" i="2"/>
  <c r="AR84" i="2"/>
  <c r="AO84" i="2"/>
  <c r="AM84" i="2"/>
  <c r="AK84" i="2"/>
  <c r="AI84" i="2"/>
  <c r="AG84" i="2"/>
  <c r="AE84" i="2"/>
  <c r="AC84" i="2"/>
  <c r="AA84" i="2"/>
  <c r="Y84" i="2"/>
  <c r="W84" i="2"/>
  <c r="U84" i="2"/>
  <c r="S84" i="2"/>
  <c r="Q84" i="2"/>
  <c r="N84" i="2"/>
  <c r="L84" i="2"/>
  <c r="J84" i="2"/>
  <c r="H84" i="2"/>
  <c r="F84" i="2"/>
  <c r="D84" i="2"/>
  <c r="B84" i="2"/>
  <c r="AW83" i="2"/>
  <c r="AT83" i="2"/>
  <c r="AR83" i="2"/>
  <c r="AO83" i="2"/>
  <c r="AM83" i="2"/>
  <c r="AK83" i="2"/>
  <c r="AI83" i="2"/>
  <c r="AG83" i="2"/>
  <c r="AE83" i="2"/>
  <c r="AC83" i="2"/>
  <c r="AA83" i="2"/>
  <c r="Y83" i="2"/>
  <c r="W83" i="2"/>
  <c r="U83" i="2"/>
  <c r="S83" i="2"/>
  <c r="Q83" i="2"/>
  <c r="N83" i="2"/>
  <c r="L83" i="2"/>
  <c r="J83" i="2"/>
  <c r="H83" i="2"/>
  <c r="F83" i="2"/>
  <c r="D83" i="2"/>
  <c r="B83" i="2"/>
  <c r="AW82" i="2"/>
  <c r="AT82" i="2"/>
  <c r="AR82" i="2"/>
  <c r="AO82" i="2"/>
  <c r="AM82" i="2"/>
  <c r="AK82" i="2"/>
  <c r="AI82" i="2"/>
  <c r="AG82" i="2"/>
  <c r="AE82" i="2"/>
  <c r="AC82" i="2"/>
  <c r="AA82" i="2"/>
  <c r="Y82" i="2"/>
  <c r="W82" i="2"/>
  <c r="U82" i="2"/>
  <c r="S82" i="2"/>
  <c r="Q82" i="2"/>
  <c r="N82" i="2"/>
  <c r="L82" i="2"/>
  <c r="J82" i="2"/>
  <c r="H82" i="2"/>
  <c r="F82" i="2"/>
  <c r="D82" i="2"/>
  <c r="B82" i="2"/>
  <c r="AW81" i="2"/>
  <c r="AT81" i="2"/>
  <c r="AR81" i="2"/>
  <c r="AO81" i="2"/>
  <c r="AM81" i="2"/>
  <c r="AK81" i="2"/>
  <c r="AI81" i="2"/>
  <c r="AG81" i="2"/>
  <c r="AE81" i="2"/>
  <c r="AC81" i="2"/>
  <c r="AA81" i="2"/>
  <c r="Y81" i="2"/>
  <c r="W81" i="2"/>
  <c r="U81" i="2"/>
  <c r="S81" i="2"/>
  <c r="Q81" i="2"/>
  <c r="N81" i="2"/>
  <c r="L81" i="2"/>
  <c r="J81" i="2"/>
  <c r="H81" i="2"/>
  <c r="F81" i="2"/>
  <c r="D81" i="2"/>
  <c r="B81" i="2"/>
  <c r="AW80" i="2"/>
  <c r="AT80" i="2"/>
  <c r="AR80" i="2"/>
  <c r="AO80" i="2"/>
  <c r="AM80" i="2"/>
  <c r="AK80" i="2"/>
  <c r="AI80" i="2"/>
  <c r="AG80" i="2"/>
  <c r="AE80" i="2"/>
  <c r="AC80" i="2"/>
  <c r="AA80" i="2"/>
  <c r="Y80" i="2"/>
  <c r="W80" i="2"/>
  <c r="U80" i="2"/>
  <c r="S80" i="2"/>
  <c r="Q80" i="2"/>
  <c r="N80" i="2"/>
  <c r="L80" i="2"/>
  <c r="J80" i="2"/>
  <c r="H80" i="2"/>
  <c r="F80" i="2"/>
  <c r="D80" i="2"/>
  <c r="B80" i="2"/>
  <c r="AW79" i="2"/>
  <c r="AT79" i="2"/>
  <c r="AR79" i="2"/>
  <c r="AO79" i="2"/>
  <c r="AM79" i="2"/>
  <c r="AK79" i="2"/>
  <c r="AI79" i="2"/>
  <c r="AG79" i="2"/>
  <c r="AE79" i="2"/>
  <c r="AC79" i="2"/>
  <c r="AA79" i="2"/>
  <c r="Y79" i="2"/>
  <c r="W79" i="2"/>
  <c r="U79" i="2"/>
  <c r="S79" i="2"/>
  <c r="Q79" i="2"/>
  <c r="N79" i="2"/>
  <c r="L79" i="2"/>
  <c r="J79" i="2"/>
  <c r="H79" i="2"/>
  <c r="F79" i="2"/>
  <c r="D79" i="2"/>
  <c r="B79" i="2"/>
  <c r="AW78" i="2"/>
  <c r="AT78" i="2"/>
  <c r="AR78" i="2"/>
  <c r="AO78" i="2"/>
  <c r="AM78" i="2"/>
  <c r="AK78" i="2"/>
  <c r="AI78" i="2"/>
  <c r="AG78" i="2"/>
  <c r="AE78" i="2"/>
  <c r="AC78" i="2"/>
  <c r="AA78" i="2"/>
  <c r="Y78" i="2"/>
  <c r="W78" i="2"/>
  <c r="U78" i="2"/>
  <c r="S78" i="2"/>
  <c r="Q78" i="2"/>
  <c r="N78" i="2"/>
  <c r="L78" i="2"/>
  <c r="J78" i="2"/>
  <c r="H78" i="2"/>
  <c r="F78" i="2"/>
  <c r="D78" i="2"/>
  <c r="B78" i="2"/>
  <c r="AW77" i="2"/>
  <c r="AT77" i="2"/>
  <c r="AR77" i="2"/>
  <c r="AO77" i="2"/>
  <c r="AM77" i="2"/>
  <c r="AK77" i="2"/>
  <c r="AI77" i="2"/>
  <c r="AG77" i="2"/>
  <c r="AE77" i="2"/>
  <c r="AC77" i="2"/>
  <c r="AA77" i="2"/>
  <c r="Y77" i="2"/>
  <c r="W77" i="2"/>
  <c r="U77" i="2"/>
  <c r="S77" i="2"/>
  <c r="Q77" i="2"/>
  <c r="N77" i="2"/>
  <c r="L77" i="2"/>
  <c r="J77" i="2"/>
  <c r="H77" i="2"/>
  <c r="F77" i="2"/>
  <c r="D77" i="2"/>
  <c r="B77" i="2"/>
  <c r="AW76" i="2"/>
  <c r="AT76" i="2"/>
  <c r="AR76" i="2"/>
  <c r="AO76" i="2"/>
  <c r="AM76" i="2"/>
  <c r="AK76" i="2"/>
  <c r="AI76" i="2"/>
  <c r="AG76" i="2"/>
  <c r="AE76" i="2"/>
  <c r="AC76" i="2"/>
  <c r="AA76" i="2"/>
  <c r="Y76" i="2"/>
  <c r="W76" i="2"/>
  <c r="U76" i="2"/>
  <c r="S76" i="2"/>
  <c r="Q76" i="2"/>
  <c r="N76" i="2"/>
  <c r="L76" i="2"/>
  <c r="J76" i="2"/>
  <c r="H76" i="2"/>
  <c r="F76" i="2"/>
  <c r="D76" i="2"/>
  <c r="B76" i="2"/>
  <c r="AW75" i="2"/>
  <c r="AT75" i="2"/>
  <c r="AR75" i="2"/>
  <c r="AO75" i="2"/>
  <c r="AM75" i="2"/>
  <c r="AK75" i="2"/>
  <c r="AI75" i="2"/>
  <c r="AG75" i="2"/>
  <c r="AE75" i="2"/>
  <c r="AC75" i="2"/>
  <c r="AA75" i="2"/>
  <c r="Y75" i="2"/>
  <c r="W75" i="2"/>
  <c r="U75" i="2"/>
  <c r="S75" i="2"/>
  <c r="Q75" i="2"/>
  <c r="N75" i="2"/>
  <c r="L75" i="2"/>
  <c r="J75" i="2"/>
  <c r="H75" i="2"/>
  <c r="F75" i="2"/>
  <c r="D75" i="2"/>
  <c r="B75" i="2"/>
  <c r="AW74" i="2"/>
  <c r="AT74" i="2"/>
  <c r="AR74" i="2"/>
  <c r="AO74" i="2"/>
  <c r="AM74" i="2"/>
  <c r="AK74" i="2"/>
  <c r="AI74" i="2"/>
  <c r="AG74" i="2"/>
  <c r="AE74" i="2"/>
  <c r="AC74" i="2"/>
  <c r="AA74" i="2"/>
  <c r="Y74" i="2"/>
  <c r="W74" i="2"/>
  <c r="U74" i="2"/>
  <c r="S74" i="2"/>
  <c r="Q74" i="2"/>
  <c r="N74" i="2"/>
  <c r="L74" i="2"/>
  <c r="J74" i="2"/>
  <c r="H74" i="2"/>
  <c r="F74" i="2"/>
  <c r="D74" i="2"/>
  <c r="B74" i="2"/>
  <c r="AW73" i="2"/>
  <c r="AT73" i="2"/>
  <c r="AR73" i="2"/>
  <c r="AO73" i="2"/>
  <c r="AM73" i="2"/>
  <c r="AK73" i="2"/>
  <c r="AI73" i="2"/>
  <c r="AG73" i="2"/>
  <c r="AE73" i="2"/>
  <c r="AC73" i="2"/>
  <c r="AA73" i="2"/>
  <c r="Y73" i="2"/>
  <c r="W73" i="2"/>
  <c r="U73" i="2"/>
  <c r="S73" i="2"/>
  <c r="Q73" i="2"/>
  <c r="N73" i="2"/>
  <c r="L73" i="2"/>
  <c r="J73" i="2"/>
  <c r="H73" i="2"/>
  <c r="F73" i="2"/>
  <c r="D73" i="2"/>
  <c r="B73" i="2"/>
  <c r="AW72" i="2"/>
  <c r="AT72" i="2"/>
  <c r="AR72" i="2"/>
  <c r="AO72" i="2"/>
  <c r="AM72" i="2"/>
  <c r="AK72" i="2"/>
  <c r="AI72" i="2"/>
  <c r="AG72" i="2"/>
  <c r="AE72" i="2"/>
  <c r="AC72" i="2"/>
  <c r="AA72" i="2"/>
  <c r="Y72" i="2"/>
  <c r="W72" i="2"/>
  <c r="U72" i="2"/>
  <c r="S72" i="2"/>
  <c r="Q72" i="2"/>
  <c r="N72" i="2"/>
  <c r="L72" i="2"/>
  <c r="J72" i="2"/>
  <c r="H72" i="2"/>
  <c r="F72" i="2"/>
  <c r="D72" i="2"/>
  <c r="B72" i="2"/>
  <c r="AW71" i="2"/>
  <c r="AT71" i="2"/>
  <c r="AR71" i="2"/>
  <c r="AO71" i="2"/>
  <c r="AM71" i="2"/>
  <c r="AK71" i="2"/>
  <c r="AI71" i="2"/>
  <c r="AG71" i="2"/>
  <c r="AE71" i="2"/>
  <c r="AC71" i="2"/>
  <c r="AA71" i="2"/>
  <c r="Y71" i="2"/>
  <c r="W71" i="2"/>
  <c r="U71" i="2"/>
  <c r="S71" i="2"/>
  <c r="Q71" i="2"/>
  <c r="N71" i="2"/>
  <c r="L71" i="2"/>
  <c r="J71" i="2"/>
  <c r="H71" i="2"/>
  <c r="F71" i="2"/>
  <c r="D71" i="2"/>
  <c r="B71" i="2"/>
  <c r="AW70" i="2"/>
  <c r="AT70" i="2"/>
  <c r="AR70" i="2"/>
  <c r="AO70" i="2"/>
  <c r="AM70" i="2"/>
  <c r="AK70" i="2"/>
  <c r="AI70" i="2"/>
  <c r="AG70" i="2"/>
  <c r="AE70" i="2"/>
  <c r="AC70" i="2"/>
  <c r="AA70" i="2"/>
  <c r="Y70" i="2"/>
  <c r="W70" i="2"/>
  <c r="U70" i="2"/>
  <c r="S70" i="2"/>
  <c r="Q70" i="2"/>
  <c r="N70" i="2"/>
  <c r="L70" i="2"/>
  <c r="J70" i="2"/>
  <c r="H70" i="2"/>
  <c r="F70" i="2"/>
  <c r="D70" i="2"/>
  <c r="B70" i="2"/>
  <c r="AW69" i="2"/>
  <c r="AT69" i="2"/>
  <c r="AR69" i="2"/>
  <c r="AO69" i="2"/>
  <c r="AM69" i="2"/>
  <c r="AK69" i="2"/>
  <c r="AI69" i="2"/>
  <c r="AG69" i="2"/>
  <c r="AE69" i="2"/>
  <c r="AC69" i="2"/>
  <c r="AA69" i="2"/>
  <c r="Y69" i="2"/>
  <c r="W69" i="2"/>
  <c r="U69" i="2"/>
  <c r="S69" i="2"/>
  <c r="Q69" i="2"/>
  <c r="N69" i="2"/>
  <c r="L69" i="2"/>
  <c r="J69" i="2"/>
  <c r="H69" i="2"/>
  <c r="F69" i="2"/>
  <c r="D69" i="2"/>
  <c r="B69" i="2"/>
  <c r="AW68" i="2"/>
  <c r="AT68" i="2"/>
  <c r="AR68" i="2"/>
  <c r="AO68" i="2"/>
  <c r="AM68" i="2"/>
  <c r="AK68" i="2"/>
  <c r="AI68" i="2"/>
  <c r="AG68" i="2"/>
  <c r="AE68" i="2"/>
  <c r="AC68" i="2"/>
  <c r="AA68" i="2"/>
  <c r="Y68" i="2"/>
  <c r="W68" i="2"/>
  <c r="U68" i="2"/>
  <c r="S68" i="2"/>
  <c r="Q68" i="2"/>
  <c r="N68" i="2"/>
  <c r="L68" i="2"/>
  <c r="J68" i="2"/>
  <c r="H68" i="2"/>
  <c r="F68" i="2"/>
  <c r="D68" i="2"/>
  <c r="B68" i="2"/>
  <c r="AW67" i="2"/>
  <c r="AT67" i="2"/>
  <c r="AR67" i="2"/>
  <c r="AO67" i="2"/>
  <c r="AM67" i="2"/>
  <c r="AK67" i="2"/>
  <c r="AI67" i="2"/>
  <c r="AG67" i="2"/>
  <c r="AE67" i="2"/>
  <c r="AC67" i="2"/>
  <c r="AA67" i="2"/>
  <c r="Y67" i="2"/>
  <c r="W67" i="2"/>
  <c r="U67" i="2"/>
  <c r="S67" i="2"/>
  <c r="Q67" i="2"/>
  <c r="N67" i="2"/>
  <c r="L67" i="2"/>
  <c r="J67" i="2"/>
  <c r="H67" i="2"/>
  <c r="F67" i="2"/>
  <c r="D67" i="2"/>
  <c r="B67" i="2"/>
  <c r="AW66" i="2"/>
  <c r="AT66" i="2"/>
  <c r="AR66" i="2"/>
  <c r="AO66" i="2"/>
  <c r="AM66" i="2"/>
  <c r="AK66" i="2"/>
  <c r="AI66" i="2"/>
  <c r="AG66" i="2"/>
  <c r="AE66" i="2"/>
  <c r="AC66" i="2"/>
  <c r="AA66" i="2"/>
  <c r="Y66" i="2"/>
  <c r="W66" i="2"/>
  <c r="U66" i="2"/>
  <c r="S66" i="2"/>
  <c r="Q66" i="2"/>
  <c r="N66" i="2"/>
  <c r="L66" i="2"/>
  <c r="J66" i="2"/>
  <c r="H66" i="2"/>
  <c r="F66" i="2"/>
  <c r="D66" i="2"/>
  <c r="B66" i="2"/>
  <c r="AW65" i="2"/>
  <c r="AT65" i="2"/>
  <c r="AR65" i="2"/>
  <c r="AO65" i="2"/>
  <c r="AM65" i="2"/>
  <c r="AK65" i="2"/>
  <c r="AI65" i="2"/>
  <c r="AG65" i="2"/>
  <c r="AE65" i="2"/>
  <c r="AC65" i="2"/>
  <c r="AA65" i="2"/>
  <c r="Y65" i="2"/>
  <c r="W65" i="2"/>
  <c r="U65" i="2"/>
  <c r="S65" i="2"/>
  <c r="Q65" i="2"/>
  <c r="N65" i="2"/>
  <c r="L65" i="2"/>
  <c r="J65" i="2"/>
  <c r="H65" i="2"/>
  <c r="F65" i="2"/>
  <c r="D65" i="2"/>
  <c r="B65" i="2"/>
  <c r="AW64" i="2"/>
  <c r="AT64" i="2"/>
  <c r="AR64" i="2"/>
  <c r="AO64" i="2"/>
  <c r="AM64" i="2"/>
  <c r="AK64" i="2"/>
  <c r="AI64" i="2"/>
  <c r="AG64" i="2"/>
  <c r="AE64" i="2"/>
  <c r="AC64" i="2"/>
  <c r="AA64" i="2"/>
  <c r="Y64" i="2"/>
  <c r="W64" i="2"/>
  <c r="U64" i="2"/>
  <c r="S64" i="2"/>
  <c r="Q64" i="2"/>
  <c r="N64" i="2"/>
  <c r="L64" i="2"/>
  <c r="J64" i="2"/>
  <c r="H64" i="2"/>
  <c r="F64" i="2"/>
  <c r="D64" i="2"/>
  <c r="B64" i="2"/>
  <c r="AW63" i="2"/>
  <c r="AT63" i="2"/>
  <c r="AR63" i="2"/>
  <c r="AO63" i="2"/>
  <c r="AM63" i="2"/>
  <c r="AK63" i="2"/>
  <c r="AI63" i="2"/>
  <c r="AG63" i="2"/>
  <c r="AE63" i="2"/>
  <c r="AC63" i="2"/>
  <c r="AA63" i="2"/>
  <c r="Y63" i="2"/>
  <c r="W63" i="2"/>
  <c r="U63" i="2"/>
  <c r="S63" i="2"/>
  <c r="Q63" i="2"/>
  <c r="N63" i="2"/>
  <c r="L63" i="2"/>
  <c r="J63" i="2"/>
  <c r="H63" i="2"/>
  <c r="F63" i="2"/>
  <c r="D63" i="2"/>
  <c r="B63" i="2"/>
  <c r="AW62" i="2"/>
  <c r="AT62" i="2"/>
  <c r="AR62" i="2"/>
  <c r="AO62" i="2"/>
  <c r="AM62" i="2"/>
  <c r="AK62" i="2"/>
  <c r="AI62" i="2"/>
  <c r="AG62" i="2"/>
  <c r="AE62" i="2"/>
  <c r="AC62" i="2"/>
  <c r="AA62" i="2"/>
  <c r="Y62" i="2"/>
  <c r="W62" i="2"/>
  <c r="U62" i="2"/>
  <c r="S62" i="2"/>
  <c r="Q62" i="2"/>
  <c r="N62" i="2"/>
  <c r="L62" i="2"/>
  <c r="J62" i="2"/>
  <c r="H62" i="2"/>
  <c r="F62" i="2"/>
  <c r="D62" i="2"/>
  <c r="B62" i="2"/>
  <c r="AW61" i="2"/>
  <c r="AT61" i="2"/>
  <c r="AR61" i="2"/>
  <c r="AO61" i="2"/>
  <c r="AM61" i="2"/>
  <c r="AK61" i="2"/>
  <c r="AI61" i="2"/>
  <c r="AG61" i="2"/>
  <c r="AE61" i="2"/>
  <c r="AC61" i="2"/>
  <c r="AA61" i="2"/>
  <c r="Y61" i="2"/>
  <c r="W61" i="2"/>
  <c r="U61" i="2"/>
  <c r="S61" i="2"/>
  <c r="Q61" i="2"/>
  <c r="N61" i="2"/>
  <c r="L61" i="2"/>
  <c r="J61" i="2"/>
  <c r="H61" i="2"/>
  <c r="F61" i="2"/>
  <c r="D61" i="2"/>
  <c r="B61" i="2"/>
  <c r="AW60" i="2"/>
  <c r="AT60" i="2"/>
  <c r="AR60" i="2"/>
  <c r="AO60" i="2"/>
  <c r="AM60" i="2"/>
  <c r="AK60" i="2"/>
  <c r="AI60" i="2"/>
  <c r="AG60" i="2"/>
  <c r="AE60" i="2"/>
  <c r="AC60" i="2"/>
  <c r="AA60" i="2"/>
  <c r="Y60" i="2"/>
  <c r="W60" i="2"/>
  <c r="U60" i="2"/>
  <c r="S60" i="2"/>
  <c r="Q60" i="2"/>
  <c r="N60" i="2"/>
  <c r="L60" i="2"/>
  <c r="J60" i="2"/>
  <c r="H60" i="2"/>
  <c r="F60" i="2"/>
  <c r="D60" i="2"/>
  <c r="B60" i="2"/>
  <c r="AW59" i="2"/>
  <c r="AT59" i="2"/>
  <c r="AR59" i="2"/>
  <c r="AO59" i="2"/>
  <c r="AM59" i="2"/>
  <c r="AK59" i="2"/>
  <c r="AI59" i="2"/>
  <c r="AG59" i="2"/>
  <c r="AE59" i="2"/>
  <c r="AC59" i="2"/>
  <c r="AA59" i="2"/>
  <c r="Y59" i="2"/>
  <c r="W59" i="2"/>
  <c r="U59" i="2"/>
  <c r="S59" i="2"/>
  <c r="Q59" i="2"/>
  <c r="N59" i="2"/>
  <c r="L59" i="2"/>
  <c r="J59" i="2"/>
  <c r="H59" i="2"/>
  <c r="F59" i="2"/>
  <c r="D59" i="2"/>
  <c r="B59" i="2"/>
  <c r="AW58" i="2"/>
  <c r="AT58" i="2"/>
  <c r="AR58" i="2"/>
  <c r="AO58" i="2"/>
  <c r="AM58" i="2"/>
  <c r="AK58" i="2"/>
  <c r="AI58" i="2"/>
  <c r="AG58" i="2"/>
  <c r="AE58" i="2"/>
  <c r="AC58" i="2"/>
  <c r="AA58" i="2"/>
  <c r="Y58" i="2"/>
  <c r="W58" i="2"/>
  <c r="U58" i="2"/>
  <c r="S58" i="2"/>
  <c r="Q58" i="2"/>
  <c r="N58" i="2"/>
  <c r="L58" i="2"/>
  <c r="J58" i="2"/>
  <c r="H58" i="2"/>
  <c r="F58" i="2"/>
  <c r="D58" i="2"/>
  <c r="B58" i="2"/>
  <c r="AW57" i="2"/>
  <c r="AT57" i="2"/>
  <c r="AR57" i="2"/>
  <c r="AO57" i="2"/>
  <c r="AM57" i="2"/>
  <c r="AK57" i="2"/>
  <c r="AI57" i="2"/>
  <c r="AG57" i="2"/>
  <c r="AE57" i="2"/>
  <c r="AC57" i="2"/>
  <c r="AA57" i="2"/>
  <c r="Y57" i="2"/>
  <c r="W57" i="2"/>
  <c r="U57" i="2"/>
  <c r="S57" i="2"/>
  <c r="Q57" i="2"/>
  <c r="N57" i="2"/>
  <c r="L57" i="2"/>
  <c r="J57" i="2"/>
  <c r="H57" i="2"/>
  <c r="F57" i="2"/>
  <c r="D57" i="2"/>
  <c r="B57" i="2"/>
  <c r="AW56" i="2"/>
  <c r="AT56" i="2"/>
  <c r="AR56" i="2"/>
  <c r="AO56" i="2"/>
  <c r="AM56" i="2"/>
  <c r="AK56" i="2"/>
  <c r="AI56" i="2"/>
  <c r="AG56" i="2"/>
  <c r="AE56" i="2"/>
  <c r="AC56" i="2"/>
  <c r="AA56" i="2"/>
  <c r="Y56" i="2"/>
  <c r="W56" i="2"/>
  <c r="U56" i="2"/>
  <c r="S56" i="2"/>
  <c r="Q56" i="2"/>
  <c r="N56" i="2"/>
  <c r="L56" i="2"/>
  <c r="J56" i="2"/>
  <c r="H56" i="2"/>
  <c r="F56" i="2"/>
  <c r="D56" i="2"/>
  <c r="B56" i="2"/>
  <c r="AW55" i="2"/>
  <c r="AT55" i="2"/>
  <c r="AR55" i="2"/>
  <c r="AO55" i="2"/>
  <c r="AM55" i="2"/>
  <c r="AK55" i="2"/>
  <c r="AI55" i="2"/>
  <c r="AG55" i="2"/>
  <c r="AE55" i="2"/>
  <c r="AC55" i="2"/>
  <c r="AA55" i="2"/>
  <c r="Y55" i="2"/>
  <c r="W55" i="2"/>
  <c r="U55" i="2"/>
  <c r="S55" i="2"/>
  <c r="Q55" i="2"/>
  <c r="N55" i="2"/>
  <c r="L55" i="2"/>
  <c r="J55" i="2"/>
  <c r="H55" i="2"/>
  <c r="F55" i="2"/>
  <c r="D55" i="2"/>
  <c r="B55" i="2"/>
  <c r="AW54" i="2"/>
  <c r="AT54" i="2"/>
  <c r="AR54" i="2"/>
  <c r="AO54" i="2"/>
  <c r="AM54" i="2"/>
  <c r="AK54" i="2"/>
  <c r="AI54" i="2"/>
  <c r="AG54" i="2"/>
  <c r="AE54" i="2"/>
  <c r="AC54" i="2"/>
  <c r="AA54" i="2"/>
  <c r="Y54" i="2"/>
  <c r="W54" i="2"/>
  <c r="U54" i="2"/>
  <c r="S54" i="2"/>
  <c r="Q54" i="2"/>
  <c r="N54" i="2"/>
  <c r="L54" i="2"/>
  <c r="J54" i="2"/>
  <c r="H54" i="2"/>
  <c r="F54" i="2"/>
  <c r="D54" i="2"/>
  <c r="B54" i="2"/>
  <c r="AW53" i="2"/>
  <c r="AT53" i="2"/>
  <c r="AR53" i="2"/>
  <c r="AO53" i="2"/>
  <c r="AM53" i="2"/>
  <c r="AK53" i="2"/>
  <c r="AI53" i="2"/>
  <c r="AG53" i="2"/>
  <c r="AE53" i="2"/>
  <c r="AC53" i="2"/>
  <c r="AA53" i="2"/>
  <c r="Y53" i="2"/>
  <c r="W53" i="2"/>
  <c r="U53" i="2"/>
  <c r="S53" i="2"/>
  <c r="Q53" i="2"/>
  <c r="N53" i="2"/>
  <c r="L53" i="2"/>
  <c r="J53" i="2"/>
  <c r="H53" i="2"/>
  <c r="F53" i="2"/>
  <c r="D53" i="2"/>
  <c r="B53" i="2"/>
  <c r="AW52" i="2"/>
  <c r="AT52" i="2"/>
  <c r="AR52" i="2"/>
  <c r="AO52" i="2"/>
  <c r="AM52" i="2"/>
  <c r="AK52" i="2"/>
  <c r="AI52" i="2"/>
  <c r="AG52" i="2"/>
  <c r="AE52" i="2"/>
  <c r="AC52" i="2"/>
  <c r="AA52" i="2"/>
  <c r="Y52" i="2"/>
  <c r="W52" i="2"/>
  <c r="U52" i="2"/>
  <c r="S52" i="2"/>
  <c r="Q52" i="2"/>
  <c r="N52" i="2"/>
  <c r="L52" i="2"/>
  <c r="J52" i="2"/>
  <c r="H52" i="2"/>
  <c r="F52" i="2"/>
  <c r="D52" i="2"/>
  <c r="B52" i="2"/>
  <c r="AW51" i="2"/>
  <c r="AT51" i="2"/>
  <c r="AR51" i="2"/>
  <c r="AO51" i="2"/>
  <c r="AM51" i="2"/>
  <c r="AK51" i="2"/>
  <c r="AI51" i="2"/>
  <c r="AG51" i="2"/>
  <c r="AE51" i="2"/>
  <c r="AC51" i="2"/>
  <c r="AA51" i="2"/>
  <c r="Y51" i="2"/>
  <c r="W51" i="2"/>
  <c r="U51" i="2"/>
  <c r="S51" i="2"/>
  <c r="Q51" i="2"/>
  <c r="N51" i="2"/>
  <c r="L51" i="2"/>
  <c r="J51" i="2"/>
  <c r="H51" i="2"/>
  <c r="F51" i="2"/>
  <c r="D51" i="2"/>
  <c r="B51" i="2"/>
  <c r="AW50" i="2"/>
  <c r="AT50" i="2"/>
  <c r="AR50" i="2"/>
  <c r="AO50" i="2"/>
  <c r="AM50" i="2"/>
  <c r="AK50" i="2"/>
  <c r="AI50" i="2"/>
  <c r="AG50" i="2"/>
  <c r="AE50" i="2"/>
  <c r="AC50" i="2"/>
  <c r="AA50" i="2"/>
  <c r="Y50" i="2"/>
  <c r="W50" i="2"/>
  <c r="U50" i="2"/>
  <c r="S50" i="2"/>
  <c r="Q50" i="2"/>
  <c r="N50" i="2"/>
  <c r="L50" i="2"/>
  <c r="J50" i="2"/>
  <c r="H50" i="2"/>
  <c r="F50" i="2"/>
  <c r="D50" i="2"/>
  <c r="B50" i="2"/>
  <c r="AW49" i="2"/>
  <c r="AT49" i="2"/>
  <c r="AR49" i="2"/>
  <c r="AO49" i="2"/>
  <c r="AM49" i="2"/>
  <c r="AK49" i="2"/>
  <c r="AI49" i="2"/>
  <c r="AG49" i="2"/>
  <c r="AE49" i="2"/>
  <c r="AC49" i="2"/>
  <c r="AA49" i="2"/>
  <c r="Y49" i="2"/>
  <c r="W49" i="2"/>
  <c r="U49" i="2"/>
  <c r="S49" i="2"/>
  <c r="Q49" i="2"/>
  <c r="N49" i="2"/>
  <c r="L49" i="2"/>
  <c r="J49" i="2"/>
  <c r="H49" i="2"/>
  <c r="F49" i="2"/>
  <c r="D49" i="2"/>
  <c r="B49" i="2"/>
  <c r="AW48" i="2"/>
  <c r="AT48" i="2"/>
  <c r="AR48" i="2"/>
  <c r="AO48" i="2"/>
  <c r="AM48" i="2"/>
  <c r="AK48" i="2"/>
  <c r="AI48" i="2"/>
  <c r="AG48" i="2"/>
  <c r="AE48" i="2"/>
  <c r="AC48" i="2"/>
  <c r="AA48" i="2"/>
  <c r="Y48" i="2"/>
  <c r="W48" i="2"/>
  <c r="U48" i="2"/>
  <c r="S48" i="2"/>
  <c r="Q48" i="2"/>
  <c r="N48" i="2"/>
  <c r="L48" i="2"/>
  <c r="J48" i="2"/>
  <c r="H48" i="2"/>
  <c r="F48" i="2"/>
  <c r="D48" i="2"/>
  <c r="B48" i="2"/>
  <c r="AW47" i="2"/>
  <c r="AT47" i="2"/>
  <c r="AR47" i="2"/>
  <c r="AO47" i="2"/>
  <c r="AM47" i="2"/>
  <c r="AK47" i="2"/>
  <c r="AI47" i="2"/>
  <c r="AG47" i="2"/>
  <c r="AE47" i="2"/>
  <c r="AC47" i="2"/>
  <c r="AA47" i="2"/>
  <c r="Y47" i="2"/>
  <c r="W47" i="2"/>
  <c r="U47" i="2"/>
  <c r="S47" i="2"/>
  <c r="Q47" i="2"/>
  <c r="N47" i="2"/>
  <c r="L47" i="2"/>
  <c r="J47" i="2"/>
  <c r="H47" i="2"/>
  <c r="F47" i="2"/>
  <c r="D47" i="2"/>
  <c r="B47" i="2"/>
  <c r="AW46" i="2"/>
  <c r="AT46" i="2"/>
  <c r="AR46" i="2"/>
  <c r="AO46" i="2"/>
  <c r="AM46" i="2"/>
  <c r="AK46" i="2"/>
  <c r="AI46" i="2"/>
  <c r="AG46" i="2"/>
  <c r="AE46" i="2"/>
  <c r="AC46" i="2"/>
  <c r="AA46" i="2"/>
  <c r="Y46" i="2"/>
  <c r="W46" i="2"/>
  <c r="U46" i="2"/>
  <c r="S46" i="2"/>
  <c r="Q46" i="2"/>
  <c r="N46" i="2"/>
  <c r="L46" i="2"/>
  <c r="J46" i="2"/>
  <c r="H46" i="2"/>
  <c r="F46" i="2"/>
  <c r="D46" i="2"/>
  <c r="B46" i="2"/>
  <c r="AW45" i="2"/>
  <c r="AT45" i="2"/>
  <c r="AR45" i="2"/>
  <c r="AO45" i="2"/>
  <c r="AM45" i="2"/>
  <c r="AK45" i="2"/>
  <c r="AI45" i="2"/>
  <c r="AG45" i="2"/>
  <c r="AE45" i="2"/>
  <c r="AC45" i="2"/>
  <c r="AA45" i="2"/>
  <c r="Y45" i="2"/>
  <c r="W45" i="2"/>
  <c r="U45" i="2"/>
  <c r="S45" i="2"/>
  <c r="Q45" i="2"/>
  <c r="N45" i="2"/>
  <c r="L45" i="2"/>
  <c r="J45" i="2"/>
  <c r="H45" i="2"/>
  <c r="F45" i="2"/>
  <c r="D45" i="2"/>
  <c r="B45" i="2"/>
  <c r="AW44" i="2"/>
  <c r="AT44" i="2"/>
  <c r="AR44" i="2"/>
  <c r="AO44" i="2"/>
  <c r="AM44" i="2"/>
  <c r="AK44" i="2"/>
  <c r="AI44" i="2"/>
  <c r="AG44" i="2"/>
  <c r="AE44" i="2"/>
  <c r="AC44" i="2"/>
  <c r="AA44" i="2"/>
  <c r="Y44" i="2"/>
  <c r="W44" i="2"/>
  <c r="U44" i="2"/>
  <c r="S44" i="2"/>
  <c r="Q44" i="2"/>
  <c r="N44" i="2"/>
  <c r="L44" i="2"/>
  <c r="J44" i="2"/>
  <c r="H44" i="2"/>
  <c r="F44" i="2"/>
  <c r="D44" i="2"/>
  <c r="B44" i="2"/>
  <c r="AW43" i="2"/>
  <c r="AT43" i="2"/>
  <c r="AR43" i="2"/>
  <c r="AO43" i="2"/>
  <c r="AM43" i="2"/>
  <c r="AK43" i="2"/>
  <c r="AI43" i="2"/>
  <c r="AG43" i="2"/>
  <c r="AE43" i="2"/>
  <c r="AC43" i="2"/>
  <c r="AA43" i="2"/>
  <c r="Y43" i="2"/>
  <c r="W43" i="2"/>
  <c r="U43" i="2"/>
  <c r="S43" i="2"/>
  <c r="Q43" i="2"/>
  <c r="N43" i="2"/>
  <c r="L43" i="2"/>
  <c r="J43" i="2"/>
  <c r="H43" i="2"/>
  <c r="F43" i="2"/>
  <c r="D43" i="2"/>
  <c r="B43" i="2"/>
  <c r="AW42" i="2"/>
  <c r="AT42" i="2"/>
  <c r="AR42" i="2"/>
  <c r="AO42" i="2"/>
  <c r="AM42" i="2"/>
  <c r="AK42" i="2"/>
  <c r="AI42" i="2"/>
  <c r="AG42" i="2"/>
  <c r="AE42" i="2"/>
  <c r="AC42" i="2"/>
  <c r="AA42" i="2"/>
  <c r="Y42" i="2"/>
  <c r="W42" i="2"/>
  <c r="U42" i="2"/>
  <c r="S42" i="2"/>
  <c r="Q42" i="2"/>
  <c r="N42" i="2"/>
  <c r="L42" i="2"/>
  <c r="J42" i="2"/>
  <c r="H42" i="2"/>
  <c r="F42" i="2"/>
  <c r="D42" i="2"/>
  <c r="B42" i="2"/>
  <c r="AW41" i="2"/>
  <c r="AT41" i="2"/>
  <c r="AR41" i="2"/>
  <c r="AO41" i="2"/>
  <c r="AM41" i="2"/>
  <c r="AK41" i="2"/>
  <c r="AI41" i="2"/>
  <c r="AG41" i="2"/>
  <c r="AE41" i="2"/>
  <c r="AC41" i="2"/>
  <c r="AA41" i="2"/>
  <c r="Y41" i="2"/>
  <c r="W41" i="2"/>
  <c r="U41" i="2"/>
  <c r="S41" i="2"/>
  <c r="Q41" i="2"/>
  <c r="N41" i="2"/>
  <c r="L41" i="2"/>
  <c r="J41" i="2"/>
  <c r="H41" i="2"/>
  <c r="F41" i="2"/>
  <c r="D41" i="2"/>
  <c r="B41" i="2"/>
  <c r="AW40" i="2"/>
  <c r="AT40" i="2"/>
  <c r="AR40" i="2"/>
  <c r="AO40" i="2"/>
  <c r="AM40" i="2"/>
  <c r="AK40" i="2"/>
  <c r="AI40" i="2"/>
  <c r="AG40" i="2"/>
  <c r="AE40" i="2"/>
  <c r="AC40" i="2"/>
  <c r="AA40" i="2"/>
  <c r="Y40" i="2"/>
  <c r="W40" i="2"/>
  <c r="U40" i="2"/>
  <c r="S40" i="2"/>
  <c r="Q40" i="2"/>
  <c r="N40" i="2"/>
  <c r="L40" i="2"/>
  <c r="J40" i="2"/>
  <c r="H40" i="2"/>
  <c r="F40" i="2"/>
  <c r="D40" i="2"/>
  <c r="B40" i="2"/>
  <c r="AW39" i="2"/>
  <c r="AT39" i="2"/>
  <c r="AR39" i="2"/>
  <c r="AO39" i="2"/>
  <c r="AM39" i="2"/>
  <c r="AK39" i="2"/>
  <c r="AI39" i="2"/>
  <c r="AG39" i="2"/>
  <c r="AE39" i="2"/>
  <c r="AC39" i="2"/>
  <c r="AA39" i="2"/>
  <c r="Y39" i="2"/>
  <c r="W39" i="2"/>
  <c r="U39" i="2"/>
  <c r="S39" i="2"/>
  <c r="Q39" i="2"/>
  <c r="N39" i="2"/>
  <c r="L39" i="2"/>
  <c r="J39" i="2"/>
  <c r="H39" i="2"/>
  <c r="F39" i="2"/>
  <c r="D39" i="2"/>
  <c r="B39" i="2"/>
  <c r="AW38" i="2"/>
  <c r="AT38" i="2"/>
  <c r="AR38" i="2"/>
  <c r="AO38" i="2"/>
  <c r="AM38" i="2"/>
  <c r="AK38" i="2"/>
  <c r="AI38" i="2"/>
  <c r="AG38" i="2"/>
  <c r="AE38" i="2"/>
  <c r="AC38" i="2"/>
  <c r="AA38" i="2"/>
  <c r="Y38" i="2"/>
  <c r="W38" i="2"/>
  <c r="U38" i="2"/>
  <c r="S38" i="2"/>
  <c r="Q38" i="2"/>
  <c r="N38" i="2"/>
  <c r="L38" i="2"/>
  <c r="J38" i="2"/>
  <c r="H38" i="2"/>
  <c r="F38" i="2"/>
  <c r="D38" i="2"/>
  <c r="B38" i="2"/>
  <c r="AW37" i="2"/>
  <c r="AT37" i="2"/>
  <c r="AR37" i="2"/>
  <c r="AO37" i="2"/>
  <c r="AM37" i="2"/>
  <c r="AK37" i="2"/>
  <c r="AI37" i="2"/>
  <c r="AG37" i="2"/>
  <c r="AE37" i="2"/>
  <c r="AC37" i="2"/>
  <c r="AA37" i="2"/>
  <c r="Y37" i="2"/>
  <c r="W37" i="2"/>
  <c r="U37" i="2"/>
  <c r="S37" i="2"/>
  <c r="Q37" i="2"/>
  <c r="N37" i="2"/>
  <c r="L37" i="2"/>
  <c r="J37" i="2"/>
  <c r="H37" i="2"/>
  <c r="F37" i="2"/>
  <c r="D37" i="2"/>
  <c r="B37" i="2"/>
  <c r="AW36" i="2"/>
  <c r="AT36" i="2"/>
  <c r="AR36" i="2"/>
  <c r="AO36" i="2"/>
  <c r="AM36" i="2"/>
  <c r="AK36" i="2"/>
  <c r="AI36" i="2"/>
  <c r="AG36" i="2"/>
  <c r="AE36" i="2"/>
  <c r="AC36" i="2"/>
  <c r="AA36" i="2"/>
  <c r="Y36" i="2"/>
  <c r="W36" i="2"/>
  <c r="U36" i="2"/>
  <c r="S36" i="2"/>
  <c r="Q36" i="2"/>
  <c r="N36" i="2"/>
  <c r="L36" i="2"/>
  <c r="J36" i="2"/>
  <c r="H36" i="2"/>
  <c r="F36" i="2"/>
  <c r="D36" i="2"/>
  <c r="B36" i="2"/>
  <c r="AW35" i="2"/>
  <c r="AT35" i="2"/>
  <c r="AR35" i="2"/>
  <c r="AO35" i="2"/>
  <c r="AM35" i="2"/>
  <c r="AK35" i="2"/>
  <c r="AI35" i="2"/>
  <c r="AG35" i="2"/>
  <c r="AE35" i="2"/>
  <c r="AC35" i="2"/>
  <c r="AA35" i="2"/>
  <c r="Y35" i="2"/>
  <c r="W35" i="2"/>
  <c r="U35" i="2"/>
  <c r="S35" i="2"/>
  <c r="Q35" i="2"/>
  <c r="N35" i="2"/>
  <c r="L35" i="2"/>
  <c r="J35" i="2"/>
  <c r="H35" i="2"/>
  <c r="F35" i="2"/>
  <c r="D35" i="2"/>
  <c r="B35" i="2"/>
  <c r="AW34" i="2"/>
  <c r="AT34" i="2"/>
  <c r="AR34" i="2"/>
  <c r="AO34" i="2"/>
  <c r="AM34" i="2"/>
  <c r="AK34" i="2"/>
  <c r="AI34" i="2"/>
  <c r="AG34" i="2"/>
  <c r="AE34" i="2"/>
  <c r="AC34" i="2"/>
  <c r="AA34" i="2"/>
  <c r="Y34" i="2"/>
  <c r="W34" i="2"/>
  <c r="U34" i="2"/>
  <c r="S34" i="2"/>
  <c r="Q34" i="2"/>
  <c r="N34" i="2"/>
  <c r="L34" i="2"/>
  <c r="J34" i="2"/>
  <c r="H34" i="2"/>
  <c r="F34" i="2"/>
  <c r="D34" i="2"/>
  <c r="B34" i="2"/>
  <c r="AW33" i="2"/>
  <c r="AT33" i="2"/>
  <c r="AR33" i="2"/>
  <c r="AO33" i="2"/>
  <c r="AM33" i="2"/>
  <c r="AK33" i="2"/>
  <c r="AI33" i="2"/>
  <c r="AG33" i="2"/>
  <c r="AE33" i="2"/>
  <c r="AC33" i="2"/>
  <c r="AA33" i="2"/>
  <c r="Y33" i="2"/>
  <c r="W33" i="2"/>
  <c r="U33" i="2"/>
  <c r="S33" i="2"/>
  <c r="Q33" i="2"/>
  <c r="N33" i="2"/>
  <c r="L33" i="2"/>
  <c r="J33" i="2"/>
  <c r="H33" i="2"/>
  <c r="F33" i="2"/>
  <c r="D33" i="2"/>
  <c r="B33" i="2"/>
  <c r="AW32" i="2"/>
  <c r="AT32" i="2"/>
  <c r="AR32" i="2"/>
  <c r="AO32" i="2"/>
  <c r="AM32" i="2"/>
  <c r="AK32" i="2"/>
  <c r="AI32" i="2"/>
  <c r="AG32" i="2"/>
  <c r="AE32" i="2"/>
  <c r="AC32" i="2"/>
  <c r="AA32" i="2"/>
  <c r="Y32" i="2"/>
  <c r="W32" i="2"/>
  <c r="U32" i="2"/>
  <c r="S32" i="2"/>
  <c r="Q32" i="2"/>
  <c r="N32" i="2"/>
  <c r="L32" i="2"/>
  <c r="J32" i="2"/>
  <c r="H32" i="2"/>
  <c r="F32" i="2"/>
  <c r="D32" i="2"/>
  <c r="B32" i="2"/>
  <c r="AW31" i="2"/>
  <c r="AT31" i="2"/>
  <c r="AR31" i="2"/>
  <c r="AO31" i="2"/>
  <c r="AM31" i="2"/>
  <c r="AK31" i="2"/>
  <c r="AI31" i="2"/>
  <c r="AG31" i="2"/>
  <c r="AE31" i="2"/>
  <c r="AC31" i="2"/>
  <c r="AA31" i="2"/>
  <c r="Y31" i="2"/>
  <c r="W31" i="2"/>
  <c r="U31" i="2"/>
  <c r="S31" i="2"/>
  <c r="Q31" i="2"/>
  <c r="N31" i="2"/>
  <c r="L31" i="2"/>
  <c r="J31" i="2"/>
  <c r="H31" i="2"/>
  <c r="F31" i="2"/>
  <c r="D31" i="2"/>
  <c r="B31" i="2"/>
  <c r="AW30" i="2"/>
  <c r="AT30" i="2"/>
  <c r="AR30" i="2"/>
  <c r="AO30" i="2"/>
  <c r="AM30" i="2"/>
  <c r="AK30" i="2"/>
  <c r="AI30" i="2"/>
  <c r="AG30" i="2"/>
  <c r="AE30" i="2"/>
  <c r="AC30" i="2"/>
  <c r="AA30" i="2"/>
  <c r="Y30" i="2"/>
  <c r="W30" i="2"/>
  <c r="U30" i="2"/>
  <c r="S30" i="2"/>
  <c r="Q30" i="2"/>
  <c r="N30" i="2"/>
  <c r="L30" i="2"/>
  <c r="J30" i="2"/>
  <c r="H30" i="2"/>
  <c r="F30" i="2"/>
  <c r="D30" i="2"/>
  <c r="B30" i="2"/>
  <c r="AW29" i="2"/>
  <c r="AT29" i="2"/>
  <c r="AR29" i="2"/>
  <c r="AO29" i="2"/>
  <c r="AM29" i="2"/>
  <c r="AK29" i="2"/>
  <c r="AI29" i="2"/>
  <c r="AG29" i="2"/>
  <c r="AE29" i="2"/>
  <c r="AC29" i="2"/>
  <c r="AA29" i="2"/>
  <c r="Y29" i="2"/>
  <c r="W29" i="2"/>
  <c r="U29" i="2"/>
  <c r="S29" i="2"/>
  <c r="Q29" i="2"/>
  <c r="N29" i="2"/>
  <c r="L29" i="2"/>
  <c r="J29" i="2"/>
  <c r="H29" i="2"/>
  <c r="F29" i="2"/>
  <c r="D29" i="2"/>
  <c r="B29" i="2"/>
  <c r="AW28" i="2"/>
  <c r="AT28" i="2"/>
  <c r="AR28" i="2"/>
  <c r="AO28" i="2"/>
  <c r="AM28" i="2"/>
  <c r="AK28" i="2"/>
  <c r="AI28" i="2"/>
  <c r="AG28" i="2"/>
  <c r="AE28" i="2"/>
  <c r="AC28" i="2"/>
  <c r="AA28" i="2"/>
  <c r="Y28" i="2"/>
  <c r="W28" i="2"/>
  <c r="U28" i="2"/>
  <c r="S28" i="2"/>
  <c r="Q28" i="2"/>
  <c r="N28" i="2"/>
  <c r="L28" i="2"/>
  <c r="J28" i="2"/>
  <c r="H28" i="2"/>
  <c r="F28" i="2"/>
  <c r="D28" i="2"/>
  <c r="B28" i="2"/>
  <c r="AW27" i="2"/>
  <c r="AT27" i="2"/>
  <c r="AR27" i="2"/>
  <c r="AO27" i="2"/>
  <c r="AM27" i="2"/>
  <c r="AK27" i="2"/>
  <c r="AI27" i="2"/>
  <c r="AG27" i="2"/>
  <c r="AE27" i="2"/>
  <c r="AC27" i="2"/>
  <c r="AA27" i="2"/>
  <c r="Y27" i="2"/>
  <c r="W27" i="2"/>
  <c r="U27" i="2"/>
  <c r="S27" i="2"/>
  <c r="Q27" i="2"/>
  <c r="N27" i="2"/>
  <c r="L27" i="2"/>
  <c r="J27" i="2"/>
  <c r="H27" i="2"/>
  <c r="F27" i="2"/>
  <c r="D27" i="2"/>
  <c r="B27" i="2"/>
  <c r="AW26" i="2"/>
  <c r="AT26" i="2"/>
  <c r="AR26" i="2"/>
  <c r="AO26" i="2"/>
  <c r="AM26" i="2"/>
  <c r="AK26" i="2"/>
  <c r="AI26" i="2"/>
  <c r="AG26" i="2"/>
  <c r="AE26" i="2"/>
  <c r="AC26" i="2"/>
  <c r="AA26" i="2"/>
  <c r="Y26" i="2"/>
  <c r="W26" i="2"/>
  <c r="U26" i="2"/>
  <c r="S26" i="2"/>
  <c r="Q26" i="2"/>
  <c r="N26" i="2"/>
  <c r="L26" i="2"/>
  <c r="J26" i="2"/>
  <c r="H26" i="2"/>
  <c r="F26" i="2"/>
  <c r="D26" i="2"/>
  <c r="B26" i="2"/>
  <c r="AW25" i="2"/>
  <c r="AT25" i="2"/>
  <c r="AR25" i="2"/>
  <c r="AO25" i="2"/>
  <c r="AM25" i="2"/>
  <c r="AK25" i="2"/>
  <c r="AI25" i="2"/>
  <c r="AG25" i="2"/>
  <c r="AE25" i="2"/>
  <c r="AC25" i="2"/>
  <c r="AA25" i="2"/>
  <c r="Y25" i="2"/>
  <c r="W25" i="2"/>
  <c r="U25" i="2"/>
  <c r="S25" i="2"/>
  <c r="Q25" i="2"/>
  <c r="N25" i="2"/>
  <c r="L25" i="2"/>
  <c r="J25" i="2"/>
  <c r="H25" i="2"/>
  <c r="F25" i="2"/>
  <c r="D25" i="2"/>
  <c r="B25" i="2"/>
  <c r="AW24" i="2"/>
  <c r="AT24" i="2"/>
  <c r="AR24" i="2"/>
  <c r="AO24" i="2"/>
  <c r="AM24" i="2"/>
  <c r="AK24" i="2"/>
  <c r="AI24" i="2"/>
  <c r="AG24" i="2"/>
  <c r="AE24" i="2"/>
  <c r="AC24" i="2"/>
  <c r="AA24" i="2"/>
  <c r="Y24" i="2"/>
  <c r="W24" i="2"/>
  <c r="U24" i="2"/>
  <c r="S24" i="2"/>
  <c r="Q24" i="2"/>
  <c r="N24" i="2"/>
  <c r="L24" i="2"/>
  <c r="J24" i="2"/>
  <c r="H24" i="2"/>
  <c r="F24" i="2"/>
  <c r="D24" i="2"/>
  <c r="B24" i="2"/>
  <c r="AW23" i="2"/>
  <c r="AT23" i="2"/>
  <c r="AR23" i="2"/>
  <c r="AO23" i="2"/>
  <c r="AM23" i="2"/>
  <c r="AK23" i="2"/>
  <c r="AI23" i="2"/>
  <c r="AG23" i="2"/>
  <c r="AE23" i="2"/>
  <c r="AC23" i="2"/>
  <c r="AA23" i="2"/>
  <c r="Y23" i="2"/>
  <c r="W23" i="2"/>
  <c r="U23" i="2"/>
  <c r="S23" i="2"/>
  <c r="Q23" i="2"/>
  <c r="N23" i="2"/>
  <c r="L23" i="2"/>
  <c r="J23" i="2"/>
  <c r="H23" i="2"/>
  <c r="F23" i="2"/>
  <c r="D23" i="2"/>
  <c r="B23" i="2"/>
  <c r="AW22" i="2"/>
  <c r="AT22" i="2"/>
  <c r="AR22" i="2"/>
  <c r="AO22" i="2"/>
  <c r="AM22" i="2"/>
  <c r="AK22" i="2"/>
  <c r="AI22" i="2"/>
  <c r="AG22" i="2"/>
  <c r="AE22" i="2"/>
  <c r="AC22" i="2"/>
  <c r="AA22" i="2"/>
  <c r="Y22" i="2"/>
  <c r="W22" i="2"/>
  <c r="U22" i="2"/>
  <c r="S22" i="2"/>
  <c r="Q22" i="2"/>
  <c r="N22" i="2"/>
  <c r="L22" i="2"/>
  <c r="J22" i="2"/>
  <c r="H22" i="2"/>
  <c r="F22" i="2"/>
  <c r="D22" i="2"/>
  <c r="B22" i="2"/>
  <c r="AW21" i="2"/>
  <c r="AT21" i="2"/>
  <c r="AR21" i="2"/>
  <c r="AO21" i="2"/>
  <c r="AM21" i="2"/>
  <c r="AK21" i="2"/>
  <c r="AI21" i="2"/>
  <c r="AG21" i="2"/>
  <c r="AE21" i="2"/>
  <c r="AC21" i="2"/>
  <c r="AA21" i="2"/>
  <c r="Y21" i="2"/>
  <c r="W21" i="2"/>
  <c r="U21" i="2"/>
  <c r="S21" i="2"/>
  <c r="Q21" i="2"/>
  <c r="N21" i="2"/>
  <c r="L21" i="2"/>
  <c r="J21" i="2"/>
  <c r="H21" i="2"/>
  <c r="F21" i="2"/>
  <c r="D21" i="2"/>
  <c r="B21" i="2"/>
  <c r="AW20" i="2"/>
  <c r="AT20" i="2"/>
  <c r="AR20" i="2"/>
  <c r="AO20" i="2"/>
  <c r="AM20" i="2"/>
  <c r="AK20" i="2"/>
  <c r="AI20" i="2"/>
  <c r="AG20" i="2"/>
  <c r="AE20" i="2"/>
  <c r="AC20" i="2"/>
  <c r="AA20" i="2"/>
  <c r="Y20" i="2"/>
  <c r="W20" i="2"/>
  <c r="U20" i="2"/>
  <c r="S20" i="2"/>
  <c r="Q20" i="2"/>
  <c r="N20" i="2"/>
  <c r="L20" i="2"/>
  <c r="J20" i="2"/>
  <c r="H20" i="2"/>
  <c r="F20" i="2"/>
  <c r="D20" i="2"/>
  <c r="B20" i="2"/>
  <c r="AW19" i="2"/>
  <c r="AT19" i="2"/>
  <c r="AR19" i="2"/>
  <c r="AO19" i="2"/>
  <c r="AM19" i="2"/>
  <c r="AK19" i="2"/>
  <c r="AI19" i="2"/>
  <c r="AG19" i="2"/>
  <c r="AE19" i="2"/>
  <c r="AC19" i="2"/>
  <c r="AA19" i="2"/>
  <c r="Y19" i="2"/>
  <c r="W19" i="2"/>
  <c r="U19" i="2"/>
  <c r="S19" i="2"/>
  <c r="Q19" i="2"/>
  <c r="N19" i="2"/>
  <c r="L19" i="2"/>
  <c r="J19" i="2"/>
  <c r="H19" i="2"/>
  <c r="F19" i="2"/>
  <c r="D19" i="2"/>
  <c r="B19" i="2"/>
  <c r="AW18" i="2"/>
  <c r="AT18" i="2"/>
  <c r="AR18" i="2"/>
  <c r="AO18" i="2"/>
  <c r="AM18" i="2"/>
  <c r="AK18" i="2"/>
  <c r="AI18" i="2"/>
  <c r="AG18" i="2"/>
  <c r="AE18" i="2"/>
  <c r="AC18" i="2"/>
  <c r="AA18" i="2"/>
  <c r="Y18" i="2"/>
  <c r="W18" i="2"/>
  <c r="U18" i="2"/>
  <c r="S18" i="2"/>
  <c r="Q18" i="2"/>
  <c r="N18" i="2"/>
  <c r="L18" i="2"/>
  <c r="J18" i="2"/>
  <c r="H18" i="2"/>
  <c r="F18" i="2"/>
  <c r="D18" i="2"/>
  <c r="B18" i="2"/>
  <c r="AW17" i="2"/>
  <c r="AT17" i="2"/>
  <c r="AR17" i="2"/>
  <c r="AO17" i="2"/>
  <c r="AM17" i="2"/>
  <c r="AK17" i="2"/>
  <c r="AI17" i="2"/>
  <c r="AG17" i="2"/>
  <c r="AE17" i="2"/>
  <c r="AC17" i="2"/>
  <c r="AA17" i="2"/>
  <c r="Y17" i="2"/>
  <c r="W17" i="2"/>
  <c r="U17" i="2"/>
  <c r="S17" i="2"/>
  <c r="Q17" i="2"/>
  <c r="N17" i="2"/>
  <c r="L17" i="2"/>
  <c r="J17" i="2"/>
  <c r="H17" i="2"/>
  <c r="F17" i="2"/>
  <c r="D17" i="2"/>
  <c r="B17" i="2"/>
  <c r="AW16" i="2"/>
  <c r="AT16" i="2"/>
  <c r="AR16" i="2"/>
  <c r="AO16" i="2"/>
  <c r="AM16" i="2"/>
  <c r="AK16" i="2"/>
  <c r="AI16" i="2"/>
  <c r="AG16" i="2"/>
  <c r="AE16" i="2"/>
  <c r="AC16" i="2"/>
  <c r="AA16" i="2"/>
  <c r="Y16" i="2"/>
  <c r="W16" i="2"/>
  <c r="U16" i="2"/>
  <c r="S16" i="2"/>
  <c r="Q16" i="2"/>
  <c r="N16" i="2"/>
  <c r="L16" i="2"/>
  <c r="J16" i="2"/>
  <c r="H16" i="2"/>
  <c r="F16" i="2"/>
  <c r="D16" i="2"/>
  <c r="B16" i="2"/>
  <c r="AW15" i="2"/>
  <c r="AT15" i="2"/>
  <c r="AR15" i="2"/>
  <c r="AO15" i="2"/>
  <c r="AM15" i="2"/>
  <c r="AK15" i="2"/>
  <c r="AI15" i="2"/>
  <c r="AG15" i="2"/>
  <c r="AE15" i="2"/>
  <c r="AC15" i="2"/>
  <c r="AA15" i="2"/>
  <c r="Y15" i="2"/>
  <c r="W15" i="2"/>
  <c r="U15" i="2"/>
  <c r="S15" i="2"/>
  <c r="Q15" i="2"/>
  <c r="N15" i="2"/>
  <c r="L15" i="2"/>
  <c r="J15" i="2"/>
  <c r="H15" i="2"/>
  <c r="F15" i="2"/>
  <c r="D15" i="2"/>
  <c r="B15" i="2"/>
  <c r="AW14" i="2"/>
  <c r="AT14" i="2"/>
  <c r="AR14" i="2"/>
  <c r="AO14" i="2"/>
  <c r="AM14" i="2"/>
  <c r="AK14" i="2"/>
  <c r="AI14" i="2"/>
  <c r="AG14" i="2"/>
  <c r="AE14" i="2"/>
  <c r="AC14" i="2"/>
  <c r="AA14" i="2"/>
  <c r="Y14" i="2"/>
  <c r="W14" i="2"/>
  <c r="U14" i="2"/>
  <c r="S14" i="2"/>
  <c r="Q14" i="2"/>
  <c r="N14" i="2"/>
  <c r="L14" i="2"/>
  <c r="J14" i="2"/>
  <c r="H14" i="2"/>
  <c r="F14" i="2"/>
  <c r="D14" i="2"/>
  <c r="B14" i="2"/>
  <c r="AW13" i="2"/>
  <c r="AT13" i="2"/>
  <c r="AR13" i="2"/>
  <c r="AO13" i="2"/>
  <c r="AM13" i="2"/>
  <c r="AK13" i="2"/>
  <c r="AI13" i="2"/>
  <c r="AG13" i="2"/>
  <c r="AE13" i="2"/>
  <c r="AC13" i="2"/>
  <c r="AA13" i="2"/>
  <c r="Y13" i="2"/>
  <c r="W13" i="2"/>
  <c r="U13" i="2"/>
  <c r="S13" i="2"/>
  <c r="Q13" i="2"/>
  <c r="N13" i="2"/>
  <c r="L13" i="2"/>
  <c r="J13" i="2"/>
  <c r="H13" i="2"/>
  <c r="F13" i="2"/>
  <c r="D13" i="2"/>
  <c r="B13" i="2"/>
  <c r="AW12" i="2"/>
  <c r="AT12" i="2"/>
  <c r="AR12" i="2"/>
  <c r="AO12" i="2"/>
  <c r="AM12" i="2"/>
  <c r="AK12" i="2"/>
  <c r="AI12" i="2"/>
  <c r="AG12" i="2"/>
  <c r="AE12" i="2"/>
  <c r="AC12" i="2"/>
  <c r="AA12" i="2"/>
  <c r="Y12" i="2"/>
  <c r="W12" i="2"/>
  <c r="U12" i="2"/>
  <c r="S12" i="2"/>
  <c r="Q12" i="2"/>
  <c r="N12" i="2"/>
  <c r="L12" i="2"/>
  <c r="J12" i="2"/>
  <c r="H12" i="2"/>
  <c r="F12" i="2"/>
  <c r="D12" i="2"/>
  <c r="B12" i="2"/>
  <c r="AW11" i="2"/>
  <c r="AT11" i="2"/>
  <c r="AR11" i="2"/>
  <c r="AO11" i="2"/>
  <c r="AM11" i="2"/>
  <c r="AK11" i="2"/>
  <c r="AI11" i="2"/>
  <c r="AG11" i="2"/>
  <c r="AE11" i="2"/>
  <c r="AC11" i="2"/>
  <c r="AA11" i="2"/>
  <c r="Y11" i="2"/>
  <c r="W11" i="2"/>
  <c r="U11" i="2"/>
  <c r="S11" i="2"/>
  <c r="Q11" i="2"/>
  <c r="N11" i="2"/>
  <c r="L11" i="2"/>
  <c r="J11" i="2"/>
  <c r="H11" i="2"/>
  <c r="F11" i="2"/>
  <c r="D11" i="2"/>
  <c r="B11" i="2"/>
  <c r="AW10" i="2"/>
  <c r="AT10" i="2"/>
  <c r="AR10" i="2"/>
  <c r="AO10" i="2"/>
  <c r="AM10" i="2"/>
  <c r="AK10" i="2"/>
  <c r="AI10" i="2"/>
  <c r="AG10" i="2"/>
  <c r="AE10" i="2"/>
  <c r="AC10" i="2"/>
  <c r="AA10" i="2"/>
  <c r="Y10" i="2"/>
  <c r="W10" i="2"/>
  <c r="U10" i="2"/>
  <c r="S10" i="2"/>
  <c r="Q10" i="2"/>
  <c r="N10" i="2"/>
  <c r="L10" i="2"/>
  <c r="J10" i="2"/>
  <c r="H10" i="2"/>
  <c r="F10" i="2"/>
  <c r="D10" i="2"/>
  <c r="B10" i="2"/>
  <c r="AW9" i="2"/>
  <c r="AT9" i="2"/>
  <c r="AR9" i="2"/>
  <c r="AO9" i="2"/>
  <c r="AM9" i="2"/>
  <c r="AK9" i="2"/>
  <c r="AI9" i="2"/>
  <c r="AG9" i="2"/>
  <c r="AE9" i="2"/>
  <c r="AC9" i="2"/>
  <c r="AA9" i="2"/>
  <c r="Y9" i="2"/>
  <c r="W9" i="2"/>
  <c r="U9" i="2"/>
  <c r="S9" i="2"/>
  <c r="Q9" i="2"/>
  <c r="N9" i="2"/>
  <c r="L9" i="2"/>
  <c r="J9" i="2"/>
  <c r="H9" i="2"/>
  <c r="F9" i="2"/>
  <c r="D9" i="2"/>
  <c r="B9" i="2"/>
  <c r="AW8" i="2"/>
  <c r="AT8" i="2"/>
  <c r="AR8" i="2"/>
  <c r="AO8" i="2"/>
  <c r="AM8" i="2"/>
  <c r="AK8" i="2"/>
  <c r="AI8" i="2"/>
  <c r="AG8" i="2"/>
  <c r="AE8" i="2"/>
  <c r="AC8" i="2"/>
  <c r="AA8" i="2"/>
  <c r="Y8" i="2"/>
  <c r="W8" i="2"/>
  <c r="U8" i="2"/>
  <c r="S8" i="2"/>
  <c r="Q8" i="2"/>
  <c r="N8" i="2"/>
  <c r="L8" i="2"/>
  <c r="J8" i="2"/>
  <c r="H8" i="2"/>
  <c r="F8" i="2"/>
  <c r="D8" i="2"/>
  <c r="B8" i="2"/>
  <c r="AW7" i="2"/>
  <c r="AT7" i="2"/>
  <c r="AR7" i="2"/>
  <c r="AO7" i="2"/>
  <c r="AM7" i="2"/>
  <c r="AK7" i="2"/>
  <c r="AI7" i="2"/>
  <c r="AG7" i="2"/>
  <c r="AE7" i="2"/>
  <c r="AC7" i="2"/>
  <c r="AA7" i="2"/>
  <c r="Y7" i="2"/>
  <c r="W7" i="2"/>
  <c r="U7" i="2"/>
  <c r="S7" i="2"/>
  <c r="Q7" i="2"/>
  <c r="N7" i="2"/>
  <c r="L7" i="2"/>
  <c r="J7" i="2"/>
  <c r="H7" i="2"/>
  <c r="F7" i="2"/>
  <c r="D7" i="2"/>
  <c r="B7" i="2"/>
  <c r="AW6" i="2"/>
  <c r="AT6" i="2"/>
  <c r="AR6" i="2"/>
  <c r="AO6" i="2"/>
  <c r="AM6" i="2"/>
  <c r="AK6" i="2"/>
  <c r="AI6" i="2"/>
  <c r="AG6" i="2"/>
  <c r="AE6" i="2"/>
  <c r="AC6" i="2"/>
  <c r="AA6" i="2"/>
  <c r="Y6" i="2"/>
  <c r="W6" i="2"/>
  <c r="U6" i="2"/>
  <c r="S6" i="2"/>
  <c r="Q6" i="2"/>
  <c r="N6" i="2"/>
  <c r="L6" i="2"/>
  <c r="J6" i="2"/>
  <c r="H6" i="2"/>
  <c r="F6" i="2"/>
  <c r="D6" i="2"/>
  <c r="B6" i="2"/>
  <c r="AW5" i="2"/>
  <c r="AT5" i="2"/>
  <c r="AR5" i="2"/>
  <c r="AO5" i="2"/>
  <c r="AM5" i="2"/>
  <c r="AK5" i="2"/>
  <c r="AI5" i="2"/>
  <c r="AG5" i="2"/>
  <c r="AE5" i="2"/>
  <c r="AC5" i="2"/>
  <c r="AA5" i="2"/>
  <c r="Y5" i="2"/>
  <c r="W5" i="2"/>
  <c r="U5" i="2"/>
  <c r="S5" i="2"/>
  <c r="Q5" i="2"/>
  <c r="N5" i="2"/>
  <c r="L5" i="2"/>
  <c r="J5" i="2"/>
  <c r="H5" i="2"/>
  <c r="F5" i="2"/>
  <c r="D5" i="2"/>
  <c r="B5" i="2"/>
  <c r="AW4" i="2"/>
  <c r="AT4" i="2"/>
  <c r="AR4" i="2"/>
  <c r="AO4" i="2"/>
  <c r="AM4" i="2"/>
  <c r="AK4" i="2"/>
  <c r="AI4" i="2"/>
  <c r="AG4" i="2"/>
  <c r="AE4" i="2"/>
  <c r="AC4" i="2"/>
  <c r="AA4" i="2"/>
  <c r="Y4" i="2"/>
  <c r="W4" i="2"/>
  <c r="U4" i="2"/>
  <c r="S4" i="2"/>
  <c r="Q4" i="2"/>
  <c r="N4" i="2"/>
  <c r="L4" i="2"/>
  <c r="J4" i="2"/>
  <c r="H4" i="2"/>
  <c r="F4" i="2"/>
  <c r="D4" i="2"/>
  <c r="B4" i="2"/>
  <c r="AW3" i="2"/>
  <c r="AT3" i="2"/>
  <c r="AR3" i="2"/>
  <c r="AO3" i="2"/>
  <c r="AM3" i="2"/>
  <c r="AK3" i="2"/>
  <c r="AI3" i="2"/>
  <c r="AG3" i="2"/>
  <c r="AE3" i="2"/>
  <c r="AC3" i="2"/>
  <c r="AA3" i="2"/>
  <c r="Y3" i="2"/>
  <c r="W3" i="2"/>
  <c r="U3" i="2"/>
  <c r="S3" i="2"/>
  <c r="Q3" i="2"/>
  <c r="N3" i="2"/>
  <c r="L3" i="2"/>
  <c r="J3" i="2"/>
  <c r="H3" i="2"/>
  <c r="F3" i="2"/>
  <c r="D3" i="2"/>
  <c r="B3" i="2"/>
  <c r="AW2" i="2"/>
  <c r="AT2" i="2"/>
  <c r="AR2" i="2"/>
  <c r="AO2" i="2"/>
  <c r="AM2" i="2"/>
  <c r="AK2" i="2"/>
  <c r="AI2" i="2"/>
  <c r="AG2" i="2"/>
  <c r="AE2" i="2"/>
  <c r="AC2" i="2"/>
  <c r="AA2" i="2"/>
  <c r="Y2" i="2"/>
  <c r="W2" i="2"/>
  <c r="U2" i="2"/>
  <c r="S2" i="2"/>
  <c r="Q2" i="2"/>
  <c r="N2" i="2"/>
  <c r="L2" i="2"/>
  <c r="J2" i="2"/>
  <c r="H2" i="2"/>
  <c r="F2" i="2"/>
  <c r="D2" i="2"/>
  <c r="B2" i="2"/>
</calcChain>
</file>

<file path=xl/sharedStrings.xml><?xml version="1.0" encoding="utf-8"?>
<sst xmlns="http://schemas.openxmlformats.org/spreadsheetml/2006/main" count="3746" uniqueCount="2565">
  <si>
    <t>S no</t>
  </si>
  <si>
    <t xml:space="preserve">Botanical name 
</t>
  </si>
  <si>
    <t>Sanskrit Name</t>
  </si>
  <si>
    <t>Tamil Name</t>
  </si>
  <si>
    <t>English Name</t>
  </si>
  <si>
    <t>Telugu Name</t>
  </si>
  <si>
    <t>Malayalam Name</t>
  </si>
  <si>
    <t>Hindi Name</t>
  </si>
  <si>
    <t>Taxonomy</t>
  </si>
  <si>
    <t>Botanical description</t>
  </si>
  <si>
    <t>Roots</t>
  </si>
  <si>
    <t>Seeds</t>
  </si>
  <si>
    <t>Leaves</t>
  </si>
  <si>
    <t>Flowers</t>
  </si>
  <si>
    <t>Bark</t>
  </si>
  <si>
    <t>Gum</t>
  </si>
  <si>
    <t>Pods</t>
  </si>
  <si>
    <t>Wood</t>
  </si>
  <si>
    <t>Stalk</t>
  </si>
  <si>
    <t>Oil</t>
  </si>
  <si>
    <t>Fruits</t>
  </si>
  <si>
    <t>Bulb</t>
  </si>
  <si>
    <t>Recommended dose</t>
  </si>
  <si>
    <t>Actions</t>
  </si>
  <si>
    <t>Active constituents</t>
  </si>
  <si>
    <t>Photo of plant</t>
  </si>
  <si>
    <t>Usages</t>
  </si>
  <si>
    <t>Pharmacological activity</t>
  </si>
  <si>
    <t>Any reported toxicity study</t>
  </si>
  <si>
    <t>Clinical trial conducted</t>
  </si>
  <si>
    <t>Potential interaction any reported</t>
  </si>
  <si>
    <t>Current research update</t>
  </si>
  <si>
    <t>Siddha - Synonyms</t>
  </si>
  <si>
    <t xml:space="preserve">Taste/ potency/ </t>
  </si>
  <si>
    <t>Siddha literary data</t>
  </si>
  <si>
    <t>Abrus Precatorius</t>
  </si>
  <si>
    <t>Gunja</t>
  </si>
  <si>
    <t>Gundumani</t>
  </si>
  <si>
    <t>Wild liquorice</t>
  </si>
  <si>
    <t>Guruginia</t>
  </si>
  <si>
    <t>Kunni</t>
  </si>
  <si>
    <t>Rati</t>
  </si>
  <si>
    <t>It is a climber with many branches. Leaves compound, having 20-40 leaflets. Inflorescence, a raceme. Flowers pink, bluish and appear in clusters. Fruits pod containing red, white and black coloured seeds. Red seeds have black spots at tips. Roots and leaves are sweet in taste.</t>
  </si>
  <si>
    <t>Cough, Paraplegia</t>
  </si>
  <si>
    <t>Alopecia, Sciatica, Paralysis and Leprosy</t>
  </si>
  <si>
    <t>Pains, Swellings, Leucoderma, Asthma
and Dental caries</t>
  </si>
  <si>
    <t>Nil</t>
  </si>
  <si>
    <t>Purgative, Diuretic, Inflammatory, Emetic, Tonic, Aphrodisiac and Antiphlogistic.</t>
  </si>
  <si>
    <t>Abrin, Glycyrrhizin, Abrussic Acid, Alanine,
Serine, Valine, Precol, Abrol, Precasine and
Abrasine</t>
  </si>
  <si>
    <t>Juice of fresh leaves mixed with neem oil is applied to Painful swellings. Seeds are rubbed with water and applied to
bare skin in Alopecia and Contusions</t>
  </si>
  <si>
    <t>Abutilon indicum</t>
  </si>
  <si>
    <t>Atibala</t>
  </si>
  <si>
    <t>Thuthi</t>
  </si>
  <si>
    <t>Country mallow</t>
  </si>
  <si>
    <t>Tutiri-chettu</t>
  </si>
  <si>
    <t>Pettaka</t>
  </si>
  <si>
    <t>Kanghani</t>
  </si>
  <si>
    <t>Perennial herb or shrub, stem cylindrical often tinged with purple. Leaves simple, ovate and serrate. Flowers are yellow or orangish yellow, axillary and solitary cyme. Fruits schizocarpic capsule. Seeds kidney shaped, dark brown
or black.</t>
  </si>
  <si>
    <t>Fever, Chest infections, Gonorrhoea,
Urethritis and Paralysis.</t>
  </si>
  <si>
    <t>Boils and Ulcers</t>
  </si>
  <si>
    <t>Piles and Cough</t>
  </si>
  <si>
    <t>Demulcent, Aphrodisiac, Laxative, Diuretic and Sedative</t>
  </si>
  <si>
    <t>Leucoanthocyanins, Gossypetin-8 &amp;-7 glucosides,
Cyanidin-3-rutinoside, Alkaline sulphates &amp; Asparagin, Flavonoids, Saponins, Cardiac, glycosides</t>
  </si>
  <si>
    <t>Decoction of seeds is used in Piles and Cough. Root and leaf decoction is gargled to cure Bleeding gums and Tooth ache</t>
  </si>
  <si>
    <t>Acacia arabica</t>
  </si>
  <si>
    <t>Vabbula</t>
  </si>
  <si>
    <t>Karuvela maram</t>
  </si>
  <si>
    <t>Indian gum-arabic tree</t>
  </si>
  <si>
    <t>Tuma</t>
  </si>
  <si>
    <t>Karuvelam</t>
  </si>
  <si>
    <t>Kikar</t>
  </si>
  <si>
    <t>A thorny tree with grey trunk, branches straight or hanging downwards. Leaf pinnately compound with 4-9 pairs of leaflets. Inflorescence yellow globular capitate raceme. Fruits lomentum with white seeds. Brownish white gum exudes from the trunk.</t>
  </si>
  <si>
    <t>Dysentery, Diarrhoea and Spongy gums</t>
  </si>
  <si>
    <t>Cancerous &amp; Syphilitic affections, Aphthous Stomatitis, Leucorrhoea and Piles</t>
  </si>
  <si>
    <t>Cough and Chronic diarrhoea</t>
  </si>
  <si>
    <t>Astringent, Demulcent, Aphrodisiac, Nutritive
and Expectorant</t>
  </si>
  <si>
    <t>Leucocyanidin, Arabinofuranosyl, Gallic acid, Arabic acid and Tannin</t>
  </si>
  <si>
    <t>Decoction of the bark is given as astringent tonic in Chronic diarrhoea and Diabetes.
Gum powder is mixed with egg white and applied to Burns and Scalds.</t>
  </si>
  <si>
    <t>Acacia catechu</t>
  </si>
  <si>
    <t>Khadira</t>
  </si>
  <si>
    <t>Karungali</t>
  </si>
  <si>
    <t>Black catechu tree</t>
  </si>
  <si>
    <t>Kadiramu</t>
  </si>
  <si>
    <t>Kadiram</t>
  </si>
  <si>
    <t>Khair</t>
  </si>
  <si>
    <t>Moderate sized deciduous tree. Leaves pinnately compound with a pair
of recurved prickles at the base of the rachis. Trunk rough and spiny, yellowish outside and reddish inside. Inflorescence cylindrical spike. Fruits legume, shiny and contain round seeds</t>
  </si>
  <si>
    <t>Diarrhoea, Haemorrhages</t>
  </si>
  <si>
    <t>Leprosy</t>
  </si>
  <si>
    <t>Conjunctivitis, Melancholia and Haemoptysis</t>
  </si>
  <si>
    <t>Tooth ache, Loss of voice and Mercurial salivations</t>
  </si>
  <si>
    <t>Cooling, Antiseptic, Antipyretic and Appetiser</t>
  </si>
  <si>
    <t>Astringent and Tonic</t>
  </si>
  <si>
    <t>Tannic acid, Tannin and Catechuic acid</t>
  </si>
  <si>
    <t>Gum powder is mixed with water and administered internally for Menorrhagia
Bark decoction is gargled in case of Stomatitis.</t>
  </si>
  <si>
    <t>Acacia concinna</t>
  </si>
  <si>
    <t>Saptala</t>
  </si>
  <si>
    <t>Seeyakai</t>
  </si>
  <si>
    <t>Soapnut</t>
  </si>
  <si>
    <t>Cheekaya</t>
  </si>
  <si>
    <t>Cheeya kayi</t>
  </si>
  <si>
    <t>Kochi</t>
  </si>
  <si>
    <t>A stout prickly shrub with dark coloured bark. Leaves pinnately compound. Inflorescence an elongated spike. Fruits dry dehiscent legumes, seeds rugose.</t>
  </si>
  <si>
    <t>Malarial fever, Flatulence and Skin diseases</t>
  </si>
  <si>
    <t>Detergent, Astringent, Aperient, Expectorant, Laxative and Emetic.</t>
  </si>
  <si>
    <t>Alkaloid, Saponin, Malic acid, Resin and Glucose</t>
  </si>
  <si>
    <t>Decoction of the pod is used as a hair wash to remove Dandruff. Leaves are ground with goat's milk and given internally for wounds</t>
  </si>
  <si>
    <t>Acacia farnesiana</t>
  </si>
  <si>
    <t>Arimaedah</t>
  </si>
  <si>
    <t>Kadivel</t>
  </si>
  <si>
    <t>Stinking acacia</t>
  </si>
  <si>
    <t>Piyyatumma</t>
  </si>
  <si>
    <t>Pivelam</t>
  </si>
  <si>
    <t>Gandbabul</t>
  </si>
  <si>
    <t>A shrub marked with grey or pale brown dots, spines stipular. Leaves
bipinnate, stipules hard and sharp. Flowers in globose heads, fragrant and deep yellow. Fruits pod, subcylindric, slightly curved, glabrous and brown. Seeds biseriate and compressed.</t>
  </si>
  <si>
    <t>Infertility</t>
  </si>
  <si>
    <t>Gonorrhoea, Wounds, Ulcers and Eye diseases.</t>
  </si>
  <si>
    <t>Itching, Bronchitis, Inflammation, Malaria</t>
  </si>
  <si>
    <t>Alexiteric, Anthelmintic, Antidysenteric and Astringent</t>
  </si>
  <si>
    <t>Tannins, Rutin, Aromadendrin, Naringenin, Glucopyranoside, Methyl gallate, M-digallic acid, Saponin, Malic acid, Resins &amp; Glucoside.</t>
  </si>
  <si>
    <t>Decoction of the bark together with ginger is used for Bleeding gums. Young leaves are made into a paste and taken internally for Leucorrhoea</t>
  </si>
  <si>
    <t>Acacia leucophloea</t>
  </si>
  <si>
    <t>Shveta - barbura</t>
  </si>
  <si>
    <t>Velvelam</t>
  </si>
  <si>
    <t>White babool</t>
  </si>
  <si>
    <t>Tella tumma</t>
  </si>
  <si>
    <t>Safed kikar</t>
  </si>
  <si>
    <t>A moderate sized deciduous tree. Leaves bipinnate with spines. Flowers yellow heads arranged in terminal panicles. Pods black, long, narrow and ligulate. Seeds 10 - 20,compressed.</t>
  </si>
  <si>
    <t>Abortifacient</t>
  </si>
  <si>
    <t>Respiratory tract infection, Dental caries, Oralulcers and Rectal prolapse</t>
  </si>
  <si>
    <t>Thermogenic, Styptic, Alexiteric, Anthelmintic, Demulcent, Expectorant, Antipyretic, Antibacterial, Aphrodisiac and Antisyphilitic.</t>
  </si>
  <si>
    <t>Hexacosanol, b -amyrin, b -sitosterol, Benzaldehyde, Salicylic acid and Methyl salicylate</t>
  </si>
  <si>
    <t>Decoction of the bark is given internally as a Vermifuge. In cases of giddiness, bark oil is used for oil bath.</t>
  </si>
  <si>
    <t>Acalypha indica</t>
  </si>
  <si>
    <t>Haritamanjari</t>
  </si>
  <si>
    <t>Kuppaimeni</t>
  </si>
  <si>
    <t>Indian acalypha</t>
  </si>
  <si>
    <t>Moorkonda chettu</t>
  </si>
  <si>
    <t>Kuppamani</t>
  </si>
  <si>
    <t>Khokali</t>
  </si>
  <si>
    <t>An erect annual herb, stem cylindrical and woody. Leaves simple, alternate, petiolate, margin serrate with reticulate venation and shows mosaic
phyllotaxy. Inflorescence catkin, flowers unisexual. Fruits capsule, seeds caruncled.</t>
  </si>
  <si>
    <t>Scabies, Rheumatoid arthritis, Arthritis Asthma, Bronchitis and Bed sores.</t>
  </si>
  <si>
    <t>Strain and Hysteria</t>
  </si>
  <si>
    <t>Cathartic, Anthelmintic, Expectorant, Emetic, Anodyne, Diuretic, Carminative &amp; Hypnotic.</t>
  </si>
  <si>
    <t>Acalyphine, Triacetonamine, Kaempferol, Quebrachitol, Tannin, b-sitosterol and Resin</t>
  </si>
  <si>
    <t>Leaf juice with honey is given internally to cure Worm infestation and Cough in children. Leaf, turmeric and salt are made into a paste and applied externally for Scabies and Other skin diseases.</t>
  </si>
  <si>
    <t>Acalypha sanderi</t>
  </si>
  <si>
    <t>Kuranguval</t>
  </si>
  <si>
    <t>Red hot cat tail</t>
  </si>
  <si>
    <t>Moorukonda</t>
  </si>
  <si>
    <t>Vattattali</t>
  </si>
  <si>
    <t>Medium sized shrub with green, long, petiolate, rhombic, ovate, long leaves. Inflorescence an elongated red coloured spike. Fruits capsule</t>
  </si>
  <si>
    <t>Ulcer</t>
  </si>
  <si>
    <t>Diarrhoea</t>
  </si>
  <si>
    <t>Diuretic, Carminative, Expectorant and Emetic</t>
  </si>
  <si>
    <t>Acalyphine, Triacetonamine, Tannin, Resin, Hydrocyanic acid.</t>
  </si>
  <si>
    <t>The powdered leaves are used for Bed sores and Maggot infested wounds. Paste of leaves is applied to Burns</t>
  </si>
  <si>
    <t>Acanthus ilicifolius</t>
  </si>
  <si>
    <t>Harikusa</t>
  </si>
  <si>
    <t>Attumulli</t>
  </si>
  <si>
    <t>Alasyakampa</t>
  </si>
  <si>
    <t>Chakkaramulli</t>
  </si>
  <si>
    <t>Hargoza</t>
  </si>
  <si>
    <t>A gregarious, sparingly branched, ever green halophytic shrub. Leaves oblong or eliptic, pinnately toothed, glabrous, spinous. Flowers blue, sessile, terminal or interrupted spikes. Fruits capsules oblong, brown. Seeds broad.
- ovate.</t>
  </si>
  <si>
    <t>Asthma, Paralysis, Tooth ache</t>
  </si>
  <si>
    <t>Rheumatism, Neuralgia</t>
  </si>
  <si>
    <t>Astringent, Nervine tonic, Expectorant, Stimulant</t>
  </si>
  <si>
    <t>Acanthicifoline, 4, 7- dimethylscutellarein, 2-benzoxazolinone</t>
  </si>
  <si>
    <t>Decoction of plant with sugar candy and cumin is used in Dyspepsia with Acid eructations. Leaves are employed as an Emollient fomentation in Rheumatism and Neuralgia</t>
  </si>
  <si>
    <t>Achyranthes aspera</t>
  </si>
  <si>
    <t>Apamarga</t>
  </si>
  <si>
    <t>Naayuruvi</t>
  </si>
  <si>
    <t>Prickly chaff flower</t>
  </si>
  <si>
    <t>Apamargamu</t>
  </si>
  <si>
    <t>Kadaladi</t>
  </si>
  <si>
    <t>Chir-chira</t>
  </si>
  <si>
    <t>A small erect or procumbent, annual or perennial herb. Leaves simple, small, sessile, ovate, broad, soft, hairy and whitish on ventral side. Inflorescence spike, florets greenish and small. Fruits thin, elliptic and greyish utricles.</t>
  </si>
  <si>
    <t>Bowel complaints, Cough, Ascites &amp;
Anasarca.</t>
  </si>
  <si>
    <t>Nausea, Bleeding piles and Fistula.</t>
  </si>
  <si>
    <t>Wounds and Scorpion sting.</t>
  </si>
  <si>
    <t>Astringent, Diuretic, Alterative, Antiperiodic Purgative, Antifungal</t>
  </si>
  <si>
    <t>Ecdysterone, Oleanolic acid, Ecdysone, Potash, and Triacontanol.</t>
  </si>
  <si>
    <t xml:space="preserve">Decoction of the herb increases urine output and is efficacious in Renal dropsy and General anasarca.The roots are used as tooth brush, which strengthens teeth and cure Bleeding gums.
</t>
  </si>
  <si>
    <t>Achyranthes bidentata</t>
  </si>
  <si>
    <t>Raktha apamarga</t>
  </si>
  <si>
    <t>Chennayuruvi</t>
  </si>
  <si>
    <t>Red pricklychaff flower</t>
  </si>
  <si>
    <t>Senkadaladi</t>
  </si>
  <si>
    <t xml:space="preserve">A small erect or procumbent, annual or perennial herb. Leaves simple, small, sessile, ovate, broad, soft, hairy and red tinged on both the surfaces. Inflorescence a spike, florets reddish and small. Fruits are thin, elliptic and reddish spiny utricles.
</t>
  </si>
  <si>
    <t>Bowel complaints, Cough, Hemicrania and
Jaundice.</t>
  </si>
  <si>
    <t>Swellings and Anaemia</t>
  </si>
  <si>
    <t>Astringent, Diuretic, Alterative, Antiperiodic and Purgative</t>
  </si>
  <si>
    <t>Ecdysterone, Oleanolic acid, Saponins, Inokosterone and Rubrosterone.</t>
  </si>
  <si>
    <t>The whole herb is used in the treatment of piles. Leaf juice is given internally to cure stomach ache.</t>
  </si>
  <si>
    <t>Aconitum ferox</t>
  </si>
  <si>
    <t>Vatsanabha</t>
  </si>
  <si>
    <t>Vishanabi</t>
  </si>
  <si>
    <t>Monk’s hood</t>
  </si>
  <si>
    <t>Vasanubhi</t>
  </si>
  <si>
    <t>Vatsanabhi</t>
  </si>
  <si>
    <t>Mithazahar</t>
  </si>
  <si>
    <t>A perennial herb with paired root tubers. Leaves simple, palmately lobed with short petiole and covered with hairs. Flowers blue coloured in dense terminal raceme. Fruits thorny, seeds black and winged.</t>
  </si>
  <si>
    <t>Skin disease, Muscular rheumatism, Tonsilitis, Acute and Chronic itching, Erythema, Coryza, Acute gout, Leprosy, Spermatorrhoea and Diabetes</t>
  </si>
  <si>
    <t>Diaphoretic, Diuretic, Antiperiodic, Anodyne, Antidiabetic, Antiphylogistic and Antipyretic.</t>
  </si>
  <si>
    <t>Aconitine, Acorine, Napelline Bikhaconitine, C h a s m a c o n i t i n e , P s e u d o a c o n i t i n e , Indaconitine and 2(1H) - quinolinone</t>
  </si>
  <si>
    <t>After purification the root tubers are given for any type of fever. The root paste is applied externally for Neuralgia and Muscular pain.</t>
  </si>
  <si>
    <t>Aconitum heterophyllum</t>
  </si>
  <si>
    <t>Ativisha</t>
  </si>
  <si>
    <t>Athividayam</t>
  </si>
  <si>
    <t>Indian atees</t>
  </si>
  <si>
    <t>Athivasa</t>
  </si>
  <si>
    <t>Atis</t>
  </si>
  <si>
    <t>A tall herb with flat stem. Leaves simple, heteromorphous, ovate, orbicular or cordate, upper leaves are amplexicaul and the lower long petioled. Flowers bright and blue in panicles. Fruits bilocular. Seeds blackish brown.</t>
  </si>
  <si>
    <t>Fever, Debility, Diarrhoea, Dysentery, Acute
inflammatory affection, Cough and
Dyspepsia.</t>
  </si>
  <si>
    <t>Bitter, Tonic, Astringent, Immuno stimulant, Stomachic, Antiperiodic and Aphrodisiac</t>
  </si>
  <si>
    <t>Heteratisine, Atisine, Dihydratisine, Hetisine, Heterophylline and Tannic acid</t>
  </si>
  <si>
    <t>Powder of tuberous root mixed with honey is given in Cough, Coryza, Fever and Vomiting in children. Decoction of tuberous root is administered in Intermittent fever.</t>
  </si>
  <si>
    <t>Acorus calamus</t>
  </si>
  <si>
    <t>Vacha</t>
  </si>
  <si>
    <t>Vasambu</t>
  </si>
  <si>
    <t>Sweet flag</t>
  </si>
  <si>
    <t>Vasa</t>
  </si>
  <si>
    <t>Vayambu</t>
  </si>
  <si>
    <t>Gora-bach</t>
  </si>
  <si>
    <t>An evergreen, semiaquatic, perennial aromatic herb with creeping rhizome. Leaves simple, linear, shiny, green and elongated. Inflorescence a spadix. Florets are yellowish white. Fruits oblong berries with few oblong seeds.</t>
  </si>
  <si>
    <t>Dry rhizome</t>
  </si>
  <si>
    <t>Stimulant, Emetic, Nauseant, Stomachic, Expectorant, Carminative, Antispasmodic Anti inflammatory and Sedative</t>
  </si>
  <si>
    <t>Acorine, Acoritin, Acoradin, Calamine, Shyobunone, Epishyobunone, Isoshyobunone and Calamendiol.</t>
  </si>
  <si>
    <t>The powder of burnt root stock relieves Infantile diarrhoea and Colic. Root stock with Liquorice root is administered in Cough, Fever and Capillary bronchitis.</t>
  </si>
  <si>
    <t>Adansonia digitata</t>
  </si>
  <si>
    <t>Gorakh-chinch</t>
  </si>
  <si>
    <t>Anaipuliya maram</t>
  </si>
  <si>
    <t>Monkey bread tree</t>
  </si>
  <si>
    <t>Brahma malika</t>
  </si>
  <si>
    <t>Anaipuli</t>
  </si>
  <si>
    <t>Gorakhamli</t>
  </si>
  <si>
    <t>A huge tree, bark smooth, grey often with purplish tinge. Trunk of the tree is bigger than any other trees. Leaves digitate, leaflets three in young plants. Flowers solitary in axillary peduncles. It bears bottle shaped fruits which are surrounded by a hard shell and have greenish yellow cilia. Seeds reniform, shining brown with thick testa.</t>
  </si>
  <si>
    <t>Diarrhoea, Dysentery, and skin diseases</t>
  </si>
  <si>
    <t>Painful joints and Syphilitic ulcers</t>
  </si>
  <si>
    <t>Thirst, Intermittent fever</t>
  </si>
  <si>
    <t>Refrigerant, Diuretic, Astringent, Demulcent, Stomachic, Antiscorbutic, Aperient, Antiperiodic.</t>
  </si>
  <si>
    <t>Galacturonic acid, Glucuronic acid, Rhamnose, Arabinose, Galactose, b-amyrin, b-sitosterol and Tartarate</t>
  </si>
  <si>
    <t>Fresh leaf juice with dry ginger powder and salvadora root is useful in Painful Joints and Indolent syphilitic ulcers. Leaves are used as fomentation and poultice for Rheumatic affections of limbs and Irritable inflammatory ulcers.</t>
  </si>
  <si>
    <t>Adhatoda vasica</t>
  </si>
  <si>
    <t>Adathodai</t>
  </si>
  <si>
    <t>Malabar nut</t>
  </si>
  <si>
    <t>Addasaram</t>
  </si>
  <si>
    <t>Ataloetakam</t>
  </si>
  <si>
    <t>Adosa</t>
  </si>
  <si>
    <t>A perennial shrub with foetid odour. Stem cylindrical with bulged nodes. Leaves simple, petiolate, lanceolate, opposite and decussate. Inflorescence a panicle with crowded bracts and bracteoles. Flowers white in colour. Fruits capsule.</t>
  </si>
  <si>
    <t>Phthisis</t>
  </si>
  <si>
    <t>Chronic bronchitis, Asthma, Phthisis, Diarrhoea, Dysentery and Fever</t>
  </si>
  <si>
    <t>Ophthalmia.</t>
  </si>
  <si>
    <t>Affections of chest, Epilepsy, Hysteria, Insanity and Scurvy.</t>
  </si>
  <si>
    <t>Expectorant, Diuretic, Antispasmodic and Alterative.</t>
  </si>
  <si>
    <t>Vasicolinome, Vasicinone, Vasicine, Anisodine, Adhatodine, Adhavasinone &amp; Adhatodic acid</t>
  </si>
  <si>
    <t>Fresh juice of leaves with honey is given in Bronchitis, Asthma and Phthisis. The decoction of leaves and lesser galangal leaves are given internally for Throat pain and Loss of voice</t>
  </si>
  <si>
    <t>Aegle marmelos</t>
  </si>
  <si>
    <t>Bilva</t>
  </si>
  <si>
    <t>Vilvam</t>
  </si>
  <si>
    <t>Bael tree</t>
  </si>
  <si>
    <t>Bilavamu</t>
  </si>
  <si>
    <t>Koovalam</t>
  </si>
  <si>
    <t>Bael</t>
  </si>
  <si>
    <t>An aromatic tree, branches with long spines. Leaves tripinnately compound having its characteristic odour. Flowers greenish white in panicles. Fruits large, rigid, round and grey or yellow. Seeds small, many, oblong and compressed. Trees bear flowers in the month of May and fruits after 10-14 months.</t>
  </si>
  <si>
    <t>Intermittent fevers, Hypochondriasis, Melancholia, Peptic ulcer, Palpitation of heart.</t>
  </si>
  <si>
    <t>Jaundice and Inflammations</t>
  </si>
  <si>
    <t>Chronic diarrhoea and Dysentery</t>
  </si>
  <si>
    <t>Stimulant, Antipyretic, Antiscorbutic, Aromatic, Cooling, Alterative, Nutritive, Laxative, Astringent, Digestive and Stomachic.</t>
  </si>
  <si>
    <t>Aegeline, Marmelosin, b-Sitosterol, lupeol, Allo-imperatorin, g- sitophenlic alkaloids, Pectin, Marmin, Aurapten and Tannin.</t>
  </si>
  <si>
    <t>Fruit is very valuable in Habitual constipation, Chronic dysentery and Dyspepsia. Decoction of the root, root bark and stem bark cures Intermittent fever and Palpitation of heart.</t>
  </si>
  <si>
    <t>Aerva lanata</t>
  </si>
  <si>
    <t>Pashanabheda</t>
  </si>
  <si>
    <t>Sirukan peelai</t>
  </si>
  <si>
    <t>Iris sps</t>
  </si>
  <si>
    <t>Kondapindi</t>
  </si>
  <si>
    <t>Cheru poola</t>
  </si>
  <si>
    <t>Kapurijadi</t>
  </si>
  <si>
    <t>An erect or prostrate perennial herb. Leaves elliptic obovate or orbicular, obtuse, pubescent above and white woolly beneath. Flowers found in spikes, axillary in position, hermophrodite, minute in small dense greenish white heads or spikes, often clustered around the node. Fruits ovoid acute, seeds black.</t>
  </si>
  <si>
    <t>Anthelmintic, Diuretic and Demulcent</t>
  </si>
  <si>
    <t>Anthelmintic, Diuretic and Demulcent.</t>
  </si>
  <si>
    <t>Aervin, Aervoside, Aervolanin, b-sitosterol, b-sitosteryl palmitate, a- amyrin, Volatile oil, Tannin, Methylaervin and Mucilage.</t>
  </si>
  <si>
    <t>A decoction of the plant is an efficacious diuretic useful in treating Renal calculi. In Piles, the herb is given with black pepper and milk.</t>
  </si>
  <si>
    <t>Aerva tomentosa</t>
  </si>
  <si>
    <t>Astmabayda</t>
  </si>
  <si>
    <t>Perumpeelai</t>
  </si>
  <si>
    <t>Pedda kondapindi</t>
  </si>
  <si>
    <t>Perum poola</t>
  </si>
  <si>
    <t>Chaya</t>
  </si>
  <si>
    <t>A herb, stem terete, branched, covered with thick stellate tomentum. Leaves alternate, variable, sessile, linear and oblong. Flowers unisexual or dioecious dull white in spikes. Fruits an utricle. Seeds lenticular, shining and brownish black.</t>
  </si>
  <si>
    <t>b- sitosterol, Volatile oil, Tannin and Mucilage.</t>
  </si>
  <si>
    <t>The powder of the plant is made into a decoction and given internally for Renal stones. Fresh juice of the plant is given for relieving worms from the Intestine.</t>
  </si>
  <si>
    <t>Agaricus campestris</t>
  </si>
  <si>
    <t>Chatrakah</t>
  </si>
  <si>
    <t>Naikkudai kalan</t>
  </si>
  <si>
    <t>Common mushroom</t>
  </si>
  <si>
    <t>Kukka godugu</t>
  </si>
  <si>
    <t>Koon</t>
  </si>
  <si>
    <t>Khumi</t>
  </si>
  <si>
    <t>A large fungal herb, resembles an umbrella, non-poisonous variety which is used as a vegetable. The stalk is white, short and filled with aerenchyma, the upper part has a cap and gills are present inside. This edible variety is fragile and breaks easily and has an unclear ring below the top.</t>
  </si>
  <si>
    <t>Laxative, Aphrodisiac, Tonic</t>
  </si>
  <si>
    <t>Agaric acid, Fungic acid, Larcic acid</t>
  </si>
  <si>
    <t>It is cooked and eaten for its High protein value. It is also consumed in large amount for its Laxative property.</t>
  </si>
  <si>
    <t>Agave americana</t>
  </si>
  <si>
    <t>Kala kantala</t>
  </si>
  <si>
    <t>Anai kathazhai</t>
  </si>
  <si>
    <t>American aloe</t>
  </si>
  <si>
    <t>Kittanari</t>
  </si>
  <si>
    <t>Panam - Kattazha</t>
  </si>
  <si>
    <t>Barakhanwar</t>
  </si>
  <si>
    <t>It is a perennial shrub belongs to monocotyledon. The stem is very short above the ground level and many ribbon like succulent leaves develop from each compressed nodes with recurved marginal spines, venation parallel. Inflorescence is produced from the central axis, flowers panicle on a gigantic, woody scape. Fruits loculicidal capsule.</t>
  </si>
  <si>
    <t>Syphilitic complaints</t>
  </si>
  <si>
    <t>Syphilis, Scurvy, Cancer and Gonorrhoea</t>
  </si>
  <si>
    <t>Tooth ache</t>
  </si>
  <si>
    <t>Diuretic, Antisyphilitic, Laxative, Emmenagogue, Resolvent and Antiscorbutic</t>
  </si>
  <si>
    <t>A g a v o s a p o n i n s A , B , C , D , E , F , G , H , I , Sapogenins, Hecogenin, Chlorogenin, Neotigogenin, Agavose and Saponins.</t>
  </si>
  <si>
    <t>Leaf pulp mixed with sugar is given internally for Gonorrhoea. The juice which yields on cutting the leaves.</t>
  </si>
  <si>
    <t>Ailanthus excelsa</t>
  </si>
  <si>
    <t>Madula aralu</t>
  </si>
  <si>
    <t>Perumaruthu</t>
  </si>
  <si>
    <t>Tree of heaven</t>
  </si>
  <si>
    <t>Peddamanu</t>
  </si>
  <si>
    <t>Perumaram</t>
  </si>
  <si>
    <t>Mahanimb</t>
  </si>
  <si>
    <t>Very large deciduous tree, bark light grey in colour. Leaves alternate, imparipinnate and yellowish, leaflets coarsely toothed and tomentose when young. Flowers small polygamous, in terminal panicles. Fruits one seeded samara with large membranous wings.</t>
  </si>
  <si>
    <t>Dyspepsia, Bronchitis and Asthma</t>
  </si>
  <si>
    <t>Nausea, Vomiting, Purging and Debility.</t>
  </si>
  <si>
    <t>Bitter, Tonic, Carminative, Febrifuge, Expectorant and Antispasmodic</t>
  </si>
  <si>
    <t>Hexatriacotane, Malanthin, Triacontane, b-sitosterol, Ailantic acid, Quassinoids, Quassin, Kaempferol, and Quercetin.</t>
  </si>
  <si>
    <t>The leaf juice is useful in Bronchitis and Asthma. Bark and leaves in infusion are reputed as Tonic in debility after child birth.</t>
  </si>
  <si>
    <t>Alangium salvifolium</t>
  </si>
  <si>
    <t>Ankola</t>
  </si>
  <si>
    <t>Azhingil</t>
  </si>
  <si>
    <t>Sage-leaved alangium</t>
  </si>
  <si>
    <t>Ankolamu</t>
  </si>
  <si>
    <t>Ankolam</t>
  </si>
  <si>
    <t>Ankol</t>
  </si>
  <si>
    <t>A deciduous tree having white coloured branches, bark pale brown and aromatic. Leaves simple, alternate, variable in shape, oblong or elliptic with long petiole. Flowers white, fragrant in axillary fascicles. Fruits drupe, ellipsoid, pink and crowned by persistent calyx. Seeds large</t>
  </si>
  <si>
    <t>Dog bites, Worms, Colic and Inflammation, Antidote of several poisons, Diarrhoea, Leprosy, Syphilis and Skin diseases.</t>
  </si>
  <si>
    <t>Burns and Haemorrhages</t>
  </si>
  <si>
    <t>Anthelmintic, Purgative, Laxative, Cooling, Nutritive, Tonic and Antineoplastic</t>
  </si>
  <si>
    <t>Alangine A, B, Alanginine, Lamarckinine, Marckine, Marckidine, Deoxy tubulosine, Cephaeline, Psychotrine and Lacinilene</t>
  </si>
  <si>
    <t>Oil of the root bark is a useful external application in Acute rheumatism. Root bark rubbed in rice water and honey is given for Diarrhoea.</t>
  </si>
  <si>
    <t>Albizia amara</t>
  </si>
  <si>
    <t>Krishna sirish</t>
  </si>
  <si>
    <t>Usila maram</t>
  </si>
  <si>
    <t>Bitter albizia</t>
  </si>
  <si>
    <t>Lulai</t>
  </si>
  <si>
    <t>Small to moderate-sized much branched deciduous tree. Bark smooth, dark green &amp; scaly leaves pinnately compound with 15-24 pairs of small, linear leaflets on 6-15 pairs of pinnae. Flowers develop when the tree is almost leafless. Flowers pedicelled, yellow, fragrant in 20-20 globose heads. Fruits oblong pods with 6-8 seeds.</t>
  </si>
  <si>
    <t>Stomach pain</t>
  </si>
  <si>
    <t>Malaria, Cough</t>
  </si>
  <si>
    <t>Refrigerant, Astringent, Antibacterial, Antiinflammatory, Anti-cancer, Cytotoxic.</t>
  </si>
  <si>
    <t>Saponins, Tannins, Budmunchiamines A to I, and Gums.</t>
  </si>
  <si>
    <t>Leaf decoction is given internally for Stomach ache. Fruits are powdered and taken internally for Cough &amp; Malarial fever.</t>
  </si>
  <si>
    <t>Albizia lebbeck</t>
  </si>
  <si>
    <t>Shirisha</t>
  </si>
  <si>
    <t>Kattu vagai</t>
  </si>
  <si>
    <t>East Indian walnut</t>
  </si>
  <si>
    <t>Dirisinam</t>
  </si>
  <si>
    <t>Vaga</t>
  </si>
  <si>
    <t>Siris</t>
  </si>
  <si>
    <t>A large deciduous tree, bark dark brown to greenish black. Leaves bipinnate, leaflets subsessile, obliquely elliptic, oblong or obovate. Flowers greenish yellow in globose heads. Fruits pod, strap shaped, long and yellowish brown. Seeds 6-10 in number, pale brown.</t>
  </si>
  <si>
    <t>Inflammation, Scrofula, Skin diseases, Leprosy, Leucoderma, Chronic cataract, Seminal weakness and Ophthalmopathy</t>
  </si>
  <si>
    <t>Eye diseases</t>
  </si>
  <si>
    <t>Chronic cough and Bronchitis</t>
  </si>
  <si>
    <t>Dermatosis, Wounds, Tooth ache and Night blindness.</t>
  </si>
  <si>
    <t>Astringent, Bitter, Aperient, Thermogenic, Expectorant, Anti-tussive and Tonic.</t>
  </si>
  <si>
    <t>T r i t e r p e n e , T a n n i n , L e u c o c y a n i d i n , Sapogenin, Acacic acid, Albigenin &amp; Saponin</t>
  </si>
  <si>
    <t>Flowers are made in to a paste and applied on Swellings, Boils and Wounds. Bark is made into a powder and administered internally for Piles and Leucorrhoea.</t>
  </si>
  <si>
    <t>Alhagi pseudalhagi</t>
  </si>
  <si>
    <t>Ananta</t>
  </si>
  <si>
    <t>Turalappai</t>
  </si>
  <si>
    <t>Camel’s thorn</t>
  </si>
  <si>
    <t>Girikarmika</t>
  </si>
  <si>
    <t>Kappattumpa</t>
  </si>
  <si>
    <t>Javasa</t>
  </si>
  <si>
    <t>A spiny shrub. Leaves oblong, obtuse. Flowers red in few flowered, axillary racemes forming panicles at the end of branches. Seeds falcate, straight and sub-reniform.</t>
  </si>
  <si>
    <t>Asthma, Piles, Cough, Rheumatism</t>
  </si>
  <si>
    <t>Anti-bilious, Antiseptic, Laxative, Hypolipidemic, Diuretic, Expectorant, Diaphoretic</t>
  </si>
  <si>
    <t>B-Phenethylamine, Hordenine, Salsolidine, N-Methyl mescaline, N-Methyl tyramine, Flavonoids</t>
  </si>
  <si>
    <t>The twigs and flowers as poultice or fumigation is used for piles. The oil prepared from the leaves is used as an external application for Rheumatism</t>
  </si>
  <si>
    <t>Allemanda cathartica</t>
  </si>
  <si>
    <t>Pitaturyapushpa</t>
  </si>
  <si>
    <t>Manjal Patti</t>
  </si>
  <si>
    <t>Golden trumpet</t>
  </si>
  <si>
    <t>Allemandatheega</t>
  </si>
  <si>
    <t>Kolaambi</t>
  </si>
  <si>
    <t>Jahari sontakka</t>
  </si>
  <si>
    <t>An erect shrub, leaves whorled, obovate, oblong, lanceolate. Flowers large, showy, bright or golden yellow in terminal, cymose panicles. Fruits prickly capsules. Seeds obovate, flat and winged.</t>
  </si>
  <si>
    <t>Carcinoma of Nasopharynx.</t>
  </si>
  <si>
    <t>Colic and Tumours</t>
  </si>
  <si>
    <t>Ascites.</t>
  </si>
  <si>
    <t>Cathartic, Antifungal</t>
  </si>
  <si>
    <t>Sodium bicarbonate, Plumericin, Ursolic acid, Isoplumericin, β-amyrin, Allamandicin, Allamandin and Allamdin</t>
  </si>
  <si>
    <t>The plant extract is found to be active against Gram positive bacteria.The bark decoction is administered as hydrogogue in Ascites.</t>
  </si>
  <si>
    <t>Allium cepa</t>
  </si>
  <si>
    <t>Palandu</t>
  </si>
  <si>
    <t>Vengayam</t>
  </si>
  <si>
    <t>Onion</t>
  </si>
  <si>
    <t>Erragadda</t>
  </si>
  <si>
    <t>Eerulli</t>
  </si>
  <si>
    <t>Piyaz</t>
  </si>
  <si>
    <t>A bulbous, biennial aromatic herb. Leaves thick, cylindrical, subdisticous and acute with parallel venation. Inflorescence a large globular umbel. Fruits capsule, seeds triangular. The bulb is present at the base which is a modified stem.</t>
  </si>
  <si>
    <t>Refrigerant.</t>
  </si>
  <si>
    <t>Hypertension, Dropsy, Catarrh, Chronic bronchitis, Dyspepsia and Epilepsy</t>
  </si>
  <si>
    <t>S t i m u l a n t , D i u r e t i c , E x p e c t o r a n t , Anticarcinogenic, Antimicrobial</t>
  </si>
  <si>
    <t>Cycloallin, Oleanolic acid, Propenyl sulfenic acid, Thiosulfinates, Quercetin, Kaempferol and Volatile oil</t>
  </si>
  <si>
    <t>Bulb made into a paste with common salt is administered internally for Colic and Scurvy. The bulb is ground with mustard oil
and applied in Rheumatic pains and
Inflammatory swellings</t>
  </si>
  <si>
    <t>Allium sativum</t>
  </si>
  <si>
    <t>Lasuna</t>
  </si>
  <si>
    <t>Poondu</t>
  </si>
  <si>
    <t>Garlic</t>
  </si>
  <si>
    <t>Tellagadda</t>
  </si>
  <si>
    <t>Vellulli</t>
  </si>
  <si>
    <t>Lasan</t>
  </si>
  <si>
    <t>A perennial bulbous herb, bulbs are made up of white, pinkish cloves. The stem is reduced, leaves long, flat, acute and thin. Inflorescence an axillary umbel with slender scape. Spathe longer and beaked. Flowers small and white prolonged into leafy points.</t>
  </si>
  <si>
    <t>Pulmonary phthisis, Epilepsy, Lung gangrene, and Whooping cough</t>
  </si>
  <si>
    <t>Round worms, Skin diseases, Dyspepsia, Flatulence and Colic</t>
  </si>
  <si>
    <t>Stimulant, Carminative, Emmenagogue, Tonic, Anti rheumatic, Anthelmintic, Alterative, Antioxidant.</t>
  </si>
  <si>
    <t>Folic acid, Calcium, Riboflavin, Iodine, Phosphorous, Allicin, g-glutamyl peptides Volatile oil.</t>
  </si>
  <si>
    <t>The cloves are fried in gingelly oil and taken internally for Gastric troubles and Indigestion</t>
  </si>
  <si>
    <t>Aloe littoralis Linn. (Liliaceae)</t>
  </si>
  <si>
    <t>Ikshuramallika</t>
  </si>
  <si>
    <t>Chiru kattrazhai</t>
  </si>
  <si>
    <t>Small aloe</t>
  </si>
  <si>
    <t>Mushambaram</t>
  </si>
  <si>
    <t>Chennanayakam</t>
  </si>
  <si>
    <t>Chhota kanvar</t>
  </si>
  <si>
    <t>A caulescent perennial small herb, leaves simple, radicle, fleshy, sessile, glaucous, green often crowded with horny prickles on margins and tip, narrow from base to apex. Inflorescence is a branched, terminal raceme, florets yellow or orange. Fruits loculicidal capsule.</t>
  </si>
  <si>
    <t>Refrigerant, Laxative, Tonic, Uterine tonic and Emmenagogue.</t>
  </si>
  <si>
    <t>Aloesin, Aloesone, Aloin, Resin &amp; Volatile oil.</t>
  </si>
  <si>
    <t xml:space="preserve"> Pulp is a wonderful remedy for Intestinal worms in Children. Ii) The pulp is applied on the face for Pimples and Black dots</t>
  </si>
  <si>
    <t>Aloe vera Linn. (Liliaceae)</t>
  </si>
  <si>
    <t>Ghrita-kumari</t>
  </si>
  <si>
    <t>Kattrazhai</t>
  </si>
  <si>
    <t>Indian aloe</t>
  </si>
  <si>
    <t>Kalabanda</t>
  </si>
  <si>
    <t>Kattavala</t>
  </si>
  <si>
    <t>Ghikanwar</t>
  </si>
  <si>
    <t>A caulescent perennial herb, leaves radicle, fleshy, sessile, glaucous, green often crowded with horny prickles on margins and tip, narrow from base to apex. Inflorescence is a branched, terminal raceme, florets yellow or orange. Fruits loculicidal capsule.</t>
  </si>
  <si>
    <t>Colic pain.</t>
  </si>
  <si>
    <t>Dyspepsia, Amenorrhoea, Burns, Colic, Hyperadenosis, Hepatopathy, Splenopathy and Dysmenorrhoea</t>
  </si>
  <si>
    <t>Bitter, Refrigerant, Anthelmintic, Aperient, Diuretic, Carminative, Stomachic, Emmenagogue, Alexiteric and Anti-inflammatory.</t>
  </si>
  <si>
    <t xml:space="preserve">i The pulp with honey and turmeric is given in Cough and Cold. Pulp is given internally for Leucorrhoea 
    and other Uterine disorders. </t>
  </si>
  <si>
    <t>Alpinia chinensis Rosc. (Zingiberaceae)</t>
  </si>
  <si>
    <t>Rasnah</t>
  </si>
  <si>
    <t>Chitharathai</t>
  </si>
  <si>
    <t>Lesser galangal</t>
  </si>
  <si>
    <t>Sannarastram</t>
  </si>
  <si>
    <t>Chitharatha</t>
  </si>
  <si>
    <t>Khulanjan</t>
  </si>
  <si>
    <t>A perennial rhizomatous herb, root stock horizontal with a tall leafy stem. Leaves simple, linear, oblong, lanceolate, glabrous, acuminate, ligulate and ciliate with short petiole. Flowers in terminal panicles variegated with yellow and red. Fruits red coloured capsule.</t>
  </si>
  <si>
    <t>Bitter, Appetiser, Tonic and Carminative.</t>
  </si>
  <si>
    <t>Galangin, Alpinin, Kaempferol, Galangol, Kaempferide and Glucoside.</t>
  </si>
  <si>
    <t xml:space="preserve"> i The powder of the root stock is mixed with honey and given in Cough and Cold. A piece of the root stock is chewed to control Vomiting.</t>
  </si>
  <si>
    <t>Alpinia galanga (Linn.) Willd. (Zingiberaceae)</t>
  </si>
  <si>
    <t>Sugandha vacha</t>
  </si>
  <si>
    <t>Perarathai</t>
  </si>
  <si>
    <t>Greater galangal</t>
  </si>
  <si>
    <t>Pedda dhumpa</t>
  </si>
  <si>
    <t>Barakulingan</t>
  </si>
  <si>
    <t>A perennial herb with tuberous, aromatic root stock. Leaves are broad, lanceolate and acute, the upper surface is smooth and the lower surface is hairy. Flowers small greenish white streaked with red and found in raceme inflorescence. Fruits round and red capsule. Seeds light, flat, triangular and fragrant.</t>
  </si>
  <si>
    <t>Respiratory ailments, Gastro-intestinal affections, Fever and Diabetes.</t>
  </si>
  <si>
    <t>Aromatic, Stimulant, Bitter, Stomachic, Carminative and Expectorant.</t>
  </si>
  <si>
    <t>Galangin, Alpinin, Kaempferol, Quercetin, Pentadecane, 3-methyl ether Kaempferide</t>
  </si>
  <si>
    <t xml:space="preserve">  The root stock in honey cures Paroxysm in 
   children suffering from Whooping cough.
  i Root stock powder with long pepper and 
   Liquorice in the form of decoction with 
    honey cures Asthma.</t>
  </si>
  <si>
    <t>Alstonia scholaris R.Br. (Apocynaceae)</t>
  </si>
  <si>
    <t>Saptaparna</t>
  </si>
  <si>
    <t>Ezhilaippalai</t>
  </si>
  <si>
    <t>Edakula pala</t>
  </si>
  <si>
    <t>Aerilampala</t>
  </si>
  <si>
    <t>Datyuni</t>
  </si>
  <si>
    <t>An evergreen tree, bark is thick, porous and white in colour. On cutting milky latex ooze out. Leaves seven in each whorl, broad and dark green towards the apex and whitish towards nodes. Flowers appear in bunches, regular, hermophrodite in terminal umbellate cyme. Fruits double follicle. Seeds ciliate at both ends.</t>
  </si>
  <si>
    <t>Snake bite.</t>
  </si>
  <si>
    <t>Debility, Fever, Chronic diarrhoea, Dysentery and Catarrhal fever.</t>
  </si>
  <si>
    <t>Stimulant, Carminative, Stomachic, Bitter, Tonic, Astringent, Aphrodisiac, Expectorant, Febrifuge, Alterative and Antiperiodic.</t>
  </si>
  <si>
    <t>Picrinine, Strictamine, Lupeol, Tubotaimine, Akuammigine, Palmitic acid, Alkaloid, Dilamine and Echitamine.</t>
  </si>
  <si>
    <t xml:space="preserve"> Root powder with honey is given internally for Peptic ulcer and Worm infestation. i An extract of bark is taken internally with cow's milk in case of Leprosy</t>
  </si>
  <si>
    <t>Alternanthera sessilis (Linn.) DC. (Amaranthaceae)</t>
  </si>
  <si>
    <t>Giogihra</t>
  </si>
  <si>
    <t>Ponnanganni</t>
  </si>
  <si>
    <t>Alternanthera</t>
  </si>
  <si>
    <t>Ponnanganti kura</t>
  </si>
  <si>
    <t>Ponnankanni</t>
  </si>
  <si>
    <t>Gudarisag</t>
  </si>
  <si>
    <t>An annual or perennial, prostrate herb, much branched and rooting at the lower nodes. Leaves simple, opposite, linear. Flowers small, white, shining in small axillary sessile clusters. Fruits compressed utricles. Seeds small and sub-orbicular</t>
  </si>
  <si>
    <t>Astringent, Cooling, Depurative, Digestive, Cholagogue, Galactagogue, Intellect promoting, Febrifuge, Anticancerous.</t>
  </si>
  <si>
    <t>Starch, Mucilage, Oil, b- tocopherols.</t>
  </si>
  <si>
    <t>The leaf powder, Acalypha and Terminalia chebula are mixed with ghee and given internally for Piles. i The leaves are fried in ghee and applied as poultice on eyes to cure Eye diseases.</t>
  </si>
  <si>
    <t>Althaea officinalis Linn. (Malvaceae)</t>
  </si>
  <si>
    <t>Seemai thutti</t>
  </si>
  <si>
    <t>Marsh mallow</t>
  </si>
  <si>
    <t>Seema thuttura</t>
  </si>
  <si>
    <t xml:space="preserve">Malvavischio  </t>
  </si>
  <si>
    <t>Gulkhairo</t>
  </si>
  <si>
    <t>A perennial herb with woody root stock. Leaves simple, sometimes lobed, ovate or ovoid. Inflorescence in axillary clusters, flowers pedunculate. Fruits schizocarp with many celled ovary.</t>
  </si>
  <si>
    <t>Emollient and Analgesic.</t>
  </si>
  <si>
    <t>D-xylose, D-galactose, L-arabinose, 4-0-methyl, D-glucuronic acid, b-Asparagin, Betaine, Starch and Sugar.</t>
  </si>
  <si>
    <t>Leaves and flowers are made into a paste and applied on Burns. ii) Root and seed oil is applied externally for Lumbago and Inflammation of the breast.</t>
  </si>
  <si>
    <t>Amaranthus gangeticus Linn. (Amaranthaceae)</t>
  </si>
  <si>
    <t>Marisha</t>
  </si>
  <si>
    <t>Thandukeerai</t>
  </si>
  <si>
    <t>Chinese spinach</t>
  </si>
  <si>
    <t>Totakura</t>
  </si>
  <si>
    <t>Cheera</t>
  </si>
  <si>
    <t>Lalsag</t>
  </si>
  <si>
    <t>An erect stout annual herb. Leaves simple, alternate, lanceolate to oval, tip often notched. Flowers clustered in the lower axil as thyrsoid panicles. Fruits orbicular compressed utricle and indehiscent. Seeds small, lenticular, black and acute.</t>
  </si>
  <si>
    <t>Refrigerant, Astringent, Demulcent, Aperient and Laxative.</t>
  </si>
  <si>
    <t>Amarantin, Isoamarantin, Betanin, Calcium, Magnesium and Sitosterol.</t>
  </si>
  <si>
    <t>Leaf juice is given internally for Menorrhagia. The leaves are cooked and eaten for Burning micturition.</t>
  </si>
  <si>
    <t>Amaranthus spinosus Linn. (Amaranthaceae)</t>
  </si>
  <si>
    <t>Tanduliya</t>
  </si>
  <si>
    <t>Mullu keerai</t>
  </si>
  <si>
    <t>Spiny amaranth</t>
  </si>
  <si>
    <t>Mulla thota kura</t>
  </si>
  <si>
    <t>Mullan cheera</t>
  </si>
  <si>
    <t>Kantabhaji</t>
  </si>
  <si>
    <t>A decumbent spinous annual herb varies from green to purple. Leaves simple, alternate, petiolate and ovate with spines in the axils. Flowers in clusters in dense panicles. Fruits ovoid, compressed utricle. Seeds small, orbicular and black.</t>
  </si>
  <si>
    <t>Colic, Menorrhagia and Eczema.</t>
  </si>
  <si>
    <t>Gonorrhoea.</t>
  </si>
  <si>
    <t>Diarrhoea, Seminal debility, Leucorrhoea.</t>
  </si>
  <si>
    <t>Refrigerant, Astringent, Laxative, Emmenagogue, Galactagogue and Diuretic</t>
  </si>
  <si>
    <t>Hentriacontane, Campesterol, Cholesterol, Oleanolic acid, D-Glucuronic acid, a-spinasterol, b-sitosterol and Albuminoid.</t>
  </si>
  <si>
    <t>The decoction of root is given internally for Leucorrhoea. ii) Root and Garlic are made into paste and given internally for Stomach</t>
  </si>
  <si>
    <t>Amaranthus viridis Linn. (Amaranthaceae)</t>
  </si>
  <si>
    <t>Vishaghna</t>
  </si>
  <si>
    <t>Kuppai keerai</t>
  </si>
  <si>
    <t>Wild Amaranth</t>
  </si>
  <si>
    <t>Chilaka thotakura</t>
  </si>
  <si>
    <t>Bayam munyit</t>
  </si>
  <si>
    <t>Katemat</t>
  </si>
  <si>
    <t>An erect much branched glabrous herb. Leaves simple, petiolate, ovate and obtuse. Flowers shortly pedicellate spikes in small axillary clusters. Seeds small, lenticular, shining and black.</t>
  </si>
  <si>
    <t>Emollient, Nutrient, Tonic, Refrigerant and Antidote.</t>
  </si>
  <si>
    <t>Arginine, Histidine, Lysine, Methionine and Cystine.</t>
  </si>
  <si>
    <t>Root powder is given internally for Snake bite and Scorpion sting. Leaf powder and Cardiospermum root powder is used for Arthritic pain</t>
  </si>
  <si>
    <t>Ammannia baccifera Linn. (Lythraceae)</t>
  </si>
  <si>
    <t>Agni-garba</t>
  </si>
  <si>
    <t>Kalluruvi</t>
  </si>
  <si>
    <t>Blistering ammania</t>
  </si>
  <si>
    <t>Agnivendra-paku</t>
  </si>
  <si>
    <t>Kallurvanchi</t>
  </si>
  <si>
    <t>Dadmari</t>
  </si>
  <si>
    <t>Annual, glabrous, erect branching herb of wet places, stems tetragonous. Leaves simple, opposite and decussate, sessile, cordate at base. Inflorescence a dense, axillary cyme. Fruits capsule, slightly longer than the calyx tube. Seeds many and small.</t>
  </si>
  <si>
    <t>Irritant, Vesicant, Stomachic, Anti-typhoidal, Anti-tubercular and Laxative.</t>
  </si>
  <si>
    <t>Resin, Glucose, Albuminoids and Vitamin-C.</t>
  </si>
  <si>
    <t>Leaves are ground into a paste and applied on Boils to reduce Swellings.Decoction of the leaf powder with ginger is 
     given in Periodic fever.</t>
  </si>
  <si>
    <t>Amomum subulatum Roxb. (Zingiberaceae)</t>
  </si>
  <si>
    <t>Aindri</t>
  </si>
  <si>
    <t>Perelam</t>
  </si>
  <si>
    <t>Greater cardamom</t>
  </si>
  <si>
    <t>Pedda elakkai</t>
  </si>
  <si>
    <t>Paerelam</t>
  </si>
  <si>
    <t>Barielachi</t>
  </si>
  <si>
    <t>A tall perennial herb with leafy stem, rhizomes creeping, branch with several, erect, leafy shoots. Leaves oblong, lanceolate, glabrous and acuminate. Inflorescence a globose spike with short peduncle. Fruits capsule, irregularly obcordate, trilocular with aromatic seeds.</t>
  </si>
  <si>
    <t>Anorexia, Vomiting, Dyspepsia, Flatulence, Pruritis, Odontalgia, Bronchitis and Cardiac debility.</t>
  </si>
  <si>
    <t>Bitter, Aromatic, Thermogenic, Appetiser, Carminative and Digestive.</t>
  </si>
  <si>
    <t>Cardamonin, Alpinetin, Subulin, Petunidine-3, 5-diglucoside and Cineol.</t>
  </si>
  <si>
    <t>Decoction of the seeds is used as a gargle in Tooth caries and Bleeding gums. Powdered seeds are useful in Indigestion.</t>
  </si>
  <si>
    <t>Amorphophallus campanulatus Blume ex Decne. (Araceae)</t>
  </si>
  <si>
    <t>Arsagna</t>
  </si>
  <si>
    <t>Chenaikkizhangu</t>
  </si>
  <si>
    <t>Elephant foot yam</t>
  </si>
  <si>
    <t>Kanda gadda</t>
  </si>
  <si>
    <t>Chenna</t>
  </si>
  <si>
    <t>Zamikand</t>
  </si>
  <si>
    <t>Tuberous stout herb, tubers depressed, globose or hemispherical. Leaves wide, segments spreading entire or forked, the ultimate obliquely oblong and acuminate. Inflorescence a spadix, spathe companulate fresh and long. Fruits berry. Seeds 2-3.</t>
  </si>
  <si>
    <t>Stomachic, Carminative and Tonic.</t>
  </si>
  <si>
    <t>Vitamin-A, Isoleucine, Valine, Lysine, Oxalic acid and Stigmasterol.</t>
  </si>
  <si>
    <t>The tuber is boiled to get an acrid juice which cures Internal The fermented juice of petiole is used to cure Diarrhoea.</t>
  </si>
  <si>
    <t>Amorphophallus dubius Blume. (Araceae)</t>
  </si>
  <si>
    <t>Kanana kanda</t>
  </si>
  <si>
    <t>Kattu Karunai</t>
  </si>
  <si>
    <t>Purple-stalked dragon</t>
  </si>
  <si>
    <t>Thiya kandha</t>
  </si>
  <si>
    <t>Kattu chena</t>
  </si>
  <si>
    <t>Jangli suran</t>
  </si>
  <si>
    <t>A perennial tuberous herb with modified underground stem. Leaves trisect, segments pinnate or bipinnate with short and rough pedicels. Inflorescence a spadix, flowers infundibuliformis and unisexual, spadix is smaller than the spathe. Fruits berry, obovoid. Seeds 2-3</t>
  </si>
  <si>
    <t>Betulinic acid, Triacontane, Rhamnose, Xylose and Albuminoids.</t>
  </si>
  <si>
    <t>The corm is to regulate Menstrual cycle and cures Ophthalmia. The corm is eaten as a vegetable after boiling in tamarind juice for Piles Dysentery and Haemorrhoids.</t>
  </si>
  <si>
    <t>Anacardium occidentale Linn. (Anacardiaceae)</t>
  </si>
  <si>
    <t>Kajutaka</t>
  </si>
  <si>
    <t>Mundhirikai</t>
  </si>
  <si>
    <t>Cashew nut</t>
  </si>
  <si>
    <t>Jidimamidi</t>
  </si>
  <si>
    <t>Andi paruppu</t>
  </si>
  <si>
    <t>Kaju</t>
  </si>
  <si>
    <t>A small, spreading, evergreen tree usually with resinous juice. Leaves simple, alternate or rarely opposite, petiolate, obovate, glabrous and entire. Inflorescence small, yellow streaked with pink, in terminal, prominently bracteate panicles with both staminate and hermophrodite flowers. Fruits greenish grey nut on a yellow or red false fruit.</t>
  </si>
  <si>
    <t>Anaesthetic in leprosy, Psoriasis, Blisters in warts, Ulcer and Scurvy.</t>
  </si>
  <si>
    <t>Alterative, Astringent and Rubefacient, Antibacterial, Antifilarial</t>
  </si>
  <si>
    <t>Ethylgallate, Leuco-delphinidin, Ellagic acid, b-sitosterol, Anacardic acid, Cardols, Cardonols, Methyl Cardols.</t>
  </si>
  <si>
    <t>The seeds are nutritive and has Aphrodisiac action. The oil from the kernels is a  mechanical 
   and chemical antidote for Irritant poison.</t>
  </si>
  <si>
    <t>Anacyclus pyrethrum DC. (Asteraceae)</t>
  </si>
  <si>
    <t>Akkiragaram</t>
  </si>
  <si>
    <t>Spanish pellitory</t>
  </si>
  <si>
    <t>Akkalakarra</t>
  </si>
  <si>
    <t>Akkalakaram</t>
  </si>
  <si>
    <t>Akarkara</t>
  </si>
  <si>
    <t>A perennial procumbent herb, stem is surround by hairs. Leaves alternate, bipinnately compound. Inflorescence heterogamous head, the ray florets are white in colour and disc florets are yellow, axillary or terminal. Fruits dry achene, seeds erect.</t>
  </si>
  <si>
    <t>Stimulant, Rubefacient, Sialogogue.</t>
  </si>
  <si>
    <t>Anacyclin, Amidies, Sesamin, Hydrocarolin, Tyramine amides and Pellitorine, Piperideide.</t>
  </si>
  <si>
    <t>The root powder is given in honey for Epilepsy. Root decoction is useful as a gargle in Tooth caries, Tooth ache, Sore Tonsilitis.</t>
  </si>
  <si>
    <t>Anamirta cocculus Linn. (Menispermaceae)</t>
  </si>
  <si>
    <t>Kakaphala</t>
  </si>
  <si>
    <t>Kakkai kolli</t>
  </si>
  <si>
    <t>Crow killer</t>
  </si>
  <si>
    <t>Kakinichampu-chettu</t>
  </si>
  <si>
    <t>Nanjin cura</t>
  </si>
  <si>
    <t>Kakmari</t>
  </si>
  <si>
    <t>A large climbing shrub. Leaves large, broadly ovate or suborbicular with long petiole. Inflorescence long panicles of greenish flowers drooping from nodes of the old wood. Fruits drupe, reniform blackish or reddish brown and wrinkled. Seeds globose, compressed and urn shaped.</t>
  </si>
  <si>
    <t>Skin diseases, Scabies, Destroys lice, Crow poison.</t>
  </si>
  <si>
    <t>Antidote, Narcotic</t>
  </si>
  <si>
    <t>Picrotoxin, Cocculin, Anamirtin, Menispermine, Palmitic acid, Linoleic aicd, Stearic acid and Paramenispermine.</t>
  </si>
  <si>
    <t xml:space="preserve"> Fruit juice is applied to Scabies and Wounds. i Powdered seeds are applied on head to kill Lice.</t>
  </si>
  <si>
    <t>Ananas sativus (Linn.) Merrill (Bromeliaceae)</t>
  </si>
  <si>
    <t>Anamnasam</t>
  </si>
  <si>
    <t>Annasi pazham</t>
  </si>
  <si>
    <t>Pine apple</t>
  </si>
  <si>
    <t>Anaasa pandu</t>
  </si>
  <si>
    <t>Kaitha chakka</t>
  </si>
  <si>
    <t>Anannas</t>
  </si>
  <si>
    <t>A perennial herb often epiphytic, stem thick, stout and hidden by leaves. Leaves rigid, clustered, radical, rossette spirally arranged with sheathing leaf base. Inflorescence is a terminal compound spike. Flowers fleshy each with a rough bract. Fruits composite.</t>
  </si>
  <si>
    <t>Purgative, Anthelmintic, Vermicide, Diuretic, Antiscorbutic, Diaphoretic, Abortifacient, Aperient, Anti-inflammatory &amp; Emmenagogue.</t>
  </si>
  <si>
    <t>Bromelin, Ergosterol, Peroxide, Stigmastanol, and Campestanol .</t>
  </si>
  <si>
    <t xml:space="preserve">Juice of the unripe fruit in large quantities 
   causes uterine contraction and should be 
   avoided by pregnant women. Fresh leaf juice with sugar relieves  
   Hiccough and act as a purgative. </t>
  </si>
  <si>
    <t>Andrographis echioidis Nees. (Acanthaceae)</t>
  </si>
  <si>
    <t>Gopuram thangi</t>
  </si>
  <si>
    <t>Chalava-puri-kata</t>
  </si>
  <si>
    <t>Mala-kulukki</t>
  </si>
  <si>
    <t>Charayetah</t>
  </si>
  <si>
    <t>Herbaceous quadrangular herb. The stem is clothed with spreading hairs. Leaves simple, sessile, oblong and entire. Flowers numerous on axillary racemes. Rachis is hairy. Fruits broad, elliptic and compressed capsules. Seeds compressed.</t>
  </si>
  <si>
    <t>Febrifuge.</t>
  </si>
  <si>
    <t>Echioidinin, Echoidin, Quinine sulphate</t>
  </si>
  <si>
    <t>Leaf juice is administered internally for Fever. Root powder mixed with honey is used to cure Psoriasis</t>
  </si>
  <si>
    <t>Andrographis paniculata Wall. Ex Nees. (Acanthaceae)</t>
  </si>
  <si>
    <t>Bhunimba</t>
  </si>
  <si>
    <t>Nilavembu</t>
  </si>
  <si>
    <t>Creat</t>
  </si>
  <si>
    <t>Nila vemu</t>
  </si>
  <si>
    <t>Kiriyattu</t>
  </si>
  <si>
    <t>Kalmegh</t>
  </si>
  <si>
    <t>Small herb, stem quadrangular, lower part is slimy while upper part is hairy. Leaves simple, glabrous, lanceolate and long. Inflorescence panicle, calyx lobe glandular and pubescent. Flowers small and white with bilipped corolla. Fruits elliptic capsule, compressed at right angles to the septum. Seeds hard and glabrous.</t>
  </si>
  <si>
    <t>Stomachic, Tonic, Blood purifier, Alterative, Febrifuge, Anthelmintic, Anti-typhoidal and Cholagogue</t>
  </si>
  <si>
    <t>Andrographine, Andrographolide, Panicolin, Andrographiside, Caffeic acid, Chlorogenic acid, Dicaffeoyl quinic acid and Flavones.</t>
  </si>
  <si>
    <t>Decoction of the leaves is given in Neuralgia and Fever. The leaf juice is given internally to arrest Diarrhoea due to Indigestion</t>
  </si>
  <si>
    <t>Anethum graveolens</t>
  </si>
  <si>
    <t>Sathapushpi</t>
  </si>
  <si>
    <t>Sathakuppai</t>
  </si>
  <si>
    <t>Dill</t>
  </si>
  <si>
    <t>Shata kupivittulu</t>
  </si>
  <si>
    <t>Chatukuppa</t>
  </si>
  <si>
    <t>Sowa</t>
  </si>
  <si>
    <t>An annual erect, glabrous herb. Leaves alternate, compound, petiolate, sheathing at the base. Flowers regular, hermophrodite, inflorescence an umbel. Fruits oblong, dorsally compressed, the mericarps flattened, lateral ridges winged.</t>
  </si>
  <si>
    <t>Rheumatism and Swelling of the joints.</t>
  </si>
  <si>
    <t>Boils, Abscesses.</t>
  </si>
  <si>
    <t>Flatulence, Hiccough, Colic, Abdominal pain and Diarrhoea.</t>
  </si>
  <si>
    <t>Carminative, Stomachic, Stimulant, Diuretic, Emmenagogue and Galactagogue</t>
  </si>
  <si>
    <t>Anethine, Phellandrene, Tripetroselinin, Carvone, Petroselinicdiolein, Vicenin and a- pinene.</t>
  </si>
  <si>
    <t>Fresh leaf juice is given internally to children for Indigestion, Vomiting and Diarrhoea. Powder of seeds is soaked in hot water and given internally for Gastric troubles</t>
  </si>
  <si>
    <t>Anisochilus carnosus</t>
  </si>
  <si>
    <t>Induparni</t>
  </si>
  <si>
    <t>Karpuravalli</t>
  </si>
  <si>
    <t>Thick leaved lavender</t>
  </si>
  <si>
    <t>Ritchurodda</t>
  </si>
  <si>
    <t>Karpoora valli</t>
  </si>
  <si>
    <t>Sitaki</t>
  </si>
  <si>
    <t>An erect annual, aromatic fleshy herb. Leaves simple, opposite, petiolate fleshy, broadly ovate to obtuse with toothed margin. Flowers pale purple found in long peduncled spike inflorescence. Fruits 4, ovoid dry nutlets. Seeds brown and compressed</t>
  </si>
  <si>
    <t>Stimulant, Diaphoretic, Expectorant, Muscle relaxant, Anti-spasmodic, Bactericidal, Fungicidal</t>
  </si>
  <si>
    <t>Volatile essential oil, Diosmetin, Diosmin, Luteolin and Apigenin</t>
  </si>
  <si>
    <t>Leaf juice with sugar cures Cough in children. Leaf juice is boiled with gingelly oil and applied on forehead as a Cooling liniment</t>
  </si>
  <si>
    <t>Anisomeles malabarica</t>
  </si>
  <si>
    <t>Alamoola</t>
  </si>
  <si>
    <t>Perunthumbai</t>
  </si>
  <si>
    <t>Malabar catmint</t>
  </si>
  <si>
    <t>Maga beera</t>
  </si>
  <si>
    <t>Karitumba</t>
  </si>
  <si>
    <t>Kalabhangra</t>
  </si>
  <si>
    <t>An aromatic densely pubescent perennial, erect branching herb with tetragonous stem. Leaves simple, oblong, opposite, soft, white tomentose and lanceolate. Inflorescence pale purple, axillary and found in whorls of short spikes. Fruits carcerulus. Seeds smooth, ellipsoid and compressed</t>
  </si>
  <si>
    <t>Stomachic, Carminative, Diaphoretic, Astringent, Antiperiodic, Antispasmodic, and Emmenagogue</t>
  </si>
  <si>
    <t>Bitter alkaloids, Anisomelic acid, Anisomellol, Citral, Geranic acid and Ovatodiolide.</t>
  </si>
  <si>
    <t>Leaf juice is administered to children in Colic dyspepsia and Fever due to teething. Decoction of the plant is an excellent fomentation for Rheumatic arthritis.</t>
  </si>
  <si>
    <t>Annona reticulata</t>
  </si>
  <si>
    <t>Ramphal</t>
  </si>
  <si>
    <t>Rama seetha</t>
  </si>
  <si>
    <t>Bullocks heart</t>
  </si>
  <si>
    <t>Rama sita palamu</t>
  </si>
  <si>
    <t>Rama seetha palam</t>
  </si>
  <si>
    <t>Nona</t>
  </si>
  <si>
    <t>A small, deciduous tree. Leaves simple, oblong, acuminate, lanceolate with foetid odour. Flowers fleshy, axillary, solitary, leaf opposed and pale green in colour. Fruits composite, orange and sub globose. Seeds black, elongated and compressed</t>
  </si>
  <si>
    <t>Asthma and Insecticidal.</t>
  </si>
  <si>
    <t>Astringent, Tonic, Antidysenteric &amp; Vermifuge.</t>
  </si>
  <si>
    <t>Tannic acid, Anonaine, Diterpenes, Michelalbin, Sapogenins, Oxoushinsun and Reticuline.</t>
  </si>
  <si>
    <t>The bark is good astringent so its decoction controls Dysentery. The ripe fruit alleviate Biliousness and Thirst</t>
  </si>
  <si>
    <t>Annona squamosa</t>
  </si>
  <si>
    <t>Shubha</t>
  </si>
  <si>
    <t>Seetha Pazham</t>
  </si>
  <si>
    <t>Custard apple</t>
  </si>
  <si>
    <t>Seetha palamu</t>
  </si>
  <si>
    <t>Sirpha</t>
  </si>
  <si>
    <t>Seetha phal</t>
  </si>
  <si>
    <t>A small, deciduous tree. Leaves simple, oblong, acuminate, lanceolate with foetid odour. Flowers fleshy, axillary, solitary, leaf opposed and pale green in colour. Fruits composite, orange and sub globose. Seeds black, elongated and compressed.</t>
  </si>
  <si>
    <t>Abortion</t>
  </si>
  <si>
    <t>Ulcers, Hysteria and Fainting.</t>
  </si>
  <si>
    <t>Malignant tumours</t>
  </si>
  <si>
    <t>Astringent, Tonic, Purgative and Vermicide.</t>
  </si>
  <si>
    <t>Thiamine, Riboflavin, Niacin, Vitamin C, Folic acid, Anonaine, Roemerine, Alanine, Corydine, Norcorydine, Glaucine and Isocorydine.</t>
  </si>
  <si>
    <t>Unripe fruit is given in Dysentery, Diarrhoea and Dyspepsia. Ripe fruits mixed with salt is applied to Malignant tumours to hasten suppuration.</t>
  </si>
  <si>
    <t>Anogeissus latifolia</t>
  </si>
  <si>
    <t>Dhava</t>
  </si>
  <si>
    <t>Vellanagai</t>
  </si>
  <si>
    <t>Button tree</t>
  </si>
  <si>
    <t>Chiri manu</t>
  </si>
  <si>
    <t>Malukkanniram</t>
  </si>
  <si>
    <t>Dhaura</t>
  </si>
  <si>
    <t>A tree, leaves compound, elliptic, obtuse, entire, rounded at both ends. Flowers minute, greenish yellow in globose heads on short axillary peduncles. Fruits yellowish or reddish brown, small, shining, winged. Seeds wedge- shaped, one seeded.</t>
  </si>
  <si>
    <t>Abdominal disorders.</t>
  </si>
  <si>
    <t>Otopyorrhoea</t>
  </si>
  <si>
    <t>Wounds, Ulcers, Diabetes, Leprosy, Skin diseases, Haemorrhoids, Haemorrhages, Chronic diarrhoea and Haemoptysis.</t>
  </si>
  <si>
    <t>Diarrhoea, Dysentery.</t>
  </si>
  <si>
    <t>Astringent, Stomachic and Cooling</t>
  </si>
  <si>
    <t>Ellagic acid, Ghattic acid, Flavanoid tannins, Essential Oil, b-Sitoside and D-Glucosides</t>
  </si>
  <si>
    <t>Gum powder is used in Confectionary. Decoction of the bark is used as a wash in Leprosy and Skin diseases.</t>
  </si>
  <si>
    <t>Anthocephalus chinensis</t>
  </si>
  <si>
    <t>Kadamba</t>
  </si>
  <si>
    <t>Vellaikadambu</t>
  </si>
  <si>
    <t>Wild chinchona</t>
  </si>
  <si>
    <t>Rudraksha kamba</t>
  </si>
  <si>
    <t>Katampu</t>
  </si>
  <si>
    <t>Kadam</t>
  </si>
  <si>
    <t>A medium sized deciduous tree, branches spreading horizontally, coriaceous, bark dark brown, rough with shallow fissures. Leaves simple, petiolate, ovate, shortly acuminate. Flowers small, orange yellow in terminal solitary heads. Fruits fleshy, globose, orange, pseudocarp with persistent calyx. Seeds small.</t>
  </si>
  <si>
    <t>Renal calculi</t>
  </si>
  <si>
    <t>Ulcers, Wounds, Stomatitis.</t>
  </si>
  <si>
    <t>Gastric irritability and Fever.</t>
  </si>
  <si>
    <t>Astringent, Anodyne, Aphrodisiac, Carminative, Anti-inflammatory, Tonic, Galactagogue and Febrifuge.</t>
  </si>
  <si>
    <t>Cincho tannic acid, Cadambine, Saponin-B, Quinovic acid, 3- a- Dihydro-cadambine.</t>
  </si>
  <si>
    <t>Juice of the fruit is given to children with cumin and sugar in Gastric irritability. Decoction of the bark is given internally 
   for Fever</t>
  </si>
  <si>
    <t>Antiaris toxicaria</t>
  </si>
  <si>
    <t>Upas</t>
  </si>
  <si>
    <t>Aranthali</t>
  </si>
  <si>
    <t>Sacking tree</t>
  </si>
  <si>
    <t>Aranthali chettu</t>
  </si>
  <si>
    <t>Arayannali</t>
  </si>
  <si>
    <t>Jasund</t>
  </si>
  <si>
    <t>It is a very tall tree, trunk often buttressed. Leaves elliptic to oblong, acuminate and entire. Flowers monoecious, receptacles 3 to 4 together. Peduncles velvety. The female is solitary and pear shaped. Fruits red, velvety, pyriform and one seeded.</t>
  </si>
  <si>
    <t>Stimulant, Febrifuge and Astringent.</t>
  </si>
  <si>
    <t>Alkaloid, Starch, Sugar, Cardiac glycosides, Gum antiarol, Myricin, a-antiarin, b- antiarin, and resin.</t>
  </si>
  <si>
    <t>Decoction of leaves is given internally for Fever. Fruits are given internally to control Dysentery.</t>
  </si>
  <si>
    <t>Aphanamixis polystacha</t>
  </si>
  <si>
    <t>Rohituka</t>
  </si>
  <si>
    <t>Malampuluvan</t>
  </si>
  <si>
    <t>Sohaga</t>
  </si>
  <si>
    <t>Chawora-manu</t>
  </si>
  <si>
    <t>Semmaram</t>
  </si>
  <si>
    <t>Harin hara</t>
  </si>
  <si>
    <t>A large evergreen tree, bark dark brown in colour. Leaves compound, leaflets sessile elliptic with reticulate venation. Inflorescence solitary or axillary panicle, flowers regular. Fruits globular berry. Seeds oblong with scarlet aril.</t>
  </si>
  <si>
    <t>Ulcers, Muscular pain.</t>
  </si>
  <si>
    <t>Liver and Spleen disorders, Tumours, Abdominal complaints and Rheumatism.</t>
  </si>
  <si>
    <t>Bitter, Anti-cancerous.</t>
  </si>
  <si>
    <t>Albuminoids, Resin, Mucilage, Tannin, Linolenic acid, Aphanamixinin, b-sitosterol and Rohitukin.</t>
  </si>
  <si>
    <t>The decoction of the wood is used to regulate the Menstrual cycle. The decoction of the wood is used in Diarrhoea and Dysentery</t>
  </si>
  <si>
    <t>Apium graveolens</t>
  </si>
  <si>
    <t>Ajmoda</t>
  </si>
  <si>
    <t>Celery - Keerai</t>
  </si>
  <si>
    <t>Celery</t>
  </si>
  <si>
    <t>Vamu</t>
  </si>
  <si>
    <t>Omum</t>
  </si>
  <si>
    <t>Ajmod</t>
  </si>
  <si>
    <t>An erect annual or biennial herb. Leaves radical, large pinnately compound. Flowers white, minute sessile and found in umbel inflorescence. Fruits dorsally compressed achene. Seeds schizocarpic with two mericarps.</t>
  </si>
  <si>
    <t>Anasarca, Colic, Rheumatism and Gout.</t>
  </si>
  <si>
    <t>Bronchitis, Asthma, Psoriasis, Liver and Spleen disorders.</t>
  </si>
  <si>
    <t>Tonic, Carminative, Purgative, Diuretic and Emmenagogue.</t>
  </si>
  <si>
    <t>Apigenin, Albumin, Rutaretin, Bergapten, Isopimpinellin, Caffeic acid, Chlorogenic acid, Umbelliferone and Apiin.</t>
  </si>
  <si>
    <t>Seed powder ground with water and taken internally will cure Bronchitis and Asthma. Seeds with anise seeds and sugar is useful in Flatulence and Colic.</t>
  </si>
  <si>
    <t>Aquilaria agallocha</t>
  </si>
  <si>
    <t>Agaru</t>
  </si>
  <si>
    <t>Agil</t>
  </si>
  <si>
    <t>Aloe wood</t>
  </si>
  <si>
    <t>Krishnagaru</t>
  </si>
  <si>
    <t>Kayagahru</t>
  </si>
  <si>
    <t>Agar</t>
  </si>
  <si>
    <t>A large evergreen tree with pilose young shoots. Leaves linear, oblong and obovate. Inflorescence an umbel arising laterally from younger branches. Flowers small green on pilose pedicels. Fruits capsules, obovate and slightly compressed.</t>
  </si>
  <si>
    <t>Astringent, Laxative, Stomachic, Tonic, Carminative, Deobstruent, Cholagogue, Anti asthmatic, Aphrodisiac and Nervine tonic</t>
  </si>
  <si>
    <t>Volatile and essential oil, Agarol, Selinene, Agarospirol, Hydroxyagariphilone, Liriodenine and a &amp; b-agarofuran,</t>
  </si>
  <si>
    <t>Wood powder is made into a paste and applied externally for 
Rheumatism</t>
  </si>
  <si>
    <t>Arachis hypogaea</t>
  </si>
  <si>
    <t>Buchanaka</t>
  </si>
  <si>
    <t>Nilakkadalai</t>
  </si>
  <si>
    <t>Ground nut</t>
  </si>
  <si>
    <t>Veru sengalu</t>
  </si>
  <si>
    <t>Nelakadale</t>
  </si>
  <si>
    <t>Mungiphali</t>
  </si>
  <si>
    <t>A small prostrate diffused or erect annual herb. Leaves paripinnately compound with leaflets showing reticulate venation. Flowers produced in the axils, yellow in colour, with standard, wing and keel petals. Fruits pods having 1, 2, 3 or 4 seeds, cylindrical, hard reticulate and indehiscent.</t>
  </si>
  <si>
    <t>Aphrodisiac, Galactogogue, Tonic, Purgative and Emollient.</t>
  </si>
  <si>
    <t>Arachin, Conarachin, Thiamine, Nicotinic acid, Biotin, Vitamin K, a&amp;g tocopherol, Calcium, Zinc, Magnesium, Phosphorus, b-sitosterol, Lignoceric, Linoleic and Arachid acids.</t>
  </si>
  <si>
    <t>Few drops of Oil with cow's milk is administered in Cystitis. Seeds are well known for its Nutritive value.</t>
  </si>
  <si>
    <t>Areca catechu</t>
  </si>
  <si>
    <t>Pugah</t>
  </si>
  <si>
    <t>Pakku</t>
  </si>
  <si>
    <t>Betelnut palm</t>
  </si>
  <si>
    <t>Vakka</t>
  </si>
  <si>
    <t>Adakkamarom</t>
  </si>
  <si>
    <t>Supari</t>
  </si>
  <si>
    <t>A tall, slender, unbranched tree, with crown of pinnate leaves, stem annulate. Leaves with numerous leaflets. Flowers in spadix inflorescence, male flowers small, numerous, sessile, female much larger and few at the base of each ramifications of the spadix. Fruits ovoid, oblong, smooth, scarlet when ripe.</t>
  </si>
  <si>
    <t>Sore lips, Liver disorders.</t>
  </si>
  <si>
    <t>Lumbago.</t>
  </si>
  <si>
    <t>Cooling, Astringent, Laxative Digestive, Anthelmintic, Aphrodisiac, Nervine tonic, Emmenagogue, Vermifuge and Sialogogue.</t>
  </si>
  <si>
    <t>The young nuts ground with lime juice is given internally for Bowel Complaints . Decoction of root is used for Sore lips</t>
  </si>
  <si>
    <t>Argemone mexicana</t>
  </si>
  <si>
    <t>Swarnakshiri</t>
  </si>
  <si>
    <t>Bhramma thandu</t>
  </si>
  <si>
    <t>Prickly poppy</t>
  </si>
  <si>
    <t>Brihma thandi</t>
  </si>
  <si>
    <t>Ponnummattum</t>
  </si>
  <si>
    <t>Pila-dhatura</t>
  </si>
  <si>
    <t>An erect, prickly annual herb with yellow juice. Leaves simple, sessile, semi amplexicaul, sinuate, pinnatifid, variegated with white streaks. Flowers yellow, terminal, solitary cyme. Fruits capsule short opening at the top by valves. Seeds numerous.</t>
  </si>
  <si>
    <t>Cathartic, Diuretic, Alterative, Anodyne, Laxative and Hypnotic.</t>
  </si>
  <si>
    <t>Protopine, Berberine, Lauric acid, Myristic acid, Palmitic acid, Oleic acid,</t>
  </si>
  <si>
    <t>The decoction of the whole plant is useful in Jaundice, Gonorrhoea and Leprosy. Latex of the plant is useful in treatment of 
   Syphilis and Skin diseases</t>
  </si>
  <si>
    <t>Argyreia nervosa</t>
  </si>
  <si>
    <t>Vriddha daraka</t>
  </si>
  <si>
    <t>Kadar palai</t>
  </si>
  <si>
    <t>Elephant creeper</t>
  </si>
  <si>
    <t>Samudra pala</t>
  </si>
  <si>
    <t>Marikkunni</t>
  </si>
  <si>
    <t>Samundra-ka-pat</t>
  </si>
  <si>
    <t>A woody climber, stem is stout, white and tomentose. Leaves simple, ovate -cordate, glabrous above, white tomentose beneath. Flowers purple, long pedunculate. Fruits globose and dry dehiscent.</t>
  </si>
  <si>
    <t>Anorexia, Rheumatism, Colic, Dyspepsia, Flatulence, Ascites and Haemorrhoids.</t>
  </si>
  <si>
    <t>Boils, Carbuncles, Ringworm, Eczema, Itches, Chronic ulcers and Wounds.</t>
  </si>
  <si>
    <t>Thermogenic, Emollient, Digestive, Aperient, Purgative, Carminative, Aphrodisiac and Nervine tonic</t>
  </si>
  <si>
    <t>Ergine, b-Sitosterol, Tannin, Agroclavine, Chanoclavine I&amp;II, Epifriedelinol, Ergometrine and Elymoclavine.</t>
  </si>
  <si>
    <t>Powdered root is given with milk in Synovitis and Syphilis. Root powder is used as a Tonic and Alternative</t>
  </si>
  <si>
    <t>Aristolochia bracteata</t>
  </si>
  <si>
    <t>Dhuma patra</t>
  </si>
  <si>
    <t>Aadu thinna palai</t>
  </si>
  <si>
    <t>Bracteated Birthwort</t>
  </si>
  <si>
    <t>Gaduga gudupa</t>
  </si>
  <si>
    <t>Aatu tinlappala</t>
  </si>
  <si>
    <t>Kiramar</t>
  </si>
  <si>
    <t>A perennial slender, decumbent glabrous creeper. Leaves simple, variable in size and shape, broad, alternate, often lobed, petiole dilated at the base. Flowers solitary with a large orbicular bract. Fruits septicidal capsule, oblong, ellipsoid 12 ribbed and glabrous. Seeds deltoid with cordate base, flattened, one side completely covered with round glands</t>
  </si>
  <si>
    <t>Increases contraction of uterus during labour.</t>
  </si>
  <si>
    <t>Bitter, Purgative, Emmenagogue, Alterative, Antiperiodic and Anthelmintic.</t>
  </si>
  <si>
    <t>Potassium chloride, Aristolochic acid, Potassium nitrate, b-sitosterol, Ceryl alcohol and Myristic acid.</t>
  </si>
  <si>
    <t>The bruised leaves mixed with castor oil is applied to Eczema. iRoot powder with castor oil is given internally for Worms and Intermittent fevers.</t>
  </si>
  <si>
    <t>Aristolochia indica</t>
  </si>
  <si>
    <t>Ishwari</t>
  </si>
  <si>
    <t>Eachura mooli</t>
  </si>
  <si>
    <t>Indian Birthwort</t>
  </si>
  <si>
    <t>Nalleswari</t>
  </si>
  <si>
    <t>Ishvara mulli</t>
  </si>
  <si>
    <t>Isharmul</t>
  </si>
  <si>
    <t>A perennial climbing herb with greenish white, woody stem. Leaves simple, alternate, variable, glabrous, linear and slightly cordate at the base. Flowers solitary, bracts often large, produced in axillary racemes. Fruits oblong capsules. Seeds flattened, thin, broadly winged.</t>
  </si>
  <si>
    <t>Antidote to Snake bites, Rheumatism, Scorpion sting and Criminal abortion.</t>
  </si>
  <si>
    <t>Bowel complaints, Cholera, Diarrhoea and Intermittent fever.</t>
  </si>
  <si>
    <t>Tonic, Stimulant, Emmenagogue, Alexiteric, Anti-arthritic, Stomachic, Anthelmintic and Antiperiodic.</t>
  </si>
  <si>
    <t>Ishwarane, Ishwarol, Aristolochene, Phenanthrene, b-sitosterol, Aristolochine, Aristolic acid, Aristolochic acid &amp; Aromatic oil.</t>
  </si>
  <si>
    <t>Decoction of the root and stem is given internally to cure Fever.Root powder is given internally for  
   Dyspepsia and Bowel complaints.</t>
  </si>
  <si>
    <t>Artabotrys hexapetalus</t>
  </si>
  <si>
    <t>Hara champaka</t>
  </si>
  <si>
    <t>Manoranjitham</t>
  </si>
  <si>
    <t>Climbing ylang- ylang</t>
  </si>
  <si>
    <t>Manoranjithamu</t>
  </si>
  <si>
    <t>Harachampa</t>
  </si>
  <si>
    <t>A tall climbing shrub with black stem. Leaves simple, oblong lanceolate, thin, petiolate and coriaceous. Flowers fragrant, solitary or in pairs, white, creamy cymes on hooks. Fruits berry, obovoid yellow with ellipsoid seed.</t>
  </si>
  <si>
    <t>Anti-diarrhoeal, Anti-fertility, Perfumery</t>
  </si>
  <si>
    <t>Sauveoline, Volatile oil, Glycosides, Calcium, and Artabotrine</t>
  </si>
  <si>
    <t>Leaf juice is given internally to cure Diarrhoea. An essential oil prepared from flowers is a Cardiac stimulant</t>
  </si>
  <si>
    <t>Artemisia absinthium</t>
  </si>
  <si>
    <t>Indhana</t>
  </si>
  <si>
    <t>Masi pathiri</t>
  </si>
  <si>
    <t>Wormwood</t>
  </si>
  <si>
    <t>Macha patri</t>
  </si>
  <si>
    <t>Neelampala</t>
  </si>
  <si>
    <t>Villayathi afsantin</t>
  </si>
  <si>
    <t>An aromatic and bitter shrub. Leaves alternate, entire and pinnatisect. The lower leaves deeply pinnatisect with small stipule like lobe at the base and pubescent above. Inflorescence in small heads, solitary, disc florets fertile. Fruits elliptic oblong achene.</t>
  </si>
  <si>
    <t>Narcotic, Febrifuge, Stomachic, Stimulant, Digestive, Tonic, Anthelmintic and Antiseptic</t>
  </si>
  <si>
    <t>Artabsin, Anabsinthin, Artemetin, Epoxy oleic acid, Absinthin, Tannin, Resin, Succinic acid, Malates and Nitrates of potassium.</t>
  </si>
  <si>
    <t>A strong decoction of the herb is given as Vermifuge. Externally dry herb is used as fomentation in Skin diseases</t>
  </si>
  <si>
    <t>Artocarpus heterophyllus</t>
  </si>
  <si>
    <t>Panasa</t>
  </si>
  <si>
    <t>Pala pazham</t>
  </si>
  <si>
    <t>Jack fruit</t>
  </si>
  <si>
    <t>Veru panasa</t>
  </si>
  <si>
    <t>Chakka</t>
  </si>
  <si>
    <t>Kanthal</t>
  </si>
  <si>
    <t>A large evergreen tree. Leaves simple, alternate, coriaceous, entire, glabrous oblong-obovate. Flowers monoecious, crowded on globose, oblong, solitary and axillary receptacle. Fruits large fleshy, globose, or oblong receptacle covered with enlarged anthocarps. Seeds with membranous testa.</t>
  </si>
  <si>
    <t>Diarrhoea, Skin diseases.</t>
  </si>
  <si>
    <t>Nutritious.</t>
  </si>
  <si>
    <t>Nutritive, Laxative and Astringent.</t>
  </si>
  <si>
    <t>Artocarpin, Isoartocarpin, Niacin, Folic acid, Oxalic acid, b-carotene, Cycloartenyl acetate, Betulinic acid, Cycloartenol &amp; Cycloartenone.</t>
  </si>
  <si>
    <t>Milky juice of the plant with vinegar is applied externally to Glandular swelling and suppuration of Abscesses. Ripe fruit is Laxative and Cooling.</t>
  </si>
  <si>
    <t>Arum colocasia</t>
  </si>
  <si>
    <t>Katchu</t>
  </si>
  <si>
    <t>Seemai kizhangu</t>
  </si>
  <si>
    <t>Kocco</t>
  </si>
  <si>
    <t>Sheemagadda</t>
  </si>
  <si>
    <t>Chaemp</t>
  </si>
  <si>
    <t>Kachu</t>
  </si>
  <si>
    <t>A tall tuberous, coarse herb. Leaves simple petiolate, cordate, peduncles stout. Inflorescence spadix, shorter than the spathe. Fruits berries. Seeds oblong.</t>
  </si>
  <si>
    <t>Arterial haemorrhages, Wounds, Ear ache and Otorrhoea.</t>
  </si>
  <si>
    <t>Alopecia, Piles, Congestion of the Portal system.</t>
  </si>
  <si>
    <t>Stimulant, Rubefacient, Styptic and Laxative</t>
  </si>
  <si>
    <t>Albuminoids, Stigmasterol, Trypsin, Lipoxygenase, Flavones, Epigenin, Luticolin and Anthocyanins.</t>
  </si>
  <si>
    <t xml:space="preserve"> Pressed juice of the petiole is applied over Arterial haemorrhages and wounds. i The juice of corm is used in the treatment
of Alopecia.</t>
  </si>
  <si>
    <t>Asclepias curassavica</t>
  </si>
  <si>
    <t>Moolinee</t>
  </si>
  <si>
    <t>Nalpalai</t>
  </si>
  <si>
    <t>Blood flower</t>
  </si>
  <si>
    <t>Kurinaja</t>
  </si>
  <si>
    <t>Vallipal</t>
  </si>
  <si>
    <t>Jangli-Pikroan</t>
  </si>
  <si>
    <t>An erect under shrub. Leaves simple, opposite, thin and narrowed at both ends. Inflorescence in axillary umbels. Flowers orangish. Fruits follicle. Seeds ovoid and dark brown with coma.</t>
  </si>
  <si>
    <t>Dysentery, Piles, Gonorrhoea, Cough, Cancer.</t>
  </si>
  <si>
    <t>Emetic, Diaphoretic, Expectorant, Styptic and Laxative.</t>
  </si>
  <si>
    <t>Vincetoxin, Asclepin, b-sitosterol, Calactin, Uzarin and Calotrophin.</t>
  </si>
  <si>
    <t xml:space="preserve"> Leaf powder is given internally for Cough and Cold.
i Root powder mixed with an equal quantity of Acorus root is given in Chroniculcers.</t>
  </si>
  <si>
    <t>Asparagus racemosus</t>
  </si>
  <si>
    <t>Shatavari</t>
  </si>
  <si>
    <t>Thanneervittan kizhangu</t>
  </si>
  <si>
    <t>Wild asparagus</t>
  </si>
  <si>
    <t>Pilli-gaddalu</t>
  </si>
  <si>
    <t>Chatavali</t>
  </si>
  <si>
    <t>Satavar</t>
  </si>
  <si>
    <t>A scandent, much branched, spinous, under shrub with tuberous roots, stock bears numerous fusiform roots. Leaves reduced to minute chaffy scales and spines, cladodes acicular, falcate and finely acuminate. Flowers white, fragrant, small, profuse in simple or branched racemes. Fruits berry, globose, scarlet and trilobed. Seeds red.</t>
  </si>
  <si>
    <t>Nervous disorders, Dyspepsia, Diarrhoea, T.B., Dysentery, Inflammations, Burning sensation, Ophthalmopathy, Burning micturition, Abortion, Bronchitis, Gonorrhoea and Leucorrhoea.</t>
  </si>
  <si>
    <t>Bitter, Emollient, Nervine tonic, Diuretic, Galactogogue, Ophthalmic, Aphrodisiac, Rejuvenative,Appetiser,AntispasmodicandTonic.</t>
  </si>
  <si>
    <t>Asparagin, Saccharine, Diosgenin, Quercetin3-glucuronide, Glycosides of quercetin, Hyperoside, Cyanidin-3-galactoside.</t>
  </si>
  <si>
    <t xml:space="preserve"> Boiled leaves smeared with ghee is are applied to Boils, Small pox to prevent their confluence.
i Roots boiled in milk is administered to relieve Bilious dyspepsia and Diarrhoea.</t>
  </si>
  <si>
    <t>Asystasia gangetica</t>
  </si>
  <si>
    <t>Lavana - valli</t>
  </si>
  <si>
    <t>Medday keerai</t>
  </si>
  <si>
    <t>Upputhali</t>
  </si>
  <si>
    <t>An erect sometimes climbing herb. Stem quadrangular. Leaves ovate, acute, lanceolate and petiolate. Flowers pale yellow, sometimes with a purple blotch in terminal and axillary spike like racemes. Fruits long ellipsoid 4 seeded, dehiscent capsule. Seeds tuberculate and glabrous.</t>
  </si>
  <si>
    <t>Eye diseases, Joint pains and Swellings</t>
  </si>
  <si>
    <t>Germicide, Anthelmintic, Anti-pruritic, Galactogogue andAntiinflammatory.</t>
  </si>
  <si>
    <t>Thiamine, Luteolin, Luteolin-7-glucoside, Isosalipurposide.</t>
  </si>
  <si>
    <t xml:space="preserve"> Leaf juice is given internally for relieving
Worms from the intestine.
i Leaf paste is applied externally for
Inflammatory swellings.</t>
  </si>
  <si>
    <t>Atalantia monophylla</t>
  </si>
  <si>
    <t>Atavijambira</t>
  </si>
  <si>
    <t>Kattu elumichchai</t>
  </si>
  <si>
    <t>Wild lime</t>
  </si>
  <si>
    <t>Advai-Nimma</t>
  </si>
  <si>
    <t>Kattunarenga</t>
  </si>
  <si>
    <t>Junglinimbu</t>
  </si>
  <si>
    <t>Evergreen small thorny tree. Leaves compound, alternate, stipule like scales are present, petiole winged. Flowers yellow, axillary and solitary. Fruits large sub-globose berry with thick rind. Seeds ovoid.</t>
  </si>
  <si>
    <t>Snake bite, Rheumatism, Swellings.</t>
  </si>
  <si>
    <t>Hemiplegia</t>
  </si>
  <si>
    <t>Fever, Loss of taste and Appetite, Chronic rheumatism and Paralysis.</t>
  </si>
  <si>
    <t>Stimulant, Antispasmodic, Antibacterial, Antifungal, Antibilious.</t>
  </si>
  <si>
    <t>Volatile oil, Mucilage, Atalantin, Tannin, Starch, Auraptene, Atalaphylline, Lactone, Copaene, a-trans bergamotene, b-bisabolene, Limonoids, Cycloepiatalantin, g-sitosterol.</t>
  </si>
  <si>
    <t xml:space="preserve"> Fruit oil is valuable in Chronic
Rheumatism. i Leaf decoction is given internally for
Hemiplegia.</t>
  </si>
  <si>
    <t>Averrhoa carambola</t>
  </si>
  <si>
    <t>Brihaddala</t>
  </si>
  <si>
    <t>Tamarattai</t>
  </si>
  <si>
    <t>Star fruit</t>
  </si>
  <si>
    <t>Tamarattamu</t>
  </si>
  <si>
    <t>Pulicchi</t>
  </si>
  <si>
    <t>Kamrak</t>
  </si>
  <si>
    <t>A small tree with close drooping branches. Leaves compound, alternate, leaflets ovate, oblong and irritable to touch. Flowers in short racemes, chiefly axillary white or purple. Fruits oblong, acutely angled and yellow berries distinctly star shaped in cross section. Seeds arillate.</t>
  </si>
  <si>
    <t>Vomiting, Diarrhoea, Asthma, Colic, Jaundice, Bleeding piles and Scabies</t>
  </si>
  <si>
    <t>Constipation, Vomiting, Diarrhoea, Asthma,Jaundice</t>
  </si>
  <si>
    <t>Laxative, Refrigerant Antiphlogistic, Antidysenteric and Antiscorbutic.</t>
  </si>
  <si>
    <t>Potassium oxalate and Oxalic acid, Linoleic acid, Palmitic acid and Stearic acid.</t>
  </si>
  <si>
    <t xml:space="preserve"> Decoction of root is prescribed in Bilious colic and Diarrhoea. i Fruit juice is a good remedy for Bleeding piles.</t>
  </si>
  <si>
    <t>Azadirachta indica</t>
  </si>
  <si>
    <t>Nimba</t>
  </si>
  <si>
    <t>Vembu</t>
  </si>
  <si>
    <t>Neem tree</t>
  </si>
  <si>
    <t>Vepa</t>
  </si>
  <si>
    <t>Veppu</t>
  </si>
  <si>
    <t>Nim</t>
  </si>
  <si>
    <t>A large deciduous tree. Leaves imparipinnately compound, alternate, leaflets serrate. Flowers white or pale yellow, aromatic, small, many, slender, in long peduncles of axillary panicles. Fruits drupe. Seed one exalbuminous.</t>
  </si>
  <si>
    <t>Tumours, Odontalgia, Ulcers, Diabetes.</t>
  </si>
  <si>
    <t>Intestinal worms, Tuberculosis and Boils</t>
  </si>
  <si>
    <t>Colic, Intestinal worms and General debility</t>
  </si>
  <si>
    <t>Leprosy,Leucoderma,Malarialfever&amp;Diabetes.</t>
  </si>
  <si>
    <t>Bitter, Astringent, Acrid, Refrigerant, Antiviral, Anti-bacterial, Anti-periodic, Demulcent, Liver tonic, Expectorant and Anthelmintic.</t>
  </si>
  <si>
    <t>Azadirone, Vilasinin, Melicitrine, Margosine, Tannin, Azadirachtin, Melianin, Nimbin, Kulinone, b-sitosterol, b-carotene, Nimbidin, Myricetin glycosides and Arabinosides.</t>
  </si>
  <si>
    <t xml:space="preserve"> The young leaves and black pepper is made into a paste and taken internally for Intestinal helminthiasis. i A few drops of oil taken in betel-leaf provide relief in Asthma.</t>
  </si>
  <si>
    <t>Azima tetracantha</t>
  </si>
  <si>
    <t>Kundali</t>
  </si>
  <si>
    <t>Mutchangan</t>
  </si>
  <si>
    <t>Mistle toe</t>
  </si>
  <si>
    <t>Tella upi</t>
  </si>
  <si>
    <t>Sangachedi</t>
  </si>
  <si>
    <t>Kantagur-kamai</t>
  </si>
  <si>
    <t>A rambling shrub with axillary spines. Leaves opposite, entire, sessile, axillary, the branchlets are quadrangular greyish green shiny leaves with permanent leaf base, mucronate tips and straight spines from the axis. Flowers deciduous, small, axillary. Fruits one seeded berry.</t>
  </si>
  <si>
    <t>Rheumatism, Dropsy, Dyspepsia and Chronic diarrhoea.</t>
  </si>
  <si>
    <t>Diuretic, Stimulant, Tonic, Astringent and Expectorant.</t>
  </si>
  <si>
    <t>Azimine, Azcarpine, Carpaine, Narcissin, Friedelin, Glutinol, Lupeol and b-sitosterol.</t>
  </si>
  <si>
    <t xml:space="preserve"> The leaf juice is given to relieve Cough of phthisis and Asthma. i The leaves are made into a paste with ne em l eav e s and g i v en internally for Delivered women.</t>
  </si>
  <si>
    <t>Bacopa monnieri</t>
  </si>
  <si>
    <t>Brahmi</t>
  </si>
  <si>
    <t>Neer brammi</t>
  </si>
  <si>
    <t>Thyme leaved gratiola</t>
  </si>
  <si>
    <t>Sambrani chettu</t>
  </si>
  <si>
    <t>Neer brahmi</t>
  </si>
  <si>
    <t>A small, creeping marshy herb with branches. Leaves simple, cuneate, short petioled and oblong. Flowers solitary, axillary, white or purple tinged axillary cyme. Fruits capsule ovoid, seeds small.</t>
  </si>
  <si>
    <t>Epilepsy, Insanity, Amentia, Tumours, Ulcers, Neuralgia, Asthma, Acute bronchitis, Debility, Biliousness, Splenomegaly and Ascites.</t>
  </si>
  <si>
    <t>Astringent, Bitter, Cooling, Laxative, Intellect promoting, Carminative, Digestive, Diuretic, Anti-inflammatory and Broncho dilator.</t>
  </si>
  <si>
    <t>Brahmine, Herpestine, Bacoside A1&amp;A3, Monierin, Hersaponin, Nicotine, Luteolin, Bacogenin A1-A4 and Jujubogenin.</t>
  </si>
  <si>
    <t xml:space="preserve"> Leaves are fried in ghee and taken internally for Sore throat.i Leaf poultice is applied to Inflammatory swellings of the joints.</t>
  </si>
  <si>
    <t>Baliospermum montanum</t>
  </si>
  <si>
    <t>Danti</t>
  </si>
  <si>
    <t>Peyamanakku</t>
  </si>
  <si>
    <t>Wild castor</t>
  </si>
  <si>
    <t>Adavi amudamu</t>
  </si>
  <si>
    <t>Nagadanti</t>
  </si>
  <si>
    <t>Chotti danti</t>
  </si>
  <si>
    <t>A monoecious shrub, upper leaves small and lanceolate, petioles with a pair of stipular glands, lower leaves large, ovate and palmately lobed. Flowers small, green in axillary raceme, all male are with a few female flowers below. Fruits capsule. Seeds oblong, smooth, shiny, endosperm oily.</t>
  </si>
  <si>
    <t>Dropsy, Flatulence, Constipation, Jaundice and Haemorrhoids.</t>
  </si>
  <si>
    <t>Flatulence, Abdominal tumours and Cancer</t>
  </si>
  <si>
    <t>Asthma, Bronchitis.</t>
  </si>
  <si>
    <t>Joint pain.</t>
  </si>
  <si>
    <t>Acrid, Thermogenic, Purgative, Digestive, Anti- inflammatory, Anthelmintic, Stimulant and Rubefacient .</t>
  </si>
  <si>
    <t>Tiglidine, Steroids, Baliospermin, Montanin , Flavonoids, Terpenoids, Palmitate and Axillarenic acid.</t>
  </si>
  <si>
    <t xml:space="preserve"> Roots and leaves are given as decoction for Dropsy and General anasarca. i The seed oil is externally applied in Rheumatism as a counter-irritant.</t>
  </si>
  <si>
    <t>Bambusa arundinacea</t>
  </si>
  <si>
    <t>Vansua</t>
  </si>
  <si>
    <t>Moongil</t>
  </si>
  <si>
    <t>The spiny bamboo</t>
  </si>
  <si>
    <t>Mullabongu</t>
  </si>
  <si>
    <t>Illi</t>
  </si>
  <si>
    <t>Kantabans</t>
  </si>
  <si>
    <t>A spinous tree, grows very tall usually on islands. Stem is found with distant nodes and the cavity between 2 nodes is hollow and filled with a white juice, in a female variety which is called as bamboo manna. Leaves long with tapering ends. Flowers and fruits occur after 30 years. Flowers unisexual, peduncles long and branched.</t>
  </si>
  <si>
    <t>Leprosy,Fever,HaemoptysisandThreadworms.</t>
  </si>
  <si>
    <t>Fever, Cough, Asthma and Snake bite, Fractures</t>
  </si>
  <si>
    <t>Emmenagogue, Anthelmintic, Anti bacterial, Stimulant,Astringent,Febrifuge,Aphrodisiac.</t>
  </si>
  <si>
    <t>Silica, Amino acids, Glutelin, Benzoic acid, Hydrocyanic acid, Estrogen, Oxalic acid, Silicic acid, Peroxide of iron, Potash lime, Luminia, Choline, Betin and Cyanogenetic glucoside.</t>
  </si>
  <si>
    <t xml:space="preserve"> Decoction of leaf bud is given internally for regulating Menstrual cycle. i Burnt roots are applied to Ring Worm, Bleeding gums and Painful joints.</t>
  </si>
  <si>
    <t>Barleria prionitis</t>
  </si>
  <si>
    <t>Karunta</t>
  </si>
  <si>
    <t>Semmulli</t>
  </si>
  <si>
    <t>Common yellow nail dye</t>
  </si>
  <si>
    <t>Mullu-gorinta</t>
  </si>
  <si>
    <t>Katsaraya</t>
  </si>
  <si>
    <t>A shrub, bearing multiple thorny branches. Leaves simple, elliptic, acuminate entire, opposite and leathery. Flowers orange yellow, axillary with foliaceous bracts.Fruits loculicidal capsule.Seeds compressed and ovate.</t>
  </si>
  <si>
    <t>Boils, Glandular swellings, Wounds and Tooth ache.</t>
  </si>
  <si>
    <t>Catarrhal, Urinary affections, Fever, Bleeding gums, Spermatorrhoea and Otitis.</t>
  </si>
  <si>
    <t>Cough, Anasarca.</t>
  </si>
  <si>
    <t>Febrifuge, Anti-inflammatory, Antipyretic, Diuretic and Expectorant.</t>
  </si>
  <si>
    <t>Acetyl barlerin, Scutellarin, Flavone glycoside, Barlerin, Shanzhiside methylester, Mucilage, Potassium salts, Tannin, Starch and Fibre.</t>
  </si>
  <si>
    <t xml:space="preserve"> Juice of the whole plant is boiled with coconut oil and applied on head as a Refrigerant. i Root and ginger are made into paste and given internally for Flatulence.</t>
  </si>
  <si>
    <t>Barringtonia acutangula</t>
  </si>
  <si>
    <t>Dhatriphal</t>
  </si>
  <si>
    <t>Sengkadambu</t>
  </si>
  <si>
    <t>Indian oak</t>
  </si>
  <si>
    <t>Kanapa</t>
  </si>
  <si>
    <t>Atupera</t>
  </si>
  <si>
    <t>Ijal</t>
  </si>
  <si>
    <t>A medium sized glabrous evergreen tree, branches slender. Leaves simple, alternate, obovate, oblong, flowers fragrant, dark scarlet in many flowered pedunculate racemes. Fruits bluntly quadrangular, truncate at both ends.</t>
  </si>
  <si>
    <t xml:space="preserve">Intermittent fevers and Splenomegaly. </t>
  </si>
  <si>
    <t>Diarrhoea, Ulcers, Seminal weakness.</t>
  </si>
  <si>
    <t>Flatulence, Colic, Intestinal worms, Ulcers,Gingivitis and Leprosy.
Gingivitis and Leprosy.</t>
  </si>
  <si>
    <t xml:space="preserve">Bitter, Aperient, Antipyretic, Expectorant,
Stimulant purgative and 
Emmenagogue.
</t>
  </si>
  <si>
    <t>Barringtongenol B,C,D, Triterpene, Barrinic acid, Barrigenic acid, Barringtocide, Oleanoleic acid, Acutangulic acid, Tanginol and Stigmasterol .</t>
  </si>
  <si>
    <t xml:space="preserve"> Seeds are rubbed in fresh juice of ginger and taken internally for Nasal catarrh and Respiratory disorders.</t>
  </si>
  <si>
    <t>Basella alba</t>
  </si>
  <si>
    <t>Potaki</t>
  </si>
  <si>
    <t>Kodi pasalai</t>
  </si>
  <si>
    <t>Indian spinach</t>
  </si>
  <si>
    <t>Batsalla</t>
  </si>
  <si>
    <t>Passali Kera</t>
  </si>
  <si>
    <t>Poi</t>
  </si>
  <si>
    <t>Much branched perennial, creeping, twining, fleshy herb. Leaves simple, alternate entire and cordate. Flowers hermophrodite, axillary, sessile, spikes with minute bracts. Fruits globose utricle, seeds erect.</t>
  </si>
  <si>
    <t>Boils, Ulcers, Abscesses of urticaria, Catarrhal affections, Gonorrhoea, Balanitis, Burns and Head ache.</t>
  </si>
  <si>
    <t>Diuretic, Demulcent, Cooling and Laxative.</t>
  </si>
  <si>
    <t>Carotene, Vitamin-K, Iodine, Fluorine, Palmitic hexadecenoic acid, Linolic acid and Tryptophan.</t>
  </si>
  <si>
    <t xml:space="preserve">  Leaf juice with sugar candy is useful in
Gonorrhoea and Balanitis. i Leaf juice thoroughly rubbed with butter
is acoolingapplicationforBurnsandScalds.</t>
  </si>
  <si>
    <t>Basella rubra</t>
  </si>
  <si>
    <t>Putika</t>
  </si>
  <si>
    <t>Sivappu-pasalai</t>
  </si>
  <si>
    <t>Spinach redvine</t>
  </si>
  <si>
    <t>Erra-bachali</t>
  </si>
  <si>
    <t>Sempasala</t>
  </si>
  <si>
    <t>Lal-bachlu</t>
  </si>
  <si>
    <t>Much branched fleshy, climbing shrub. Stem fleshy, and soft. Leaves alternate and entire, flowers hermophrodite, sessile and bracts minute. Fruits globose utricle, seeds erect .</t>
  </si>
  <si>
    <t>Boils, Ulcers, Abscesses, Urticaria, Catarrhal affections, Digestive disorders, Inflammatory tumours, Diarrhoea and Head ache.</t>
  </si>
  <si>
    <t>Mucilage, Iron, Thiamine, Riboflavin, Calcium, Vitamin-K, Bioflavonoids, Iodine, Carotenoids, and Fluorine.</t>
  </si>
  <si>
    <t xml:space="preserve"> Decoction of the root relieves Bilious vomiting. i A poultice of the leaves is applied to Pimples, Warts to hasten suppuration.</t>
  </si>
  <si>
    <t>Bauhinia acuminata</t>
  </si>
  <si>
    <t>Shveta kanchana</t>
  </si>
  <si>
    <t>Vellai mandarai</t>
  </si>
  <si>
    <t>White bauhinia</t>
  </si>
  <si>
    <t>Deva kanchanamu</t>
  </si>
  <si>
    <t>Sivamalli</t>
  </si>
  <si>
    <t>Kanchnal</t>
  </si>
  <si>
    <t>A medium sized tree. Leaves compound, broader, rigidly subcoriaceous, deeply cordate. Inflorescence a raceme, flowers are white in colour, sessile and short peduncled corymbs. Fruits long, hard pod.</t>
  </si>
  <si>
    <t>Malaria, Antidote to snake poison and Head ache</t>
  </si>
  <si>
    <t>Cough, Bleeding piles Haematorrhoea and Menorrhagia.</t>
  </si>
  <si>
    <t>Salivation, Sore throat.</t>
  </si>
  <si>
    <t>Antidote, Tonic, Astringent, Laxative and Carminative.</t>
  </si>
  <si>
    <t>Tannic acid, Glucose, Rutin and Quercetin-3- O-a-D- glucosides.</t>
  </si>
  <si>
    <t xml:space="preserve"> The decoction of bud is given in Cough, Bleeding piles and Menorrhagia. i Decoction of bark is useful in Ulcers, Skin diseases and Dysentery</t>
  </si>
  <si>
    <t>Bauhinia purpurea</t>
  </si>
  <si>
    <t>Kanchanar</t>
  </si>
  <si>
    <t xml:space="preserve">Sivappu mandharai
</t>
  </si>
  <si>
    <t>Butterfly tree</t>
  </si>
  <si>
    <t>Kanchanam</t>
  </si>
  <si>
    <t>Chuvanna mandaram</t>
  </si>
  <si>
    <t>Khairwal</t>
  </si>
  <si>
    <t>A medium-sized evergreen ornamental tree with rough bark. Leaves rigidly sub-coriaceous, glabrous, shallowly cordate. Flowers red in colour in terminal or axillary corymbs.Fruits pod, eachpod contains 10-15hard seeds.</t>
  </si>
  <si>
    <t>Dyspepsia, Flatulence, Obesity.</t>
  </si>
  <si>
    <t>Cough, Bleeding piles, Haematuria,
Menorrhagia, Diarrhoea and Dysentery.</t>
  </si>
  <si>
    <t>Sore throat and Salivation.</t>
  </si>
  <si>
    <t>Alterative, Tonic, Astringent, Carminative, Anthelmintic and Laxative.</t>
  </si>
  <si>
    <t>Tannic acid, Glucose, Pelargonidin-3- triglucosides, Pelargonidin-3-glucosides, Quercetin,Isoquercitrin,Astragalin, Chalcone.</t>
  </si>
  <si>
    <t xml:space="preserve"> Flowers are taken internally in a
semisolid state for Laxative purpose.
i Root powder is taken internally for
Indigestion.</t>
  </si>
  <si>
    <t>Bauhinia tomentosa</t>
  </si>
  <si>
    <t>Phalgu</t>
  </si>
  <si>
    <t>Kokku mandarai</t>
  </si>
  <si>
    <t>Yellow Bauhenia</t>
  </si>
  <si>
    <t>Adavimandaramu</t>
  </si>
  <si>
    <t>Kanchanapu</t>
  </si>
  <si>
    <t>Kachnar</t>
  </si>
  <si>
    <t>An erect shrub, branches slender. Leaves broader, coriaceous, pubescent, glabrous. Flowers usually in pairs, axillary cymes. Fruits Pod, yellow with a distinct odour. Seeds oblong, rounded at the apex.</t>
  </si>
  <si>
    <t>Vermifuge, Dysentery and Urinary tract infections.</t>
  </si>
  <si>
    <t>Anti-dysenteric, Anthelmintic, Diuretic, Tonic and Aphrodisiac.</t>
  </si>
  <si>
    <t xml:space="preserve">  Decoction of the root bark is used as a
Vermifuge and in the
Inflammation of liver.   i The dried leaves, buds and flowers are
used in Dysentery.</t>
  </si>
  <si>
    <t>Benincasa cerifera</t>
  </si>
  <si>
    <t>Kushmanda</t>
  </si>
  <si>
    <t>Venpoosani</t>
  </si>
  <si>
    <t>Ash gourd</t>
  </si>
  <si>
    <t>Boodigummada</t>
  </si>
  <si>
    <t>Kumbalam</t>
  </si>
  <si>
    <t>Golkaddu</t>
  </si>
  <si>
    <t>A large creeper, growing annually. Stem woody and pubescent. Leaves petiolate, hard, white coloured thickly covered with bristle hairs and compound. Male and female flowers are produced in the same plant. They are in axillary, solitary cymes. Fruits large berry. Seeds flat and white.</t>
  </si>
  <si>
    <t>Tape worm and Round worm infestation.</t>
  </si>
  <si>
    <t>Haemoptysis, Haemorrhages, Phthisis, Insanity, Epilepsy, Antidote, Mercurial and Alcoholic poisoning and Diabetes, Piles, Dyspepsia, Urinary tract infections and
Leucorrhoea.</t>
  </si>
  <si>
    <t>Nutritive, Tonic, Diuretic, Alterative, Styptic, Vermifuge, Antimercurial and Restorative.</t>
  </si>
  <si>
    <t>Cucurbitacin B, Cucurbitine, GABA, Glucose, b-sitosterol, Lupeol, N-triacontanol, Mannitol, Protieds, Myosin and Vitellin</t>
  </si>
  <si>
    <t xml:space="preserve"> Fresh juice of the fruit is administered in Haemorrhages from internal organs. i Ash of the fruit rind is applied on Painful swellings.</t>
  </si>
  <si>
    <t>Berberis aristata</t>
  </si>
  <si>
    <t>Daru haridra</t>
  </si>
  <si>
    <t>Mara manjal</t>
  </si>
  <si>
    <t>Tree turmeric</t>
  </si>
  <si>
    <t>Kasturi pasupu</t>
  </si>
  <si>
    <t>Maradarsina</t>
  </si>
  <si>
    <t>Rasaut</t>
  </si>
  <si>
    <t>An erect glabrous, spiny shrub with obovate to elliptic leaves, sub acute to obtuse. Flowers yellow in corymbose racemes. Berries oblong bright red.</t>
  </si>
  <si>
    <t>Intermittent fever, Neuralgia, Deafness, Chronic ophthalmia and Bleeding piles.</t>
  </si>
  <si>
    <t>Rheumatism</t>
  </si>
  <si>
    <t>Jaundice, Painful micturition, Piles, Sores</t>
  </si>
  <si>
    <t>Tonic, Stomachic, Astringent, Antiperiodic, Antipyretic, Alterative, Emmenagogue and Purgative.</t>
  </si>
  <si>
    <t>Berberine, Berberine chloride, Palmitine chloride, Stearic acid, Oleic acid, Linoleic acid.</t>
  </si>
  <si>
    <t xml:space="preserve"> The decoction of the stem with honey is
given in Jaundice. i An ointment made with camphor and
butter is applied to Pimples and
Boils.
</t>
  </si>
  <si>
    <t>Bergenia ciliata</t>
  </si>
  <si>
    <t>Pashanabhedha</t>
  </si>
  <si>
    <t>Vattathiruppi</t>
  </si>
  <si>
    <t>Velvet leaf</t>
  </si>
  <si>
    <t>Tella murupindy</t>
  </si>
  <si>
    <t>Vattathiruppai</t>
  </si>
  <si>
    <t>A perennial herb with stout root stock. Leaves variable, fleshy, coarsely hairy to glabrous, broadly obovate or elliptic. Flowers white, pink or purple in long cymose panicles. Fruits capsule, round.</t>
  </si>
  <si>
    <t>Ear ache</t>
  </si>
  <si>
    <t>Bitter, Laxative, Analgesic, Abortifacient, Diuretic, Aphrodisiac and Antiscorbutic</t>
  </si>
  <si>
    <t>Bergenin, Catechin-3-gallate, Saxin, Afzelechin, Flavonoids, Gallic acid, Tannin &amp; b-sitosterol.</t>
  </si>
  <si>
    <t>Juice of the leaves with gingelly oil is administered in Ear ache . The extract of rhizome is given internally for Diarrhoea</t>
  </si>
  <si>
    <t>Bergera koenigii</t>
  </si>
  <si>
    <t>Surabhi nimba</t>
  </si>
  <si>
    <t>Kariveppilai</t>
  </si>
  <si>
    <t>Curry leaf tree</t>
  </si>
  <si>
    <t>Karivaepamu</t>
  </si>
  <si>
    <t>Kari vaepu</t>
  </si>
  <si>
    <t>Karay pak</t>
  </si>
  <si>
    <t>A deciduous small tree or sometimes climbing shrub. Leaves impari pinnately compound, leaflets alternate, petiolate, oblique at the base. Inflorescence solitary, axillary or in terminal corymbose cymes fragrant and white. Fruits berries, subglobose, purplish black when ripe</t>
  </si>
  <si>
    <t>Vomiting.</t>
  </si>
  <si>
    <t>Dysentery, Poisonous bites, Anaemia, Diabetes, Anorexia and Fevers.</t>
  </si>
  <si>
    <t>Tonic, Stomachic, Anti-diabetic, Vermifuge</t>
  </si>
  <si>
    <t>Murrayazolidine, Mahanimbine, Koenigin, Isomahanimbine and Murryacine.</t>
  </si>
  <si>
    <t xml:space="preserve"> Leaves promote hair growth and it is a rich source of Iron. i The root juice is taken internally to relieve pain associated with kidney.</t>
  </si>
  <si>
    <t>Biophytum sensitivum</t>
  </si>
  <si>
    <t>Viparita lajjalu</t>
  </si>
  <si>
    <t>Ninnar suringi</t>
  </si>
  <si>
    <t>Sensitive plant</t>
  </si>
  <si>
    <t>Jalapushpamu</t>
  </si>
  <si>
    <t>Mukkutti</t>
  </si>
  <si>
    <t>Lajalu</t>
  </si>
  <si>
    <t>An annual herb often with woody stems. Leaves sensitive to touch, crowded at the ends of the stem and branches, abruptly Pinnate. Leaflets nearly glabrous, opposite and oblique. Flowers dimorphous in small umbels. Peduncles long and terminal. Fruits capsule, dehisces loculicidally in 5 valves. Seeds ovoid.</t>
  </si>
  <si>
    <t>Stimulant, Tonic, Thermogenic, Diuretic, Antiseptic, Astringent and Expectorant.</t>
  </si>
  <si>
    <t>Essential oils, Insulin-like principle.</t>
  </si>
  <si>
    <t xml:space="preserve">  The fresh juice of the whole plant is given in Gonorrhoea. The plant decoction is given internally for women to increase Fertility.</t>
  </si>
  <si>
    <t>Blepharis boerhavifolia</t>
  </si>
  <si>
    <t>Babhru</t>
  </si>
  <si>
    <t>Nethira poondu</t>
  </si>
  <si>
    <t>Chaupatia</t>
  </si>
  <si>
    <t>A dichotomously branching undershrub. Stem short. Leaves in fours at nodes upper pair oblong and larger, lower pair smaller and similar. Inflorescence in strobilate hairy spikes. Flowers bisexual. Fruits ellipsoid compressed and dehiscent capsules. Seeds ovoid densely clothed with hair.</t>
  </si>
  <si>
    <t>Cooling, Aphrodisiac, Alexiteric and Alterative</t>
  </si>
  <si>
    <t>Blepharine and Blepharginin.</t>
  </si>
  <si>
    <t xml:space="preserve">  Leaf paste is applied on eyes to cure Burning sensation, Cataract and Other eye disorders. Seed powder is given internally for Urinary discharges, Inflammation of lungs and liver.</t>
  </si>
  <si>
    <t>Boerhavia diffusa</t>
  </si>
  <si>
    <t>Punarnava</t>
  </si>
  <si>
    <t>Mookkirattai</t>
  </si>
  <si>
    <t>Spreading hog weed</t>
  </si>
  <si>
    <t>Atikamamidi</t>
  </si>
  <si>
    <t>Titudamma</t>
  </si>
  <si>
    <t>Biskhafra</t>
  </si>
  <si>
    <t>Diffusely branched, prostrate herb. Leaves long petiolate, ovate or oblong to cordate, entire or sinuate, usually whitish and smooth beneath and rough green on upper surface. Flowers pink in small umbels, arranged in axillary and terminal panicles. Fruits glandular anthocarps, ovate, oblong and five ribbed.</t>
  </si>
  <si>
    <t>Strangury, Gonorrhoea, Asthma and Internal inflammations</t>
  </si>
  <si>
    <t>Anthelmintic, Diuretic, Tonic, Aphrodisiac, Stimulant, Diaphoretic, Emetic, Expectorant, Anti-inflammatory, Cardio tonic and Laxative.</t>
  </si>
  <si>
    <t>Punarnavine 1&amp;2, Punarnavoside, Potassium salts, Hentriacontane, Ursolic acid, b-Sitosterol, Polysaccharides glycoprotein,</t>
  </si>
  <si>
    <t xml:space="preserve"> Juice of the plant is boiled with gingelly oil and used as nasal drops for Sinusitis. i Leaf juice is given internally as a Blood purifier and to relieve Muscular pain</t>
  </si>
  <si>
    <t>Bombax ceiba</t>
  </si>
  <si>
    <t>Shalmali</t>
  </si>
  <si>
    <t>Ilavam panju</t>
  </si>
  <si>
    <t>Silk cotton tree</t>
  </si>
  <si>
    <t>Boorugachettu</t>
  </si>
  <si>
    <t>Ilavu</t>
  </si>
  <si>
    <t>Semul</t>
  </si>
  <si>
    <t>A deciduous tree, bark grey covered with black, conical prickles. Leaves digitate, petiolate, palmately compound and crowded at the ends of branches. Flowers bright red, appearing before the new leaves. Fruits capsule and woody. Seeds embedded in white silky cotton and ovoid.</t>
  </si>
  <si>
    <t>Gonorrhoea, Dysentery and Impotence.</t>
  </si>
  <si>
    <t>Gonorrhoea, Consumption, Calculus affection</t>
  </si>
  <si>
    <t>Strangury and Skin eruptions.</t>
  </si>
  <si>
    <t>Conjunctivitis, skin troubles.</t>
  </si>
  <si>
    <t>Chronic inflammation , Calculus ulceration of bladder and Kidney.</t>
  </si>
  <si>
    <t>Astringent, Tonic, Aphrodisiac, Styptic, Demulcent, Diuretic and Laxative</t>
  </si>
  <si>
    <t>Lupeol, Naphthaquinone, Triacontanol, Naphthalene carboxylic acid, Gallic acid, Tocopherols, Arachidic, Linoleic, Oleic acid and Simul gum.</t>
  </si>
  <si>
    <t xml:space="preserve">  Flower decoction is used for Constipation and Burning Micturition. Root decoction is given internally for Leucorrhoea and Dysentery.</t>
  </si>
  <si>
    <t>Borassus flabellifer</t>
  </si>
  <si>
    <t>Thrinaraja</t>
  </si>
  <si>
    <t>Panai maram</t>
  </si>
  <si>
    <t>Palmyra palm</t>
  </si>
  <si>
    <t>Tadichettu</t>
  </si>
  <si>
    <t>Pana</t>
  </si>
  <si>
    <t>Tal</t>
  </si>
  <si>
    <t>A tall tree, stem tall and stout, leaves palmately fan shaped, petiolate, margin is multifid. Inflorescence spadix. Male spadix Simple branched, female simple, large and globose fruit. A large sub-globose drupe pericarp fleshy, mesocarp fibrous, pulp of the fruit is edible.</t>
  </si>
  <si>
    <t>Gastritis, Hiccough.</t>
  </si>
  <si>
    <t>Diabetes</t>
  </si>
  <si>
    <t>Cooling, Restorative, Diuretic, stimulant, Demulcent and Nutritive</t>
  </si>
  <si>
    <t>Proteins, Nicotinic acid, Carbohydrates, Iron, Vitamine B, Thiamine, Riboflavin, Albuminoids</t>
  </si>
  <si>
    <t xml:space="preserve"> Jaggary solution is given for Typhoid patient as an excellent food. i Decoction of the bark with little salt is used as a gargle for Strengthening gum and teeth.</t>
  </si>
  <si>
    <t>Boswellia serrata</t>
  </si>
  <si>
    <t>Shallaki</t>
  </si>
  <si>
    <t>Parangi chambirani</t>
  </si>
  <si>
    <t>Indian oilbanum tree</t>
  </si>
  <si>
    <t>Pirangi chambirani</t>
  </si>
  <si>
    <t>Parangi sambirani</t>
  </si>
  <si>
    <t>Salai</t>
  </si>
  <si>
    <t>A large tree with papery bark. Leaves deciduous, alternate, imparipinnate, crowded at the ends of the branches, leaflets deeply, broadly crenate, oblong, lanceolate and pubescent. Flower hermophrodite small and found in panicles. Fruits drupe ovoid, trigonous. Seeds compressed hard and winged.</t>
  </si>
  <si>
    <t>Asthma, Dysentery, Haemorrhoids and Skin diseases.</t>
  </si>
  <si>
    <t>Fever, Convulsions, Diarrhoea, Dysentery, Piles, Urethrorrhoea, Bronchitis, Stomatitis, Arthritis, Jaundice and Skin diseases.</t>
  </si>
  <si>
    <t>Diaphoretic, Diuretic, Tonic,Expectorant, Antipyretic, Antidysentric, Antiseptic and Emmenagogue.</t>
  </si>
  <si>
    <t>b-boswellic acid, Serratol, Methyl chavicol, Diterpene alcohol, Bornyl acetate and b -terpenol.</t>
  </si>
  <si>
    <t xml:space="preserve"> Gum-resin is boiled with coconut oil and applied to Chronic ulcers.i Gum resin powder is given for Male sterility.</t>
  </si>
  <si>
    <t>Brassica alba</t>
  </si>
  <si>
    <t>Sveta sarisha</t>
  </si>
  <si>
    <t>Vellai kadugu</t>
  </si>
  <si>
    <t>White mustard</t>
  </si>
  <si>
    <t>Avalu</t>
  </si>
  <si>
    <t>Vella kadugu</t>
  </si>
  <si>
    <t>Sufedrai</t>
  </si>
  <si>
    <t>Herbs, woody at the base with pungent juice. Leaves alternate, exstipulate and lobed. Inflorescence a raceme, terminal or axillary in position. Flowers yellow. Fruits pod with small, white coloured seeds.</t>
  </si>
  <si>
    <t>Emetic, Nervine Tonic, Stimulant &amp; Diuretic.</t>
  </si>
  <si>
    <t>Sinalbin, Sinalpine, Lecithin, Myrosin, Potassium, Magnesium and Calcium.</t>
  </si>
  <si>
    <t xml:space="preserve"> Seeds are beneficial when administered internally for Epilepsy and Hysteria. i  The liniment prepared from seeds is 
     applied to Swollen joints.</t>
  </si>
  <si>
    <t>Brassica juncea</t>
  </si>
  <si>
    <t>Rajika</t>
  </si>
  <si>
    <t>Kadugu</t>
  </si>
  <si>
    <t>Brown mustard</t>
  </si>
  <si>
    <t>Kaduka</t>
  </si>
  <si>
    <t>Asal Rai</t>
  </si>
  <si>
    <t>Herbs, stem woody below and herbaceous above with a pungent juice. Leaves alternate, radical, and exstipulate. Flowers usually found in raceme inflorescence and yellow in colour. Fruits pod with small brown seeds.</t>
  </si>
  <si>
    <t>Inflammatory neuralgic affections, Abdominal colic, Obstinate vomiting.</t>
  </si>
  <si>
    <t>Chest affections in children, Muscular rheumatism, Stiffness of neck.</t>
  </si>
  <si>
    <t>Tonic, Stimulant, Counter-irritant and Emmenagogue.</t>
  </si>
  <si>
    <t>Sinigrin, Sinapine, Gluconapin, Isothio cyanate, Methyl, Isopropyl, Allyl, Thiopropyl and Benzyl compounds.</t>
  </si>
  <si>
    <t xml:space="preserve"> Oil combined with camphor forms an efficacious embrocation in Muscular rheumatism and Stiffness of neck. i Oil from seeds is used as an external stimulant application in Chest affections.</t>
  </si>
  <si>
    <t xml:space="preserve"> Brassica nigra</t>
  </si>
  <si>
    <t>Sarshapah</t>
  </si>
  <si>
    <t>Karuppu kadugu</t>
  </si>
  <si>
    <t>Black mustard</t>
  </si>
  <si>
    <t>Nallaavalu</t>
  </si>
  <si>
    <t>Banarasi rae</t>
  </si>
  <si>
    <t xml:space="preserve"> Herbs, stems woody below and herbaceous above with pungent juice. 
Leaves alternate, lobed or pinnatifid, exstipulate. Inflorescence an axillary or 
terminal raceme. Fruits pod. Seeds incumbent</t>
  </si>
  <si>
    <t>Gout, Urticaria, Inflammatory swellings, 
   Pleurisy, Pneumonia, Rheumatism.</t>
  </si>
  <si>
    <t>Sore throat, Acute coryza, Pharyngitis, 
    Congestion, Chronic muscular Rheumatism</t>
  </si>
  <si>
    <t>Stimulant, Mild counter-irritant, Emetic, Digestive, Laxative, Rubefacient, Vesicant and Anti-fertility</t>
  </si>
  <si>
    <t>Sinigrin, Sinapine, Glucosinolates, 
   Glucobrassicin, Tocopherols, Lecithin, 
   Brassicasterol,Choline,Allyl-isothiocyanates,
   Benzoyl &amp; Cinnamoyl choline derivatives.</t>
  </si>
  <si>
    <t>Mustard plasters are used in the treatment of gout, sciatica, and urticaria.
A poultice prepared from mustard seeds using cold water is applied as a counter-irritant in the treatment of disorders of the nervous system.</t>
  </si>
  <si>
    <t>Brassica oleracea</t>
  </si>
  <si>
    <t>Kembuka</t>
  </si>
  <si>
    <t xml:space="preserve"> Muttai kose</t>
  </si>
  <si>
    <t>Cabbage</t>
  </si>
  <si>
    <t xml:space="preserve"> Kosuguddae</t>
  </si>
  <si>
    <t xml:space="preserve">Muttai kose </t>
  </si>
  <si>
    <t xml:space="preserve"> 
    Band-gobi</t>
  </si>
  <si>
    <t xml:space="preserve"> A shallow rooted biennial herb, woody below herbaceous above. Leaves 
glaucous, radical leaves drop off, cauline large, smooth or crinkled compacted 
in a dense globose, flat or conical, greenish white or rarely redhead </t>
  </si>
  <si>
    <t>Anti-inflammatory, Cardiac tonic, Febrifuge, 
Antioxidant, Diuretic and Laxative.</t>
  </si>
  <si>
    <t>Isothiocyanates, Sinigrin, Glucobrassicin, 
Quercetin, Kaempferol, Glutamine, Vitamin C, K,  
Isorhammetin and  Progoitrin.</t>
  </si>
  <si>
    <t>Leaves are bruised and applied to 
Blisters. 2. Cabbage juice treat Stomach ulcers 
and stop any bleeding</t>
  </si>
  <si>
    <t xml:space="preserve"> Buchanania  lanzan</t>
  </si>
  <si>
    <t>Tapsya</t>
  </si>
  <si>
    <t xml:space="preserve"> Saraparuppu</t>
  </si>
  <si>
    <t xml:space="preserve">Almondette tree  </t>
  </si>
  <si>
    <t>Sarapappu</t>
  </si>
  <si>
    <t>Munga pera</t>
  </si>
  <si>
    <t>Piyar</t>
  </si>
  <si>
    <t>Trees, leaves simple, alternate, petiolate, usually coriaceous and entire. Petiole stout main nerves straight and parallel. Inflorescence terminal and axillary branched panicles, pubescent. Flowers small, white hermophrodite. Fruits lenticular drupe. Seeds gibbous, acute at one end.</t>
  </si>
  <si>
    <t>Leprosy, Skin diseases, Diarrhoea.</t>
  </si>
  <si>
    <t>Hyperdypsia, Burning sensation, Bronchitis, 
  Dyspepsia, Flatulence and Skin diseases.</t>
  </si>
  <si>
    <t>Diarrhoea.</t>
  </si>
  <si>
    <t>Urinary calculus, Asthma, Seminal 
  weakness and Fever.</t>
  </si>
  <si>
    <t>Albuminoids, Chironji oil, Thiamine,   
   Riboflavin, Niacin, Tannins, Triterpenoids,
   Saponins, Palmitic, Linoleic and Oleic acid.</t>
  </si>
  <si>
    <t xml:space="preserve">  An ointment made from kernels is used 
     to cure Itch of the skin and remove 
     Blemishes from the face.
 Oil from the kernel is applied to  
            Glandular swellings of the neck.
</t>
  </si>
  <si>
    <t>Butea monosperma</t>
  </si>
  <si>
    <t>Palasa</t>
  </si>
  <si>
    <t>Palasu</t>
  </si>
  <si>
    <t>Flame of the forest</t>
  </si>
  <si>
    <t>Moduga</t>
  </si>
  <si>
    <t>Palasha</t>
  </si>
  <si>
    <t>Palas</t>
  </si>
  <si>
    <t>A deciduous tree, leaves long petioled, leaflets broadly  obovate with 
deltoid base, coriaceous, obtuse, glabrous above, when old finely silky and 
conspicously  reticulately veined beneath. Flowers bright orange-red in
 large, rigid raceme. Fruits pod, silky tomentose, pendulous. Seeds flat and 
reniform.</t>
  </si>
  <si>
    <t>Epilepsy, Round worm.</t>
  </si>
  <si>
    <t>Worm infestation, Tumourous haemorrhoids.</t>
  </si>
  <si>
    <t>Diarrhoea, Haemorrhoids, Fever, Orchitis, 
Leprosy, Gout and Haemoptysis</t>
  </si>
  <si>
    <t>Skin diseases,Ulcers, Diarrhoea, Ringworm</t>
  </si>
  <si>
    <t xml:space="preserve"> Butrin, Isobutrin, Monospermin, Coreopsin,
 Isocoreopsin, palasonin, Kino tannic acid,
 Gallic acid, Palmitic and Lignoceric acids.</t>
  </si>
  <si>
    <t xml:space="preserve">  Freshly powdered seeds are effective in 
Ascariasis (Round worm)
A paste of the powdered seeds with 
lemon juice is applied externally for</t>
  </si>
  <si>
    <t>Cadaba fruticosa</t>
  </si>
  <si>
    <t>Balaya</t>
  </si>
  <si>
    <t>Vizhuthi</t>
  </si>
  <si>
    <t>Indian cadaba</t>
  </si>
  <si>
    <t>Chemoorda</t>
  </si>
  <si>
    <t>Kattakatti</t>
  </si>
  <si>
    <t>Dabi</t>
  </si>
  <si>
    <t>A large straggling much branched shrub. Leaves ovate to oblong, Leaflets very shortly stalked, lanceolate to acute. Flowers few in short, terminal, corymbs. Fruits linear, cylindrical, blunt usually curved. Seeds reniform.</t>
  </si>
  <si>
    <t>Cadabine, Cadabicine, Cadabicilone, Quercetin, Kaempferol, Isoorientin, Stachydrine, Vanillic acid, Syringic acid, Sulphates and Organic acids</t>
  </si>
  <si>
    <t xml:space="preserve">  Decoction of leaves with castor oil is useful in Disordered menstrual cycle. Leaf paste is applied externally for Rheumatic pain and on boils to promote Suppuration.</t>
  </si>
  <si>
    <t>Caesalpinia bonduc</t>
  </si>
  <si>
    <t>Lata karanja</t>
  </si>
  <si>
    <t>Kazharchi kai</t>
  </si>
  <si>
    <t>Fever Nut</t>
  </si>
  <si>
    <t>Mullutige</t>
  </si>
  <si>
    <t>Kakamullu</t>
  </si>
  <si>
    <t>Katkaranji</t>
  </si>
  <si>
    <t>A large straggling, very thorny shrub, with yellow flowers. Leaves with large foliaceous pinnate stipules. Leaflets elliptic, oblong, obtuse, mucronate. Flowers often showy, yellow in axillary or terminal racemes. Fruits pod. Seeds transverse, ovate to orbicular.</t>
  </si>
  <si>
    <t>Filariasis, Hydrocele, Acute orchitis, Glandular swellings, Fever, Skin diseases.</t>
  </si>
  <si>
    <t>Urinary disorders, Convulsion, Paralysis, Nervous Complaints, Asthma and Cough.</t>
  </si>
  <si>
    <t>Intermittent fever, Asthma and Colic.</t>
  </si>
  <si>
    <t>Bonducin, Caesalpin, Pipecolic acid, Tannin Saponin, Phytosterinin and Gallic acid.</t>
  </si>
  <si>
    <t>Seed powder with white yolk of egg is  
    applied for Hydrocele externally. Leaves and coconut kernel are roasted in 
    castor oil and applied on any kind of  
    Swellings.</t>
  </si>
  <si>
    <t>Caesalpinia sappan</t>
  </si>
  <si>
    <t>Bharya Vriksha</t>
  </si>
  <si>
    <t>Paar thangi</t>
  </si>
  <si>
    <t>Sappan wood</t>
  </si>
  <si>
    <t>Bakamu</t>
  </si>
  <si>
    <t>Sappanam</t>
  </si>
  <si>
    <t>Bakam</t>
  </si>
  <si>
    <t>A thorny tree with an orange red hard heart wood, which besides being useful on tanning gives a red dye. Leaves pinnately compound. Inflorescence in panicles of racemes, stem with few prickles. Fruits pod, obliquely oblong, truncate at the apex.</t>
  </si>
  <si>
    <t>Valine, Galactose, Dimethyl galactose, b-amyrin, Glucose, Fatty acids, Gallic and Tannic acids.</t>
  </si>
  <si>
    <t>The decoction of wood is a powerful Uterine 
tonic .The decoction of wood is useful in Skin 
diseases especially Fungal infections.</t>
  </si>
  <si>
    <t>Cajanus cajan</t>
  </si>
  <si>
    <t>Tuwari</t>
  </si>
  <si>
    <t>Thuvarai</t>
  </si>
  <si>
    <t>Red gram</t>
  </si>
  <si>
    <t>Kandi pappu</t>
  </si>
  <si>
    <t>Thuvara</t>
  </si>
  <si>
    <t>Arhar tur</t>
  </si>
  <si>
    <t>An erect annual hairy shrub. Leaves alternate, lanceolate, acute and pinnately compound. Flowers irregular, zygomorphic hermophrodite and yellow in colour, densely hairy, corymbose racemes or terminal panicles. Fruits pods, seeds with two cotyledons.</t>
  </si>
  <si>
    <t>Anti-inflammatory.</t>
  </si>
  <si>
    <t>Cajaflavanone, Cajanol, Anthraquinone, Cajanaquinone, Stigmasterol, Campesterol, Lupeol, Flavanone, Thiolignin, Esters and Starch</t>
  </si>
  <si>
    <t>Young leaves are chewed for Stomatitis. The unripe fruit and leaves are made  into a  paste and applied over 
breast to Reduce milk secretion.</t>
  </si>
  <si>
    <t>Calamus rotang</t>
  </si>
  <si>
    <t>Vetasa</t>
  </si>
  <si>
    <t xml:space="preserve"> Pirappan kizhangu</t>
  </si>
  <si>
    <t>Chair bottom cane</t>
  </si>
  <si>
    <t>Sannab ettamu</t>
  </si>
  <si>
    <t>Chooral</t>
  </si>
  <si>
    <t>Chachi bat</t>
  </si>
  <si>
    <t>A tall slender climbing shrub. Leaves with sheathing leaf base. Leaf sheath has spines. Petiole very short leaflets numerous and lanceolate, apex acuminate with distinct primary vein. Inflorescence a spadix. Fruits globose.</t>
  </si>
  <si>
    <t>Snake bite, Erysipelas</t>
  </si>
  <si>
    <t>Cough, Bronchitis, Dysentery, Leprosy, Skin diseases, Vesical calculi, General debility and Pruritis.</t>
  </si>
  <si>
    <t>Saponins, Alkaloids, Flavonoids, Oils and Mucilage.</t>
  </si>
  <si>
    <t>The wood is rubbed in water and taken 
internally as Vermifuge. The root is considered as Antidysenteric,    
Tonic and Febrifuge
The wood is rubbed in water and taken 
internally as Vermifuge.</t>
  </si>
  <si>
    <t>Calophyllum inophyllum</t>
  </si>
  <si>
    <t>Punnaga</t>
  </si>
  <si>
    <t>Punnai</t>
  </si>
  <si>
    <t>Alexandrian Laurel</t>
  </si>
  <si>
    <t>Punnagamu</t>
  </si>
  <si>
    <t>Punna</t>
  </si>
  <si>
    <t>Surpunka</t>
  </si>
  <si>
    <t>A very handsome, small or medium sized glabrous tree with a crooked trunk. Leaves simple and broadly elliptic. Flowers white and found in axillary polygamous raceme. Fruits globose drupe. Seeds globular and hard</t>
  </si>
  <si>
    <t>Calophyllic acid, Caloxanthones, Calophynic acid, Inophyllum-A,B,C,E&amp;P,Ponnalide, Myricetin and 4-alkyl coumarin.</t>
  </si>
  <si>
    <t>The resin from the wounded bark is a 
    remedy for Wounds and Ulcers. Oil from the seeds is applied externally 
    for Rheumatism, Gonorrhoea and 
    Scabies.</t>
  </si>
  <si>
    <t>Calotropis gigantea</t>
  </si>
  <si>
    <t>Arka</t>
  </si>
  <si>
    <t>Erukku</t>
  </si>
  <si>
    <t>Gigantic swallow wort</t>
  </si>
  <si>
    <t>Jilledu</t>
  </si>
  <si>
    <t>Erikka</t>
  </si>
  <si>
    <t>Madar</t>
  </si>
  <si>
    <t>A large milky shrub, very pale in colour. The branches, leaves and inflorescences are covered with loose soft white wool. Leaves large, sessile, ovate or obovate, cordate at the base. Flowers large and pale in racemose lateral pedunculate cymes. Fruits two large follicles.</t>
  </si>
  <si>
    <t>Dysentery, Elephantiasis, Asthma, Epilepsy, Ear ache, Convulsions and Paralysis.</t>
  </si>
  <si>
    <t>Anorexia, Haemorrhoids, Leprosy,Tumours, Syphilis, Elephantiasis.</t>
  </si>
  <si>
    <t>Emetic, Purgative, Antispasmodic, Expectorant and Anti periodic</t>
  </si>
  <si>
    <t>Calotropin, Calotroposide A-G, Akundarin, Cardenolides, Tannins, Sapogenins, Corotosigenin, Frugoside, Caoutchouc, Piroterebic acid and Holarrhenine.</t>
  </si>
  <si>
    <t>Leaf juice is boiled with neem oil and  
    applied on  Calcarious spur.  A powder of dried leaves is dusted on 
    Wounds  and Ulcers to inhibit excessive
     granulation.</t>
  </si>
  <si>
    <t>Calotropis procera</t>
  </si>
  <si>
    <t>Alarka</t>
  </si>
  <si>
    <t>Vellerukku</t>
  </si>
  <si>
    <t>Milk weed</t>
  </si>
  <si>
    <t>Tella jilledu</t>
  </si>
  <si>
    <t>Vellirikka</t>
  </si>
  <si>
    <t>Akala</t>
  </si>
  <si>
    <t>A milky shrub covered with cottony tomentum, slightly smaller than gigantea. Leaves simple, opposite and decussate. Stem, leaves and flowers are covered by whitish wool. Inflorescence an umbellate or lateral pedunculate cymes with white erect petals. Fruits follicle, seeds ovate</t>
  </si>
  <si>
    <t>Emmenagogue, Antidote, Anti-inflammatory, Anti-bacterial and Anti-fungal.</t>
  </si>
  <si>
    <t>Calotropin, Calotoxin, Uscharin, b-sitosterol, Cardenolides, Cyanidine-3-rhamno glucoside, a- &amp; b-amyrin and Chavidin.</t>
  </si>
  <si>
    <t xml:space="preserve"> The petals of the flower with pepper is  
    made into pills and administered in  
    Asthma.  2. Leaves with Delonix leaves are roasted  
    together and applied for Swelling of the 
     joints.</t>
  </si>
  <si>
    <t>Camellia sinensis</t>
  </si>
  <si>
    <t>Chavika</t>
  </si>
  <si>
    <t>Theilai</t>
  </si>
  <si>
    <t>Tea plant</t>
  </si>
  <si>
    <t>Tiyaku</t>
  </si>
  <si>
    <t>Chai</t>
  </si>
  <si>
    <t>An evergreen shrub. Leaves simple, erect, coriaceous, narrow with obtuse apex, usually entire. Flowers solitary, axillary usually towards the ends of the branches. Fruits loculicidal capsule. Seeds winged, cotyledons ovate.</t>
  </si>
  <si>
    <t>Theobromine, Theophylline, Thiene, Caffeine, Epicatechin gallate, Theasapogenol, Cinnamic acid, Glucuronic a c i d , X a n t h i n e , Angelic acid, Quercetin-3-O-fructoglucoside</t>
  </si>
  <si>
    <t>Tea is a stimulating drink relieves 
   Muscular and Mental fatigue. 2.Tea has a diuretic effect and also  
   stimulates Gastric secretion.</t>
  </si>
  <si>
    <t>Canarium strictum</t>
  </si>
  <si>
    <t>Mandadhupa</t>
  </si>
  <si>
    <t>Karun kungilium</t>
  </si>
  <si>
    <t>Black dammar</t>
  </si>
  <si>
    <t>Nallarojanamu</t>
  </si>
  <si>
    <t>Canari-telli</t>
  </si>
  <si>
    <t>Kala-dammar</t>
  </si>
  <si>
    <t>A very tall, ever green, deciduous, buttressed tree. Leaves imparipinnate, leaflets 3-7 pairs, coriaceous, shining and glabrous. Flowers in short branches, small white or bright yellow in axillary panicles. Fruits drupe, ellipsoid, resinous with hard stony seed.</t>
  </si>
  <si>
    <t>Stimulant, Expectorant and Diuretic.</t>
  </si>
  <si>
    <t>D-pinene, a-taraxasterol, Canarone,a- amyrin, n-heptane and Damarene</t>
  </si>
  <si>
    <t xml:space="preserve"> Resin powder with gingelly oil is used 
externally for Rheumatic pains 2. Resin powder with  coconut oil is used as  
an external application for Psoriasis 
and Ptyriasis.</t>
  </si>
  <si>
    <t>Canna indica</t>
  </si>
  <si>
    <t>Deva kuli</t>
  </si>
  <si>
    <t>Kal vaazhai</t>
  </si>
  <si>
    <t>Indian bread shot</t>
  </si>
  <si>
    <t>Krishna thamarai</t>
  </si>
  <si>
    <t>Katu vara</t>
  </si>
  <si>
    <t>Sabba jaya</t>
  </si>
  <si>
    <t>Erect, perennial, leafy herb with pseudostems and root stocks. Leaves large, elliptic and lanceolate. Flowers in terminal spikes or panicle usually brightly coloured with red, the labellum and style often yellow with red streaks. Fruits capsule, globose. Seeds black and hard.</t>
  </si>
  <si>
    <t>Fever, Dropsy, Dyspepsia.</t>
  </si>
  <si>
    <t>Ear ache.</t>
  </si>
  <si>
    <t>Narcotic, Diaphoretic, Diuretic.</t>
  </si>
  <si>
    <t>Alkaloid, Lignin, Cellulose, Furfural and Starch</t>
  </si>
  <si>
    <t>Decoction of the root is given internally 
for Fever.  Root juice is dropped into ears for  
Ear ache.</t>
  </si>
  <si>
    <t>Cannabis sativa</t>
  </si>
  <si>
    <t>Bhanga</t>
  </si>
  <si>
    <t>Ganja</t>
  </si>
  <si>
    <t>Indian hemp</t>
  </si>
  <si>
    <t xml:space="preserve">Ganjayi
</t>
  </si>
  <si>
    <t>Kancha</t>
  </si>
  <si>
    <t>Charas</t>
  </si>
  <si>
    <t>An aromatic resinous annual, with erect angular stem. Female plant is taller than male. Leaves palmately compound, lower leaves 3-8 foliate with long petiole but upper 3-1 foliate passing into bracts. Male flowers in short drooping panicles female in short axillary crowded spikes with greyish green colour. Fruits achene, seeds black.</t>
  </si>
  <si>
    <t>Convulsions, Otalgia, Abdominal disorders, Skin diseases, Insomnia, Tetanus and Gonorrhoea</t>
  </si>
  <si>
    <t>Convulsions.</t>
  </si>
  <si>
    <t>Inflammations, Haemorrhoids, Hydrocele.</t>
  </si>
  <si>
    <t>resin :  Hiccough and Bronchitis.</t>
  </si>
  <si>
    <t>Aphrodisiac, Alterative, Analgesic, Stomachic, Abortifacient, Anti-inflammatory and Carminative.</t>
  </si>
  <si>
    <t>Volatile oil, Cannabinine, Cannabispiran, Sativine, Cannabitriole and Cannabicitran.</t>
  </si>
  <si>
    <t>1, Leaf powder with honey is given for  
   Impotency.2. Seeds with pepper is given for Epilepsy.</t>
  </si>
  <si>
    <t>Capparis zeylanica</t>
  </si>
  <si>
    <t>Karambha</t>
  </si>
  <si>
    <t>Aathondai</t>
  </si>
  <si>
    <t>Ceylon caper</t>
  </si>
  <si>
    <t>Aridonda</t>
  </si>
  <si>
    <t>Adhonda</t>
  </si>
  <si>
    <t>Govinda phal</t>
  </si>
  <si>
    <t>A large, climbing, very thorny shrub. Leaves simple, elliptic, apex mucronate petiolate and entire. Flowers white coloured often showy, later turning pink, found in axillary solitary cyme. Fruits berry, globular, bright, scarlet, fleshy and reddish brown with 5-7 seeds.</t>
  </si>
  <si>
    <t>Glucocaparine, Syringic acid, b-carotene, Vanillic acid, P-hydroxybenzoic acid, Phytosterol and Saponin</t>
  </si>
  <si>
    <t xml:space="preserve"> Decoction of leaves is given for Throat infections.   Root paste is applied for body ache.</t>
  </si>
  <si>
    <t>Capsicum annum</t>
  </si>
  <si>
    <t>Rakta maricha</t>
  </si>
  <si>
    <t>Milagai</t>
  </si>
  <si>
    <t>Red chillies</t>
  </si>
  <si>
    <t>Mirapakaya</t>
  </si>
  <si>
    <t>Chuvannamulaku</t>
  </si>
  <si>
    <t>Lal mirch</t>
  </si>
  <si>
    <t>Annual herb, leaves simple, alternate, often in unequal pairs, rarely clustered, never truely opposite, entire, lobed. Flowers regular, hermophrodite in terminal, axillary or extra axillary cymes. Fruits berry, green. Seeds many, thin and almost circular.</t>
  </si>
  <si>
    <t>Anti-inflammatory, Stimulant</t>
  </si>
  <si>
    <t>Capsanthin, Capsicosin, Capsicoside, Lanosterol, Cyloartenol, Stigmasterol, Capsin, Volatile alkaloid, Capsacin and Solanine</t>
  </si>
  <si>
    <t>Red chillies with asafoetida and camphor is 
in the form of pills in Cholera.  The whole plant steeped in milk is applied to 
reduce Swellings and Hardened tumours.</t>
  </si>
  <si>
    <t>Cardiospermum halicacabum</t>
  </si>
  <si>
    <t>Sakralata</t>
  </si>
  <si>
    <t>Mudakkaruthan</t>
  </si>
  <si>
    <t>Balloon vine</t>
  </si>
  <si>
    <t>Vekkudutiga</t>
  </si>
  <si>
    <t>Ulinga</t>
  </si>
  <si>
    <t>Kanphuti</t>
  </si>
  <si>
    <t>An annual climbing, tendril bearing herb with wily stem and branches. Leaves alternate, biternate, leaflets coarsely dentate, acuminate, laterals oblong. Flowers irregular, polygamodioecious in axillary racemes or corymbs. Fruits capsule, depressed, pyriform, winged at the angles. Seeds black with white hilum.</t>
  </si>
  <si>
    <t>Rheumatism, Nervous diseases, Piles, Chronic bronchitis, Lumbago and Phthisis.</t>
  </si>
  <si>
    <t>Amenorrhoea.</t>
  </si>
  <si>
    <t>Diuretic, Laxative, Stomachic, Alterative, Emetic and Rubefacient</t>
  </si>
  <si>
    <t>Alkaloids, Histamine, Acetylcholine, 5-hydroxytryptamine.</t>
  </si>
  <si>
    <t>Root and leaf decoction is used in  
   Rheumatism, Nervous diseases, Piles and 
   Chronic bronchitis.   Leaves fried are applied to the pubes to 
    increase the Menstrual flow in 
     Amenorrhoea</t>
  </si>
  <si>
    <t>Careya arborea</t>
  </si>
  <si>
    <t>Kumbhi</t>
  </si>
  <si>
    <t>Ayama</t>
  </si>
  <si>
    <t>Patana oak</t>
  </si>
  <si>
    <t>Govadi</t>
  </si>
  <si>
    <t>Peelam</t>
  </si>
  <si>
    <t>Kumbh</t>
  </si>
  <si>
    <t>A large deciduous tree. Leaves alternate, membranous, crowded at the ends of the branches obovate to serrate. Flowers large, showy in racemes with yellow colour. Fruits large globose fibrous berry crowned by the persistant calyx.</t>
  </si>
  <si>
    <t>Ulcers.</t>
  </si>
  <si>
    <t>Wound healing</t>
  </si>
  <si>
    <t>Cough, Cold, Boils, Abscess and Ulcers.</t>
  </si>
  <si>
    <t>Digestion.</t>
  </si>
  <si>
    <t>Astringent, Demulcent .</t>
  </si>
  <si>
    <t>a-spinasterol, Barringtogenol, Careyic acid, Careaborin and Careyagenol D</t>
  </si>
  <si>
    <t>Leaves made into a pulp is used as  
poultice for Obstinate Ulcers.   Flowers as infusion is given after Child 
birth.</t>
  </si>
  <si>
    <t>Carica papaya</t>
  </si>
  <si>
    <t>Eranda karkati</t>
  </si>
  <si>
    <t>Pappali</t>
  </si>
  <si>
    <t>Papaya tree</t>
  </si>
  <si>
    <t>Boppayi</t>
  </si>
  <si>
    <t>Poppayam</t>
  </si>
  <si>
    <t>Papeeta</t>
  </si>
  <si>
    <t>A soft wooded, almost branchless tree. Tree trunk is found with the scar of old leaves, palmately compound with long tubular stalk. Male and female flowers are present in 2 different trees. Male flower is stalked long, the female flowers are crowded at the top of the tree. Fruits berry.</t>
  </si>
  <si>
    <t>RIPED: Habitual constipation, Piles, Dyspepsia,  
   Chronic diarrhoea and Abortion. UNRIPED: Secretion of  milk.</t>
  </si>
  <si>
    <t>Rubefacient, Anthelmintic, Digestive, Alterative, Laxative, Diuretic, Emmenagogue, Abortifacient and Galactagogue.</t>
  </si>
  <si>
    <t>Papain, Tartaric acid, Citrc and Maleic acids, b-carotene, Cryptoflavin, Chymopapains and Violaxanthin.</t>
  </si>
  <si>
    <t xml:space="preserve">Milky juice of unripe fruit with honey  
    followed by castor oil acts as an Anthelmintic  
    for Round worms. Dried and salted fruit reduce Enlarged 
    spleen and liver.
</t>
  </si>
  <si>
    <t>Carissa carandas</t>
  </si>
  <si>
    <t>Karamarda</t>
  </si>
  <si>
    <t>Kala kai</t>
  </si>
  <si>
    <t>Christ’s thorn</t>
  </si>
  <si>
    <t>Wakkayalu</t>
  </si>
  <si>
    <t>Karakka</t>
  </si>
  <si>
    <t>Karaunda</t>
  </si>
  <si>
    <t>A large thorny shrub with white or pale rose coloured flowers. Bark yellowish brown, spines straight often forked at the tip. Leaves simple elliptic oblong, obtuse or emarginte at apex. Subcordate at the base. Flowers axillary pedunculate trichotomous cymes. Fruits ellipsoid or globose berry.</t>
  </si>
  <si>
    <t>Itching.</t>
  </si>
  <si>
    <t>Remittent fever, Intermittent fever, Earache, Oral inflammations and Stomach ache</t>
  </si>
  <si>
    <t>RIPED:Biliousness.</t>
  </si>
  <si>
    <t>Antiscorbutic, Anthelmintic, Stomachic and Astringent.</t>
  </si>
  <si>
    <t>C terpenoids, Carindone, Carissone, Carinol, 31 Salicylic acid, Ascorbic acid and b-sitosterol.</t>
  </si>
  <si>
    <t>Juice of ripe fruit  with sugar is a coolant 
   drink in Biliousness. Decoction of the leaves is a refrigerant  
    in Fever</t>
  </si>
  <si>
    <t>Carthamus tinctorius</t>
  </si>
  <si>
    <t>Kusumbha</t>
  </si>
  <si>
    <t>Sendoorakam</t>
  </si>
  <si>
    <t>Saf-flower</t>
  </si>
  <si>
    <t>Kushuma</t>
  </si>
  <si>
    <t>Chendurakkam</t>
  </si>
  <si>
    <t>Karrah</t>
  </si>
  <si>
    <t>A slender much branched annual herb found in black soil. Leaves simple, lanceolate, spinulose and serrate. Flower in orange red heads. Corollas of the flowers are used as a dye for silks. Fruits achene, obovoid, four angled globular fruit without pappus hairs.</t>
  </si>
  <si>
    <t xml:space="preserve">DRY:Jaundice, Nasal catarrh, Muscular  
     Rheumatism. </t>
  </si>
  <si>
    <t>Stimulant, Emmenagogue, Sedative, Febrifuge, Anthelmintic, Diuretic and Tonic.</t>
  </si>
  <si>
    <t>Carthamin, Carthamon, Linoleic acid, Tocopherols, Luteolin-7-glucoside, Manganese, Serotonin, Cellobioside, Tracheloside, Steroid and N-P-Coumaroyl serotonin.</t>
  </si>
  <si>
    <t xml:space="preserve"> Safflower oil being an excellent source of 
   pure linoleic acid renders it as a verygood 
   cooking medium for patients having
   Hypertension and Heart ailments.   Hot infusion of dried flowers is given as a 
   diaphoretic in Muscular rheumatism</t>
  </si>
  <si>
    <t>Carum carvi</t>
  </si>
  <si>
    <t>Sushavi</t>
  </si>
  <si>
    <t>Sombu</t>
  </si>
  <si>
    <t>Caraway seeds</t>
  </si>
  <si>
    <t>Shimai sapu</t>
  </si>
  <si>
    <t>Perunjeerakam</t>
  </si>
  <si>
    <t>Kala zira</t>
  </si>
  <si>
    <t>Annual or perennial herb. Leaves decompound. Flowers white, polygamous, the sterile flowers often found in compound umbels. Fruits ovoid, ellipsoid or oblong laterally compressed. Seeds terete, flat and channelled on inner surface.</t>
  </si>
  <si>
    <t>Aromatic, Stimulant, Carminative, Digestive, Cardiac tonic, Anti-inflammatory.</t>
  </si>
  <si>
    <t>Thymol, b-phellandrene, Umbelliferone, Quercetin, Kaempferol, a-&amp;b-pinene Scopoletin, Carvone and ß- sitosterol.</t>
  </si>
  <si>
    <t>A tea made from the seeds is used to treat 
Flatulent colic    The seed can be chewed raw for the 
immediate relief of Indigestion.</t>
  </si>
  <si>
    <t>Caryota urens</t>
  </si>
  <si>
    <t>Meda</t>
  </si>
  <si>
    <t>Konda panai</t>
  </si>
  <si>
    <t>Horse tail palm</t>
  </si>
  <si>
    <t>Jeelugu chettu</t>
  </si>
  <si>
    <t>Irampanai</t>
  </si>
  <si>
    <t>Bankhajur</t>
  </si>
  <si>
    <t>A lofty handsome palm tree, stem tall, annulate, naked or sheathed. Leaves curved, few, very large and bipinnate. Leaflets fan-shaped and rounded at the apical end. Inflorescence spadix. Flowers ternate. Fruits globose, seeds erect, embryo small.</t>
  </si>
  <si>
    <t>NUTS AND JUICE :Hemicrania, Urinary disorders, Hair tonic 
and Seminal weakness.</t>
  </si>
  <si>
    <t>Aphrodisiac and Laxative</t>
  </si>
  <si>
    <t>Cassia alata</t>
  </si>
  <si>
    <t>Dadrughna</t>
  </si>
  <si>
    <t>Seemai-agathi</t>
  </si>
  <si>
    <t>Ringworm shrub</t>
  </si>
  <si>
    <t>Metta tamara</t>
  </si>
  <si>
    <t>Seema agathi</t>
  </si>
  <si>
    <t>Dadmurdan</t>
  </si>
  <si>
    <t>A large handsome shrub. Leaves abruptly pinnately compound, subsessile, the rachis is found with glands. Flowers usually yellow often large and showy in axillary paniculate raceme. Fruits pod with a broad wing, seeds transverse and triangled.</t>
  </si>
  <si>
    <t>Eczema, Washerman’s itch, Syphilis, Mycosis, Herpes, Bronchitis, Dyspnoea and Stomatitis.</t>
  </si>
  <si>
    <t>Bronchitis,Stomatitis,Herpes,Eczema,Ringworm</t>
  </si>
  <si>
    <t>Anti-parasitic, Anti fungal, Tonic, Purgative, Diuretic and Anti-inflammatory.</t>
  </si>
  <si>
    <t>Isochrysophanal, Chrysophanic acid, Glycosides, Chrysophanol, Cassiazanthone, Kaempferol, Rhein and Aloe-emodin</t>
  </si>
  <si>
    <t xml:space="preserve"> A strong decoction of flowers is good for eczema.
i Leaves ground in lime juice is applied externally for Fungal infections and Other skin diseases.</t>
  </si>
  <si>
    <t>Cassia auriculata</t>
  </si>
  <si>
    <t>Avartaki</t>
  </si>
  <si>
    <t>Aavaarai</t>
  </si>
  <si>
    <t>Tanner’s cassia</t>
  </si>
  <si>
    <t>Tangedu</t>
  </si>
  <si>
    <t>Aveeram</t>
  </si>
  <si>
    <t>Tarwar</t>
  </si>
  <si>
    <t>Commonly a shrub, leaves compound and found with subulate glands between the 8-12 pairs of leaflets. Flowers in subterminal axillary corymbs. Fruits pod, seeds transverse.</t>
  </si>
  <si>
    <t>Conjunctivitis, Diabetes.</t>
  </si>
  <si>
    <t>Giddiness, Fracture, Skin diseases leprosy</t>
  </si>
  <si>
    <t>Uterine tonic, Diabetes, Nocturnal emissions</t>
  </si>
  <si>
    <t>Sore throat, Rheumatism, Diabetes, Enema.</t>
  </si>
  <si>
    <t>Urinary discharges, Gout, Gonorrhoea, Cough.</t>
  </si>
  <si>
    <t>Refrigerant, attenuant, Tonic and Alterative.</t>
  </si>
  <si>
    <t>Auricassidin, Rutin, Nonacosone, b-sitosterol, Kaempferol, Fatty keto alcohols and emodin.</t>
  </si>
  <si>
    <t xml:space="preserve"> The decoction of the whole plant is given internally for Diabetes.
i Seed powder mixed with coconut oil is applied for Sore eyes.</t>
  </si>
  <si>
    <t>Cassia fistula</t>
  </si>
  <si>
    <t>Aragwadha</t>
  </si>
  <si>
    <t>Sarakkondrai</t>
  </si>
  <si>
    <t>Golden Shower</t>
  </si>
  <si>
    <t>Kondra kayi</t>
  </si>
  <si>
    <t>Konna</t>
  </si>
  <si>
    <t>Amultas</t>
  </si>
  <si>
    <t>A deciduous, medium sized tree. Leaves compound, the leaflets 4-8 pairs, ovate, acute. Flowers usually yellow often large and showy in pendulous racemes. Fruits indehiscent, cylindrical, pendulous, smooth and hard pod. Seeds light brown and smooth, transverse.</t>
  </si>
  <si>
    <t>Fever, Heart disease, Retained excretion and Biliousness.</t>
  </si>
  <si>
    <t>Jaundice, Piles, Ring worm, Eczema, Prurigo, Rheumatism, Paralysis, Brain affections.</t>
  </si>
  <si>
    <t>Stomach troubles.</t>
  </si>
  <si>
    <t>Stomachache, Topicalulcers,Skincomplaints.</t>
  </si>
  <si>
    <t>Diabetes, Bilious disorder.</t>
  </si>
  <si>
    <t>Purgative, Tonic, Febrifuge, Carminative, Anti-bilious, Anti-inflammatory &amp; Analgesic .</t>
  </si>
  <si>
    <t>Sennosides A&amp;B, Chrysophanol, Fistucacidin, Butyric acid, Rhein, Galactomannose,D galactose and D-mannose, Fistulic acid, Leucopelargonidin andKaempferol.</t>
  </si>
  <si>
    <t xml:space="preserve"> The whole seed powder cures Intestinal amoebiasis.
i The pulp of fruit is a safe Laxative for children and pregnant women.</t>
  </si>
  <si>
    <t>Cassia occidentalis</t>
  </si>
  <si>
    <t>Kasamarda</t>
  </si>
  <si>
    <t>Ponnavarai</t>
  </si>
  <si>
    <t>Stinking weed</t>
  </si>
  <si>
    <t>Kasintha</t>
  </si>
  <si>
    <t>Natrum takara</t>
  </si>
  <si>
    <t>Kasondi</t>
  </si>
  <si>
    <t>An erect annual herb. Leaves compound and alternate, each leaf has 5 leaflets membranous and ovate. Flowers yellow in short racemes. Legumes long,thin, recurvedglabrousandround. Seeds10-30,dark,olivegreenincolour.</t>
  </si>
  <si>
    <t>Antidote, Fever, Neuralgia.</t>
  </si>
  <si>
    <t>Convulsions, Cough, Whooping cough, Winter cough, Blood purifier.</t>
  </si>
  <si>
    <t>Sores, Itching, Blisters, Hysteria, Dyspepsia.</t>
  </si>
  <si>
    <t>Purgative, Febrifuge, Diuretic, Antiperiodic, Anti bacterial and Anti fungal</t>
  </si>
  <si>
    <t>Olein, Margarin, Tannic acid, Ematin, Cellulose, Pinselin,Cartharthin, Chrysophanol, Cassiollin, Jaceidin-7-rhamnoside, Matteucinol-7- rhamnoside and Toxalbumin.</t>
  </si>
  <si>
    <t xml:space="preserve"> The dried powder of the plant with milk is taken internally for various Skin diseases.
i Decoction of seed powder is a mild laxative and used for Constipation.</t>
  </si>
  <si>
    <t>Cassia senna</t>
  </si>
  <si>
    <t>Bhumiari</t>
  </si>
  <si>
    <t>Nilavagai</t>
  </si>
  <si>
    <t xml:space="preserve">Tinnevelly senna </t>
  </si>
  <si>
    <t>Neela punna</t>
  </si>
  <si>
    <t>Nilavaka</t>
  </si>
  <si>
    <t>Bhuikhasa</t>
  </si>
  <si>
    <t>A shrub, leaves pinnately compound, leaflets sessile. Flowers usually yellow and found in racemose inflorescense, either axillary or terminal in position. Fruits pod. Seeds transverse rarely longitudinal .</t>
  </si>
  <si>
    <t>Constipation, Skin diseases, Amoebic dysentery, Biliousness, Gout, Jaundice.</t>
  </si>
  <si>
    <t>Constipation,Biliousness</t>
  </si>
  <si>
    <t>Anti-inflammatory, Digestive, Purgative and Diuretic.</t>
  </si>
  <si>
    <t>Sennaside A,B&amp;C, Sennidins, Chrysophanol, Rheum-emodin, Physcion, Aloe emodin and Tinnevellin glucosie</t>
  </si>
  <si>
    <t xml:space="preserve"> Dry powder of whole herb along with ginger or clove is useful in Habitual constipation.
i The powdered leaves in vinegar is applied to Wounds,Bums and to remove pimples.</t>
  </si>
  <si>
    <t>Cassia tora</t>
  </si>
  <si>
    <t>Chakra mardha</t>
  </si>
  <si>
    <t>Oosi thagarai</t>
  </si>
  <si>
    <t>Foetid cassia</t>
  </si>
  <si>
    <t>Tagirasa</t>
  </si>
  <si>
    <t>Tagara</t>
  </si>
  <si>
    <t>Panevar</t>
  </si>
  <si>
    <t>A foetid, annual herb. Leaves with subulate glands between the leaflets, none on the petiole base, leaflets 3 pairs, obovate. Flowers small in axillary pairs. Fruits pod, slender sub tetragonous. Seeds green 25-30.</t>
  </si>
  <si>
    <t>Gout, Sciatica and Ringworm infection</t>
  </si>
  <si>
    <t>Leprosy, Psoriasis, Cheloid tumours, Skin diseases, Snake bite, Blood purifier.</t>
  </si>
  <si>
    <t>Ulcer,Gout,Sciatica,FracturesandRheumatism.</t>
  </si>
  <si>
    <t>Antiparasitic, Aperient, Germicide, Antibacterial, Anti fungal, Anthelmintic, Antiperiodic.</t>
  </si>
  <si>
    <t>Chrysophanic acid-9-anthrone, Myoinositol, Juglanin,Urindine,Rubrofusarin,Emodin, Astragalin, b-sitosterol and Naphto-pyrone.</t>
  </si>
  <si>
    <t xml:space="preserve"> The poultice of leaves is applied on cuts,
wounds and ulcers to hasten suppuration.
i A paste of the root with lime juice is a
remedy for Ring worm.</t>
  </si>
  <si>
    <t>Cassytha filiformis</t>
  </si>
  <si>
    <t>Akasavalli</t>
  </si>
  <si>
    <t>Kotthan</t>
  </si>
  <si>
    <t>Dodder-Laurel</t>
  </si>
  <si>
    <t>Nulutega</t>
  </si>
  <si>
    <t>Moodilla thali</t>
  </si>
  <si>
    <t>Amarbeli</t>
  </si>
  <si>
    <t>A herbaceous, parasitic, leafless twiners. Stem yellowish green, slender, forming a web of leafless cords. Flowers small white in lateral spikes. Fruits drupe black, globose, enclosed in fleshy perianth lobes.</t>
  </si>
  <si>
    <t>Urethritis</t>
  </si>
  <si>
    <t>Haemoptysis, Urethritis, Chronic dysentery Skin diseases and Biliousness.</t>
  </si>
  <si>
    <t>Haemoptysis</t>
  </si>
  <si>
    <t>Edible</t>
  </si>
  <si>
    <t>Astringent, Diuretic, Insecticide.</t>
  </si>
  <si>
    <t>Cassameridine, Cassmedine, Cassythine, Cassythicine Neolitsine, Cassythidine, Launobine, Bulbocapnine, Actinodaphinine.</t>
  </si>
  <si>
    <t xml:space="preserve"> Decoction of the plant prevents Haemoptysis.  i Dried powder of the plant boiled with gingelly oil is used as Hair-tonic.</t>
  </si>
  <si>
    <t>Catharanthus roseus</t>
  </si>
  <si>
    <t>Nitrya kalyani</t>
  </si>
  <si>
    <t>Nithiya kalyani</t>
  </si>
  <si>
    <t>Madagascar periwinkle</t>
  </si>
  <si>
    <t>Billaganneru</t>
  </si>
  <si>
    <t>Ushamalari</t>
  </si>
  <si>
    <t>Sadabahar</t>
  </si>
  <si>
    <t>An erect much branched annual or perennial herb. Stem, leaves and fruits are found with latex. Leaves simple, oblong, subsessile opposite and decussate. Flowers pinkish purple, in terminal or axillary corymbose cymes, bisexual and regular. Fruits hairy black and minute follicle with many seeds.</t>
  </si>
  <si>
    <t>Cardiac tonic</t>
  </si>
  <si>
    <t>Blood cancer, Diabetes, Menorrhagia, Wasp's sting and Cardiac tonic.</t>
  </si>
  <si>
    <t>Menorrhagia</t>
  </si>
  <si>
    <t>Stomachic, Tonic, Sedative, Anti-cancerous.</t>
  </si>
  <si>
    <t>Vincristin, Vinblastin, Leurosine, Vincobin, Tabersonine, Vincathicine, Vinamidine, Perivine, Dehydrologanin and Vincolin.</t>
  </si>
  <si>
    <t xml:space="preserve"> The extract of the flower is given internally
for Malignancy.
i Root decoction is given in Low blood
pressure.</t>
  </si>
  <si>
    <t>Cedrus deodara</t>
  </si>
  <si>
    <t>Devadaru</t>
  </si>
  <si>
    <t>Himalayan cedar</t>
  </si>
  <si>
    <t>Devdhari</t>
  </si>
  <si>
    <t>Devataram</t>
  </si>
  <si>
    <t>Deodar</t>
  </si>
  <si>
    <t>A large evergreen coniferous tree, Stem large erect, bark thick and cracked. Leaves dark green, triangular, glaucous or silvery, elongated with tapering ends. Flowers monoecious with male and female cones which appear in separate branches and appear in clusters. Seeds triangular with broad wings.</t>
  </si>
  <si>
    <t>Remittent and intermittent fevers, Diarrhoea and Dysentery.</t>
  </si>
  <si>
    <t>Ulcers, Skin diseases and Joint pains.</t>
  </si>
  <si>
    <t>Carminative, Febrifuge, Diaphoretic, Astringent, Antispasmodic and Anti-inflammatory.</t>
  </si>
  <si>
    <t>Deodarone, Deodardione, Tannins, Deodarin, Cedrusin, Taxifolin, Limonene, Carboxylic acid, Oxido himachalene &amp; Isohimachalone,</t>
  </si>
  <si>
    <t xml:space="preserve"> Bark decoction is a good remedy for Bilious
fever, Intern-mittent and Rernittent fevers.
i Turpentine from the tree is applied to
Ulcers and Skin diseases.</t>
  </si>
  <si>
    <t>Celastrus paniculatus</t>
  </si>
  <si>
    <t>Jyotish mathi</t>
  </si>
  <si>
    <t>Valuzhuvai</t>
  </si>
  <si>
    <t>Climbing staff</t>
  </si>
  <si>
    <t>Danti cheetu</t>
  </si>
  <si>
    <t>Malkangni</t>
  </si>
  <si>
    <t>A large woody climbing shrub. Leaves simple, alternate, entire ovate, oblong or crenulate. Flowers white, polygamous in terminal or axillary or pendant panicles. Fruits capsule, globose, yellow, 1-6 seeded transversely wrinkled. Seeds elipsoid or ovoid.</t>
  </si>
  <si>
    <t>Rheumatism, Gout, Paralysis, Leprosy and Intellect promoting.</t>
  </si>
  <si>
    <t>Beri-beri, Rheumatic pains and Paralysis.</t>
  </si>
  <si>
    <t>Nervine tonic, Alterative, Stimulant, Antiinflammatory, Anti pyretic, Anti-ulcerogenic and Rubefacient.</t>
  </si>
  <si>
    <t>Celastrol, Celapanigine, Paniculatadiol, Zeylasterone, Zeylasteral, Pristimerine, Malkanguniol, Triterpenedionand Celapanine.</t>
  </si>
  <si>
    <t xml:space="preserve"> Decoction of seeds is given in Rheumatism
and Paralysis.
i The alcoholic extract of seed is given as a
sedative in Inflammation and Ulcer.</t>
  </si>
  <si>
    <t>Celosia argentea</t>
  </si>
  <si>
    <t>Vitunna</t>
  </si>
  <si>
    <t>Silver spiked cock’s comb</t>
  </si>
  <si>
    <t>Gurugu</t>
  </si>
  <si>
    <t>Erikata</t>
  </si>
  <si>
    <t>Sufaid murga</t>
  </si>
  <si>
    <t>An erect glabrous annual herb. The stem woody below and herbaceous above. Leaves simple, alternate, linear, rarely ovate or lanceolate. Flowers dense, stout, imbricate and slightly pink or white glistening in feathered conical to oblong spikes. Fruits capsule with shining seeds.</t>
  </si>
  <si>
    <t>Dysentery, Diarrhoea, Ulcers, Tuberculosis</t>
  </si>
  <si>
    <t>Dysentery, Diarrhoea, Skin eruption, Wounds, Sores, Ulcers, Hysteria and Tuberculosis.</t>
  </si>
  <si>
    <t>Anti-inflammatory, Cooling, Anti bacterial.</t>
  </si>
  <si>
    <t>b-amyrin, b-sitosterol, Potassium, Taurine, Triterpenoid, Saponins, b-nicotinic acid, Benzoic acid, Celapagine, Celapanin and Celapanigine.</t>
  </si>
  <si>
    <t xml:space="preserve"> Powder of seeds is given in Diarrhoea.
i Flowers are boiled in water and extract is
used in Excessive menstrual flow and Eye
diseases.</t>
  </si>
  <si>
    <t>Centella asiatica</t>
  </si>
  <si>
    <t>Mandukaparni</t>
  </si>
  <si>
    <t>Vallarai</t>
  </si>
  <si>
    <t>Indian penny wort</t>
  </si>
  <si>
    <t>Saraswathi aku</t>
  </si>
  <si>
    <t>Kodangal</t>
  </si>
  <si>
    <t>Manduki</t>
  </si>
  <si>
    <t>Prostrate, perennial herbs rooting at the nodes. Leaves reniform, dentate, base cordate and often lobed, long petioled. Flower red, pink or white in fascicled umbels. Fruits oblong, dull brown and laterally compressed.</t>
  </si>
  <si>
    <t>Kidney troubles, Insomnia, Laryngitis, Bronchitis, Abdominal disorders, Leprosy, Strangury, Leucorrhoea and Fever</t>
  </si>
  <si>
    <t>Coolant, Cardiac tonic, Nervine tonic, Stomachic, Anti-leprotic, Diuretic, Febrifuge and Carminative.</t>
  </si>
  <si>
    <t>Asiaticoside, Centelloside, Oxyasiaticoside, b-caryophyllene, Brahmoside, Centelline, Madasiatic acid and a-humulene.</t>
  </si>
  <si>
    <t xml:space="preserve"> Leaf paste is given internally for Peptic
ulcers and also for Mentally retarded
children.
i Leaf paste is given internally and also
applied externally for Syphilitic</t>
  </si>
  <si>
    <t>Cerbera odollam</t>
  </si>
  <si>
    <t>Auddalakah</t>
  </si>
  <si>
    <t>Kattu arali</t>
  </si>
  <si>
    <t>Dogbane</t>
  </si>
  <si>
    <t>Adava arali</t>
  </si>
  <si>
    <t>Chattarkaya</t>
  </si>
  <si>
    <t>Pilikirbir</t>
  </si>
  <si>
    <t>A small evergreen glabrous tree. Leaves simple, coriaceous, lanceolate, alternate, long bright green and fleshy. Inflorescence large, white or red in pseudoterminal peduncled cymes. Fruits globose ellipsoid drupes. Seeds broad, compressed and one seeded.</t>
  </si>
  <si>
    <t>Criminal abortion</t>
  </si>
  <si>
    <t>Ringworm infestation</t>
  </si>
  <si>
    <t>Hydrophobia</t>
  </si>
  <si>
    <t>Emetic, Cathartic, Laxative, Rubefacient and Purgative.</t>
  </si>
  <si>
    <t>Succinic acid, Cerbinal, Terberic acid, Cerberinic acid.</t>
  </si>
  <si>
    <t xml:space="preserve"> The fruit is given in minimum quantity for
Hydrophobia.
i Bark decoction is a Purgative.</t>
  </si>
  <si>
    <t>Cicer arietinum</t>
  </si>
  <si>
    <t>Chanaka</t>
  </si>
  <si>
    <t>Konda kadalai</t>
  </si>
  <si>
    <t>Bengal gram</t>
  </si>
  <si>
    <t>Sanagalu</t>
  </si>
  <si>
    <t>Kadala</t>
  </si>
  <si>
    <t>Channa</t>
  </si>
  <si>
    <t>Much branched annual herb, branches spreading and hairy. Leaves pinnate, leaflets 9-15 pairs, alternate, small elliptic and covered with glandular hairs on both the surfaces. Flowers axillary, solitary, pink, blue or white, papilionaceous. Fruits pod, 1 or 2 seeded.</t>
  </si>
  <si>
    <t>Hyperdypsia, Burning sensation, Hepatosplenomegaly, Skin disease and Pharyngeal disorders.</t>
  </si>
  <si>
    <t>Anorexia, Dyspepsia, Bronchitis, Sprain, Constipation and Dislocated limbs.</t>
  </si>
  <si>
    <t>Tonic, Astringent, Expectorant, Aphrodisiac, Antibilious, Antistress, Anti hyperlipidemic, and Anthelmintic</t>
  </si>
  <si>
    <t>Vanillic acid, P-hydroxy benzoic acid, Oxalic acid,Aceticacid,PangamicacidandMalicacids.</t>
  </si>
  <si>
    <t xml:space="preserve"> Extensively used as dhal for its protein
content.
i Leaf juice is given as Stomachic and
Laxative.</t>
  </si>
  <si>
    <t>Cichorium intybus</t>
  </si>
  <si>
    <t>Kasani</t>
  </si>
  <si>
    <t>Kasini keerai</t>
  </si>
  <si>
    <t>Wild chicory</t>
  </si>
  <si>
    <t>Kasini vittulu</t>
  </si>
  <si>
    <t>Munnchatti</t>
  </si>
  <si>
    <t>Kasni</t>
  </si>
  <si>
    <t>An erect perennial herb with tender branches. Leaves cordate, amplexicaul, rough and rectangular with a unpleasant odour. Flower in head inflorescence blue in colour turning to fady white, homogamous. Fruits achene. Seeds white or grey and slightly bitter. Roots resemble cow's tail.</t>
  </si>
  <si>
    <t>Dyspepsia, Fever.</t>
  </si>
  <si>
    <t>Dropsy, Disordered menstruation.</t>
  </si>
  <si>
    <t>Liver disorders.</t>
  </si>
  <si>
    <t>Digestive, Stomachic, Tonic, Aperient, Diuretic, Alterative and Carminative.</t>
  </si>
  <si>
    <t>Cichorin, Apigenin, Scopoletin, Esculin, Umbelliferone, Quercetin, Arabinosides, Chlorogenic acid and Lactucin.</t>
  </si>
  <si>
    <t xml:space="preserve"> Decoction of the powdered seeds are used
in Disordered mensturation.
i Plant paste is applied externally in
Inflammatory affections for its cooling
properties.</t>
  </si>
  <si>
    <t>Cinnamomum camphora</t>
  </si>
  <si>
    <t>Karpoora</t>
  </si>
  <si>
    <t>Karpooram</t>
  </si>
  <si>
    <t>Camphor tree</t>
  </si>
  <si>
    <t>Karpooramu</t>
  </si>
  <si>
    <t>Karpoor</t>
  </si>
  <si>
    <t>A large handsome evergreen tree, bark externally rough, internally slimy. Leaves simple, chartaceous to sub coriaceous, alternate, yellowish green and glabrous. Flowers greenish yellow in axillary panicles. Fruits ovate, 1 seeded berries, globose and slightly fleshy.</t>
  </si>
  <si>
    <t>Fever, Eruptions, Measles, Delirium, Whooping Cough, Chronic bronchitis, Uterine pains, Respiratory disorders and Myalgia.</t>
  </si>
  <si>
    <t>Diaphoretic, Cardiac stimulant, Antiseptic, Narcotic, Antispasmodic, Sedative, Expectorant, Aphrodisiac, Carminative and Anodyne.</t>
  </si>
  <si>
    <t>Cymol, Camphoric acid, Terpeneol, Safrole, Mesityl oxide, Cinnamomol, Alcanfor, Kusunokinin, Selinene, Methyl vinyl ketone.</t>
  </si>
  <si>
    <t xml:space="preserve"> Camphor is taken internally for Gastritis
Cardiac stimulant and Respiratory
disorders.
i The essential oil from the tree is effective
in Inflammations, Bruises and Sprains
externally.</t>
  </si>
  <si>
    <t>Cinnamomum verum</t>
  </si>
  <si>
    <t>Twak</t>
  </si>
  <si>
    <t>Lavangappattai</t>
  </si>
  <si>
    <t>Cinnamon</t>
  </si>
  <si>
    <t>Lavangappatta</t>
  </si>
  <si>
    <t>Karuvappatta</t>
  </si>
  <si>
    <t>Dalchini</t>
  </si>
  <si>
    <t>A moderate sized evergreen tree, with reddish brown aromatic bark, having numerous small warts. Leaves simple, ovate, thick, leathery, subacute and glabrous. Main nerves 3-5 from petioles. Flowers minute in axillary or subterminal cymes or panicles. Fruits dark purple berry.</t>
  </si>
  <si>
    <t>Bronchitis, Asthma, Cephalalgia, Tooth ache, Vomiting, Flatulence, Urinary disorders,Restoring normal skin colour on face.</t>
  </si>
  <si>
    <t>Anorexia, Abdominal pain, Vomiting and Head ache.</t>
  </si>
  <si>
    <t>Aromatic, Astringent, Aphrodisiac, Deodorant Stimulant, Expectorant, Febrifuge, Diuretic, Anti bacterial, Anti fungal and Carminative</t>
  </si>
  <si>
    <t>Cinnamaldehyde, Cinnamic acid, Tannin, Eugenol, Cinnzeylanin, Triterpenes and Cinnzeylanol.</t>
  </si>
  <si>
    <t xml:space="preserve"> Cinnamon leaf oil is useful as liniment in Rheumatic pains, Head ache, Tooth ache.
i Bark, Ginger and Cardamum are giveninternally as a powder for Dyspepsia and Flatulence.</t>
  </si>
  <si>
    <t>Cissampelos pareira</t>
  </si>
  <si>
    <t>Laghu patha</t>
  </si>
  <si>
    <t>Pon musuttai</t>
  </si>
  <si>
    <t>Velvette-leaf pareira</t>
  </si>
  <si>
    <t>Adavi bankateega</t>
  </si>
  <si>
    <t>Malanthangi</t>
  </si>
  <si>
    <t>Arjori</t>
  </si>
  <si>
    <t>Perennial climber, leaves orbicular or reniform with a cordate base. Flowers greenish yellow, male flowers axillary, fascicled pilose cyme or panicle, female flowers in long pedunculous raceme bearing large reniform bracts. Fruits drupe, small, ovoid, subglobose compressed, scarlet red and hirsute. Seeds horse-shoe shaped.</t>
  </si>
  <si>
    <t>Dyspepsia, Indigestion, Abdominal pain, Blood disorders, Cystitis, Migraine, Leucorrhoea, Gonorrhoea, Leprosy, Lactation disorders</t>
  </si>
  <si>
    <t>Eye troubles, Skin ailments, Burns, Wounds,Fever and Cold.</t>
  </si>
  <si>
    <t>Astringent, Anthelmintic, Stomachic, Carminative, Diuretic, Galactagogue, Expectorant, Emmenagogue and Febrifuge.</t>
  </si>
  <si>
    <t>Cissampeline, Bebeerine, Hayatidin, Hayatin, Quercetin,Sepeerine and Cycleanine.</t>
  </si>
  <si>
    <t xml:space="preserve"> Leaves are made into paste and applied
for Itching sores, Pimples, Boils and Sinus.
i Decoction of root is given in Stomach
ache, Indigestion and Renal stones.</t>
  </si>
  <si>
    <t>Cissus quadrangula</t>
  </si>
  <si>
    <t>Astisringala</t>
  </si>
  <si>
    <t>Pirandai</t>
  </si>
  <si>
    <t>Bone setter</t>
  </si>
  <si>
    <t>Nalleru</t>
  </si>
  <si>
    <t>Changalam paranta</t>
  </si>
  <si>
    <t>Hadjora</t>
  </si>
  <si>
    <t>Climbers which are fleshy with jointed stems. Stems slender dichotomously branched, sub angular, with 4 winged internodes and a leaf opposed persistant tendril. Some nodes are leafless when old. Leaves cordate reniform and serrate. Flowers small, greenish white, in umbellate cyme. Fruits berry, obovoid and succulent.</t>
  </si>
  <si>
    <t>Bone fractures.</t>
  </si>
  <si>
    <t>Scurvy, Otorrhoea, Asthma, Burns, Wounds and Broken bones, Bowel affections.</t>
  </si>
  <si>
    <t>Thermogenic, Laxative, Anthelmintic, Haemostatic, Depurative, Ophthalmic and Anodyne.</t>
  </si>
  <si>
    <t>Tetracyclic triterpenoids, Durabolin, Calcium, b-sitosterol, d- amyrone, d- amyrin &amp; Vitamin C.</t>
  </si>
  <si>
    <t xml:space="preserve"> Juice of the stem is useful in Scurvy and Irregular Menstruation.
i The stem paste is given internally and
applied externally for Bone fracture and
Complaints of spinal cord.</t>
  </si>
  <si>
    <t>Cissus setosa</t>
  </si>
  <si>
    <t>Manipirandai</t>
  </si>
  <si>
    <t>Hairy Wild Vine</t>
  </si>
  <si>
    <t>Barrebachhali</t>
  </si>
  <si>
    <t>Harmal</t>
  </si>
  <si>
    <t>Succulent climber with glandular bristly hairs. Leaves succulent having elliptic, forked leaflets with leaf opposed tendrils. Flowers cymes in scarlet red. Fruits Berry.</t>
  </si>
  <si>
    <t>Stimulant</t>
  </si>
  <si>
    <t xml:space="preserve"> Leaves toasted with oil is applied to
Ulcer and to expel Guinea worms.
i Leaves are applied externally as poultice
to promote suppuration in Indolent
tumours.</t>
  </si>
  <si>
    <t>Citrullus colocynthis</t>
  </si>
  <si>
    <t>Indravarooni</t>
  </si>
  <si>
    <t>Vari-thumatti</t>
  </si>
  <si>
    <t>Bitter cucumber</t>
  </si>
  <si>
    <t>Eetiputcha</t>
  </si>
  <si>
    <t>Pey-komutti</t>
  </si>
  <si>
    <t>Indrayan</t>
  </si>
  <si>
    <t>The herb is a creeper, it is rough and hairy. Leaves are ovate, serrated and palmately compound. Flowers arise from same stalk, yellowish and bell shaped, both male and female flowers are present in the same plant. Fruits smooth with stripes on it, greenish when raw. Seeds greyish black.</t>
  </si>
  <si>
    <t>Ascites, Tumour, Infertility</t>
  </si>
  <si>
    <t>Helminthiasis</t>
  </si>
  <si>
    <t>Ascites, Fever, Jaundice, Rheumatoid arthritis, Diabetes, and Asthma.</t>
  </si>
  <si>
    <t>Purgative, Anti-inflammatory, Antiseptic, Anti-dote and Hair tonic</t>
  </si>
  <si>
    <t>Colocynthin, Glucoside, Colocynthetin, Tet racyclic t r iterpene, Cit rullinol, Citrullonol, Myristic, Palmitic, Stearic and Oleic acid.</t>
  </si>
  <si>
    <t xml:space="preserve"> Equal parts of root and long pepper are
given as pills for Rheumatism.
i Root paste is applied to the Enlarged
abdomen of caildren.</t>
  </si>
  <si>
    <t>Citrullus lanatus</t>
  </si>
  <si>
    <t>Chaya-pula</t>
  </si>
  <si>
    <t>Dharboosani</t>
  </si>
  <si>
    <t>Water melon</t>
  </si>
  <si>
    <t>Darbuje</t>
  </si>
  <si>
    <t>Thannimathan</t>
  </si>
  <si>
    <t>Tarbuz</t>
  </si>
  <si>
    <t>A large creeping annual with angular branching stems. Leaves palmately compound and petiolate. Axillary buds are modified into tendrils. Flowers axillary monoecious cymes. Fruits large globose watery berry. Seeds black and compressed, numerous.</t>
  </si>
  <si>
    <t>Strangury, Gonorrhoea &amp; other urinary tract issues</t>
  </si>
  <si>
    <t>Typhus fever</t>
  </si>
  <si>
    <t>Sweet, Coolant, Aphrodisiac, Astringent, Demulcent, Diuretic and Vermifuge</t>
  </si>
  <si>
    <t>Citrullin, Spinasterol, Stigmastatrienol, and Stigmastadienol.</t>
  </si>
  <si>
    <t xml:space="preserve"> Fruit is taken internally for its good taste
and water content in summer season.
i Fruit juice is taken internally to cure
Urinary tract infections.</t>
  </si>
  <si>
    <t>Citrus aurantium</t>
  </si>
  <si>
    <t>Brihatjambhira</t>
  </si>
  <si>
    <t>Kadarankai</t>
  </si>
  <si>
    <t>Citron</t>
  </si>
  <si>
    <t>Madiphalam</t>
  </si>
  <si>
    <t>Gilam</t>
  </si>
  <si>
    <t>Baranimbu</t>
  </si>
  <si>
    <t>A small sized tree with short indistinct trunk, spines sharp and large. Leaves unifoliately compound, oval, oblong, petiole generally winged. Flowers larger and more strongly scented, axillary in compact clusters of 3- 10 white cymes. Fruits aromatic hesperidium, lemon yellow, rough or warty. Seeds oval and numerous.</t>
  </si>
  <si>
    <t>Gastric troubles, Biliousness.</t>
  </si>
  <si>
    <t>Gastric troubles</t>
  </si>
  <si>
    <t>Blood purifier, Appetiser, Carminative, Refrigerant and Febrifuge</t>
  </si>
  <si>
    <t>D-limonine, Geraniol, Geranyl acetate, Citrol, pinene, Limonene, Citronellol, Decanol and Phellandrene and Terpeneol.</t>
  </si>
  <si>
    <t xml:space="preserve"> The fruit juice is taken internally for
Gastritis.
i The fruit juice is taken internally for Loss
of appetite, Constipation and Fatigue.</t>
  </si>
  <si>
    <t>Citrus decumana</t>
  </si>
  <si>
    <t>Mahanimbu</t>
  </si>
  <si>
    <t>Bombalimas</t>
  </si>
  <si>
    <t>Pummelo</t>
  </si>
  <si>
    <t>Pampalamasam</t>
  </si>
  <si>
    <t>Bambitinarakam</t>
  </si>
  <si>
    <t>Sadaphal</t>
  </si>
  <si>
    <t>A small sized tree with spines. Leaves unifoliately compound with winged petiole, leaflets large. Flowers large white in axillary cymes. Fruits large, pale yellow, globose or pyriform, pulp varying in colour.</t>
  </si>
  <si>
    <t>Epilepsy, Convulsive cough</t>
  </si>
  <si>
    <t>Vomiting, Diarrhoea and Headache.</t>
  </si>
  <si>
    <t>Headache</t>
  </si>
  <si>
    <t>Nutritive, Refrigerant, Cardiotonic, Aromatic Anti bacterial and Anthelmintic.</t>
  </si>
  <si>
    <t>Citpressine I&amp;II, Citracridone I&amp;II, Coumarine, N-methylatanine, b-sitosterol, Glycocitrine-I, Prenyl citpressine and Preskimmianine.</t>
  </si>
  <si>
    <t xml:space="preserve"> Outer part of rind is bitter and aromatic
and makes an excellent Cardiac tonic.
i Seed powder is given internally for
Lumbago.</t>
  </si>
  <si>
    <t>Citrus medica</t>
  </si>
  <si>
    <t>Brihat nimbuka</t>
  </si>
  <si>
    <t>Elumicchai</t>
  </si>
  <si>
    <t>Sour lime</t>
  </si>
  <si>
    <t>Nimma</t>
  </si>
  <si>
    <t>Chiru naranga</t>
  </si>
  <si>
    <t>Kaghzi nimbu</t>
  </si>
  <si>
    <t>An evergreen small tree, usually armed with spines. Leaves alternate, unifoliate, coriaceous with winged petiole. Flowers axillary, solitary, fascicled small cymes. Fruits hesperidium. Seeds many.</t>
  </si>
  <si>
    <t>Vomiting, Giddiness, Indigestion, Dysentery and Colic.</t>
  </si>
  <si>
    <t>Antiscorbutic, Refrigerant, Rubefacient, Carminative, Stomachic.</t>
  </si>
  <si>
    <t>Citric acid, Citrene, Citrol, Citronellal, Phosphoric and Malic acids, Coumarin-5, 7-dimethoxy coumar in, Ergosterol, 1,3-glucan hydrolase and Hesperidin.</t>
  </si>
  <si>
    <t xml:space="preserve"> Fruit juice with water and salt is given in Giddiness and Nausea
i Fruit juice with salt and sugar is given internally for Dehydration and Elecrolyte imbalance.</t>
  </si>
  <si>
    <t>Citrus reticulata</t>
  </si>
  <si>
    <t>Sweda naringi</t>
  </si>
  <si>
    <t>Kamalaranj</t>
  </si>
  <si>
    <t>Loose skinned orange</t>
  </si>
  <si>
    <t>Kamalapandu</t>
  </si>
  <si>
    <t>Madhunarakam</t>
  </si>
  <si>
    <t>Khatta</t>
  </si>
  <si>
    <t>An evergreen small sized spiny tree. Leaves unifoliately compound, lanceolate with prominent midrib, petiole winged and articulated. Inflorescence an axillary cyme. Flowers white, single or in unbranched inflorescence. Fruits hesperidium, yellow reddish orange. Seeds small and beaked.</t>
  </si>
  <si>
    <t>Refrigerant, Stomachic, Tonic, Astringent and Carminative.</t>
  </si>
  <si>
    <t>Citric acid, Limonene, Geraniol , Campesterol, Stigmasterol, b-sitosterol, Nobilitin, Limonin, Ponkanetin, Cholesterol, 6,7,-dimethoxy coumarine and 5-demethyl nobiletin.</t>
  </si>
  <si>
    <t xml:space="preserve"> Juice of the fruit is taken internally to control Vomiting and to cure troubles.
 i Juice of the fruit is taken as a good Tonic</t>
  </si>
  <si>
    <t>Cleome viscosa</t>
  </si>
  <si>
    <t>Pasugandha</t>
  </si>
  <si>
    <t>Naai kadugu</t>
  </si>
  <si>
    <t>Dog mustard</t>
  </si>
  <si>
    <t>Kukka vamintha</t>
  </si>
  <si>
    <t>Aryaval</t>
  </si>
  <si>
    <t>Jangli hur-hur</t>
  </si>
  <si>
    <t>An annual pungent and sticky herb. Leaves simple, 3-9 foliate. whole plant is viscous with stalked glands. Flowers in racemose inflorescence, either terminal or axillary and yellow in colour. Fruits capsule, oblong or linear.</t>
  </si>
  <si>
    <t>Carminative, Anthelmintic, Antiseptic, Rubefacient and Vesicant.</t>
  </si>
  <si>
    <t>Cleomiscosin A,B,C,D, Cleomeoside, Viscocic acid, Docosanoic acid, Cleomaldeic acid, Linoleic acid, Eriodictyol-5-rhamnoside, Kaempferide-3-glucuronide and Viscosin.</t>
  </si>
  <si>
    <t xml:space="preserve"> Leaf juice is used as ear drops for Ear ache. An annual pungent and sticky herb. Leaves simple, 3-9 foliate. 
whole plant is viscous with stalked glands. Flowers in racemose inflorescence, either terminal or axillary and yellow in colour.
 Fruits capsule, oblong or linear. i The fresh leaf juice is taken orally for Tooth ache.</t>
  </si>
  <si>
    <t>Clerodendrum inerme</t>
  </si>
  <si>
    <t>Khudra agnimanta</t>
  </si>
  <si>
    <t>Sanganguppi</t>
  </si>
  <si>
    <t>Garden quinine</t>
  </si>
  <si>
    <t>Pishinika</t>
  </si>
  <si>
    <t>Nir-notijil</t>
  </si>
  <si>
    <t>Binjoam</t>
  </si>
  <si>
    <t>A straggling foetid shrub. Leaves opposite, simple, entire and glabrous. Flowers in axillary or terminal dichasial cyme, often leafy below. Fruits globose dry brown drupe, succulent or rarely dry. Seeds many.</t>
  </si>
  <si>
    <t>Tonic, Febrifuge, Expectorant, Antiperiodic, Antimicrobial, Alterative, Analgesic.</t>
  </si>
  <si>
    <t>Clerodendrin B,C, Clerodermic acid, Clerodin, Cleroinermin, Stigmasterol, Scutellarein, A pigenin, Brassicasterol and</t>
  </si>
  <si>
    <t>The leaves warmed in sesame oil and pounded with garlic and pepper are applied to Elephantiasis. 
i  The leaf juice is taken orally to relieve Muscular pains and Stiffness of legs.</t>
  </si>
  <si>
    <t>Clerodendrum multiflorum</t>
  </si>
  <si>
    <t>Agnimanta</t>
  </si>
  <si>
    <t>Thazhu-thazhai</t>
  </si>
  <si>
    <t>Clerodendron</t>
  </si>
  <si>
    <t>Thakkolamu</t>
  </si>
  <si>
    <t>Tirutali</t>
  </si>
  <si>
    <t>Arni</t>
  </si>
  <si>
    <t>A large shrub, leaves ovate or sub-rhomboid, obtuse or acute and dentate. Flowers white or pink in small dichotomous axillary cymes, forming a rounded terminal panicles. Fruits drupe, broadly ovoid, black when ripe.</t>
  </si>
  <si>
    <t>Measles, Gonorrhoea.</t>
  </si>
  <si>
    <t>Syphilis, Malaria, Stomach pain.</t>
  </si>
  <si>
    <t>Anti-inflammatory, Anthelmintic, Demulcent.</t>
  </si>
  <si>
    <t>Ceryl alcohol, Clerodin, Clerosterol, Clerodendrin A, D-mannitol, b-Scutellarein, Hispidulin, Pectolinarigenin and Luteolin.</t>
  </si>
  <si>
    <t xml:space="preserve">  Leaf juice with castor oil is given internally for Leucorrhoea and other Sexually transmitted diseases. 
i Roots are boiled in oil and externally applied for Muscular sprains.</t>
  </si>
  <si>
    <t>Clerodendrum serratum</t>
  </si>
  <si>
    <t>Bhargi</t>
  </si>
  <si>
    <t>Siru thekku</t>
  </si>
  <si>
    <t>Beetle killer root</t>
  </si>
  <si>
    <t>Gantu bharangi</t>
  </si>
  <si>
    <t>Chiru thekku</t>
  </si>
  <si>
    <t>Baranki</t>
  </si>
  <si>
    <t>A shrub, leaves opposite, simple, entire, elliptic, oblong, acuminate and coarsely serrate. Flowers blue or white in terminal panicles, often leafy below. Fruits globose drupe.</t>
  </si>
  <si>
    <t>Suppuration of boils, Snake bite.</t>
  </si>
  <si>
    <t>Anti-inflammatory, Appetiser, Expectorant, Anti-tussive</t>
  </si>
  <si>
    <t>Serratogenic acid, Queretaroic acid, Saponins, Ferulic acid, Arabinose and Scutellarein.</t>
  </si>
  <si>
    <t xml:space="preserve"> Root decoction is given internally for Asthma, Bronchitis and other Catarrhalaffections.
i Leaves are applied in the form of poultice to Hasten suppuration.</t>
  </si>
  <si>
    <t>Clitoria ternatea</t>
  </si>
  <si>
    <t>Aparajita</t>
  </si>
  <si>
    <t>Kodi-kakkanam</t>
  </si>
  <si>
    <t>Butterfly pea</t>
  </si>
  <si>
    <t>Sangupuvvu</t>
  </si>
  <si>
    <t>Shanku pushpam</t>
  </si>
  <si>
    <t>Aparajit</t>
  </si>
  <si>
    <t>Perennial twiner with slender, terete, downy stems. Leaves imparipinnate, leaflets 5-7 sub-coriaceous, elliptic and obtuse. Flowers blue or white and has standard, wing and keel petals, axillary or solitary cyme. Fruits flat pod. Seeds flattened 6-10, yellowish brown, subglobose</t>
  </si>
  <si>
    <t>Joint pains, Filariasis, Chronic bronchitis</t>
  </si>
  <si>
    <t>Eye diseases, Sore throat, Mucous disorders.</t>
  </si>
  <si>
    <t>Otalgia, Hepatopathic eruptions and Hectic fever.</t>
  </si>
  <si>
    <t>Refrigerant, Ophthalmic, Laxative, Diuretic, Intellect promoting, Anthelmintic, Depurative and Aphrodisiac.</t>
  </si>
  <si>
    <t>Taraxerol, Taraxerone, Cinnamic acid, Anthoxanthin, Palmitic, Stearic, Oleic, Linoleic acids, Nobilisine, Ternatins and Quercetin.</t>
  </si>
  <si>
    <t xml:space="preserve"> Seeds 7parts + Rock salt 7 Parts and dry ginger are powdered and given internally for Filariasis. 
i Leaf paste with salt is applied externally for Lymph adenitis.</t>
  </si>
  <si>
    <t>Coccinia grandis</t>
  </si>
  <si>
    <t>Bimbi</t>
  </si>
  <si>
    <t>Kovai</t>
  </si>
  <si>
    <t>Ivy gourd</t>
  </si>
  <si>
    <t>Donda keya</t>
  </si>
  <si>
    <t>Kovvai</t>
  </si>
  <si>
    <t>Kanduri</t>
  </si>
  <si>
    <t>Scandant climbing shrub. Leaves petiolate, entire to palmately lobed, minutely denticulate. Tendrils slender and axillary in position. Flowers dioecious, solitary and axillary. Fruits ellipsoid or fusiform, bright red berries. Seeds oblong, yellowish grey.</t>
  </si>
  <si>
    <t>Vomiting, Burning sensation, Diabetes, Uterine discharges.</t>
  </si>
  <si>
    <t>Skin diseases, Fever, Dysentery.</t>
  </si>
  <si>
    <t>Wounds, Inflammation, Helminthiasis, Jaundice and Diabetes.</t>
  </si>
  <si>
    <t>Coolant, Astringent, Depurative, Antipyretic, Febrifuge, Galactogogue and Expectorant.</t>
  </si>
  <si>
    <t>Jaundice and Diabetes. : Lupeol, Cephalandrol, b-sitosterol, Cryptoxanthin, Lycopenal, Lycopene, Xyloglucan, b-carotene, Taraxerol, Linoleic acid, Quercitin, Kaempferol and Xylan.</t>
  </si>
  <si>
    <t xml:space="preserve"> Leaf juice with coconut oil is boiled and applied for Scabies and Fungal infections.
i Juice of roots and leaves are given</t>
  </si>
  <si>
    <t>Cocculus hirsutus</t>
  </si>
  <si>
    <t>Jaliamni</t>
  </si>
  <si>
    <t>Kattukod</t>
  </si>
  <si>
    <t>Ink-berry</t>
  </si>
  <si>
    <t>Chipuru-tige</t>
  </si>
  <si>
    <t>Kattukodi</t>
  </si>
  <si>
    <t>Faridbel</t>
  </si>
  <si>
    <t>A straggling scandent shrub. Leaves simple, ovate, oblong, glabrous and petiolate. Male flowers in small axillary cymose panicles. Female flowers in axillary clusters of racemes. Fruits berry.</t>
  </si>
  <si>
    <t>Alterative, Laxative, Demulcent, Diuretic, Antiperiodic and Refrigerant.</t>
  </si>
  <si>
    <t>Protoquercitol, Triterpenoids, Cohirsine, Hirsudiol, Trilobine, Isotrilobine and Syringaresinol</t>
  </si>
  <si>
    <t xml:space="preserve"> Leaf decoction is given in Leucorrhoea and to treat Bed-wetting by children. 
i Mucilage from the plant with milk is taken internally to cure Spermatorrhoea.</t>
  </si>
  <si>
    <t>Cocos nucifera</t>
  </si>
  <si>
    <t>Narikela</t>
  </si>
  <si>
    <t>Thennai maram</t>
  </si>
  <si>
    <t>Coconut tree</t>
  </si>
  <si>
    <t>Kobbiri chettu</t>
  </si>
  <si>
    <t>Thenna</t>
  </si>
  <si>
    <t>Nariyal</t>
  </si>
  <si>
    <t>Stem slender, curved or straight, marked with ring like leaf scars. Leaves linear, uni-nerved, leaflets numerous linear to lanceolate. Inflorescence a compound spadix. Fruits drupe, green or yellow, the cavity contains a potable milky fluid.</t>
  </si>
  <si>
    <t>Uterine disorders.</t>
  </si>
  <si>
    <t>Burns, Hair growth.</t>
  </si>
  <si>
    <t>Refrigerant, Nutrient, Aperient, Diuretic and Anthelmintic.</t>
  </si>
  <si>
    <t>Leucine, Isoleucine, Furfural, Acetic acid, a-tocopherol, d-tocopherol, Free caprylic acid, Oleine, Caproic acid, P-hydroxy benzoic acid.</t>
  </si>
  <si>
    <t xml:space="preserve"> Milk of the kernel is applied and taken internally for Stomatitis and Throat infections
i Coconut oil with Hemidesmus juice is applied on Burns and Scalds</t>
  </si>
  <si>
    <t>Coffea arabica</t>
  </si>
  <si>
    <t>Milecha phala</t>
  </si>
  <si>
    <t>Kappikottai</t>
  </si>
  <si>
    <t>Coffee</t>
  </si>
  <si>
    <t>Kapi vittulu</t>
  </si>
  <si>
    <t>Bannu</t>
  </si>
  <si>
    <t>Kafi</t>
  </si>
  <si>
    <t>Shrubs, leaves opposite stipules broad, interpetiolar stipules are found, large and shining. Flowers in axillary fascicles. Fruits obovoid drupe. Seeds concave or grooved ventrally.</t>
  </si>
  <si>
    <t>Stimulant, Anti soporific, Deodorant, Diuretic and Antipyretic.</t>
  </si>
  <si>
    <t>Caffeine, Caffeic acid, Caffeol, Cafestol, Niacin, Theophylline, Coffeo-tannic acid, Yohimbine, Xanthine, Chlorogenic acid, Hypoxanthine, Guanosine, Glucose proteids and volatile oil.</t>
  </si>
  <si>
    <t xml:space="preserve"> A strong infusion of black coffee is used as an Anti-soporific in case of poisoning suchas Opium and othernarcotic poison.
i Roasted coffee seeds are used as a Disinfectant and Deodorant.</t>
  </si>
  <si>
    <t>Colocasia esculenta</t>
  </si>
  <si>
    <t>Alukam</t>
  </si>
  <si>
    <t>Cheemai kizhangu</t>
  </si>
  <si>
    <t>Taro</t>
  </si>
  <si>
    <t>Chema dumpa</t>
  </si>
  <si>
    <t>Cheappan kizhangu</t>
  </si>
  <si>
    <t>Arvi</t>
  </si>
  <si>
    <t>Tuberous herbs with short stout caudex. Leaves ovate-suborbicular- cordate, wide, apex rounded and usually apiculate, basal sinus triangular, margins undulate, dark green with stout petiole. Inflorescence a spadix, peduncles much shorter, solitary or clustered. Fruits oblong berries.</t>
  </si>
  <si>
    <t>Styptic, Stimulant, Rubefacient.</t>
  </si>
  <si>
    <t>Lipoxygenase, Dihydroxysterol, b-sitosterol, Essential amino acids, Amylose and Stigmasterol.</t>
  </si>
  <si>
    <t xml:space="preserve">  Leaves with tamarind leaves are cookedand eaten for Piles.
i Leaves are cooked and eaten for lowering the post prandial blood glucose level in Diabetic condition.</t>
  </si>
  <si>
    <t>Commelina benghalensis</t>
  </si>
  <si>
    <t>Kanchata</t>
  </si>
  <si>
    <t>Kanam vazhai</t>
  </si>
  <si>
    <t>Blue spider wort</t>
  </si>
  <si>
    <t>Kanchiramu</t>
  </si>
  <si>
    <t>Kanavazhai</t>
  </si>
  <si>
    <t xml:space="preserve"> Kanchara</t>
  </si>
  <si>
    <t>A creeping herb. Stem long slender and false. Leaves simple, linear, ovate or oblong, sessile and entire. Flowers produced in 2 to 3 flowered blue coloured cymes. Fruits pyriform capsules.</t>
  </si>
  <si>
    <t>Refrigerant, Aphrodisiac, Laxative and Febrifuge</t>
  </si>
  <si>
    <t>n-octacosanol, n-triacontanol, Stigmasterol, Stigmasitosterol and Campesterol</t>
  </si>
  <si>
    <t xml:space="preserve"> The leaves are cooked and eaten to increase Sperm count. 
I The plant is used for Eye diseases.</t>
  </si>
  <si>
    <t>Commiphora mukul</t>
  </si>
  <si>
    <t>Guggulu</t>
  </si>
  <si>
    <t>Indian bedellium tree</t>
  </si>
  <si>
    <t>Guggal</t>
  </si>
  <si>
    <t>Guggula</t>
  </si>
  <si>
    <t>Gugal</t>
  </si>
  <si>
    <t>Trees, leaves alternate, compound, leaflets sessile to sub sessile. Flowers brownish with five petals, polygamous, small fascicled or in paniculate dichasial cyme. Fruits ovoid, fleshy drupe.</t>
  </si>
  <si>
    <t>Anti-inflammatory, Analgesic, Nervine tonic, Anti-bacterial, Uterine tonic, Emmenagogue and Stimulant.</t>
  </si>
  <si>
    <t>Steroids, Aliphatic tetrol, Cemdrene, Mukulol, camphorene, Guggulsterol, Terpenoids.</t>
  </si>
  <si>
    <t xml:space="preserve"> The resin with alcohol, egg white are mixed and applied on joints for Arthritis.
i Resin powder with sugar is given  internally for Dysentery in children.</t>
  </si>
  <si>
    <t>Corallocarpus epigaeus</t>
  </si>
  <si>
    <t>Patala garuda</t>
  </si>
  <si>
    <t>Aakasa garudan</t>
  </si>
  <si>
    <t>Bryoms</t>
  </si>
  <si>
    <t>Naga donda</t>
  </si>
  <si>
    <t>Kollankova kizhanna</t>
  </si>
  <si>
    <t>Akashgaddah</t>
  </si>
  <si>
    <t>A thick stemmed perennial climber from a large tuberous root stock, tendrils simple. Leaves rough and variable in their lobes. Flowers minute monoecious in small crowded racemes on long peduncles, solitary, short peduncled from the same axils. Fruits ovoid, beaked, fleshy berry. Seeds few obovoid, brown or Orange.</t>
  </si>
  <si>
    <t>Bitter, Alterative, Tonic, Aperient, Emetic.</t>
  </si>
  <si>
    <t>Bryonin, Cucurbitacin B</t>
  </si>
  <si>
    <t xml:space="preserve"> The powder of the root tuber is useful in Dysentery. 
i Tubers, onion and cumin seeds are made into a paste and boiled in castor oil is applied for Arthritis</t>
  </si>
  <si>
    <t>Cordia myxa</t>
  </si>
  <si>
    <t>Sleshmataka</t>
  </si>
  <si>
    <t>Naruvili</t>
  </si>
  <si>
    <t>Earth quake tree</t>
  </si>
  <si>
    <t>Bankanakkera</t>
  </si>
  <si>
    <t>Naruviri</t>
  </si>
  <si>
    <t>Bara lasora</t>
  </si>
  <si>
    <t>Trees, leaves alternate, white tomentose below, petioled, entire or toothed. Flowers polygamous and in dichotomous corymbose cymes. Fruits ovoid, ellipsoid drupe with viscid pulp.</t>
  </si>
  <si>
    <t>Poisoning, Ulcers, Otorrhoea, Dysentery and Intestinal worms.</t>
  </si>
  <si>
    <t>Haematemesis, Dry cough, Rhinorrhoea, Nephritis, Azoospermia and Fever.</t>
  </si>
  <si>
    <t>Antidote, Anti-ulcerogenic.</t>
  </si>
  <si>
    <t>Cordoressic acid, b-sitosterol, Protein, Palmitic, Stearic and Oleic acids.</t>
  </si>
  <si>
    <t xml:space="preserve"> The Mucilage from the fruit is useful in Diseases of uterus and urethra. 
i Bark juice in coconut milk relieves Severe colic pains.</t>
  </si>
  <si>
    <t>Coriandrum sativum</t>
  </si>
  <si>
    <t>Dhanyaka</t>
  </si>
  <si>
    <t>Kothamalli</t>
  </si>
  <si>
    <t>Coriander</t>
  </si>
  <si>
    <t>Kothimeera</t>
  </si>
  <si>
    <t>Kottam palar</t>
  </si>
  <si>
    <t>Dhania</t>
  </si>
  <si>
    <t>A small herb having many branches and sub-branches. New leaves are oval but older leaves are elongated with many small lobes. Inflorescence an umbel. Flowers small and white. Fruits round and divided into mericarps.</t>
  </si>
  <si>
    <t>Flatulent colic, Rheumatism, Neuralgia</t>
  </si>
  <si>
    <t>Sore throat, Flatulence, Indigestion, Vomiting, Neuralgia, Chronic conjunctivitis, Spermatorrhoea, Leucorrhoea &amp; Cephalalgia.</t>
  </si>
  <si>
    <t>Coolant, Diuretc, Laxative and Digestive</t>
  </si>
  <si>
    <t>Coriandrone A&amp;B, Coriandrin, Coriandrol, 1-pinene, Umbelliferone, b-caryophyllinine, Scopoletin, Limonin, Phellandrene, Chlorogenic acid and b-sitosterol</t>
  </si>
  <si>
    <t xml:space="preserve"> A strong decoction of seeds with milk and sugar is given in Bleeding Piles, Indigestion and Flatulence.
i Juice of the fresh plant is used as an application to Erythema.</t>
  </si>
  <si>
    <t>Costus speciosus</t>
  </si>
  <si>
    <t>Kemuka</t>
  </si>
  <si>
    <t>Koshtam</t>
  </si>
  <si>
    <t>Costus root</t>
  </si>
  <si>
    <t>Chengalva kosta</t>
  </si>
  <si>
    <t>Channa koova</t>
  </si>
  <si>
    <t>Kenaa</t>
  </si>
  <si>
    <t>An erect succulent, tuberous herb with horizontal root stock. Stem spirally twisted, so the leaves are spirally arranged. Leaves simple, oblong, lanceolate, acuminate, glabrous above and silky pubescent beneath. Flowers white in dense spikes. Fruits globose, ovoid, dehiscent trigonous red capsule. Seeds ovoid subglobose, black with white aril</t>
  </si>
  <si>
    <t>Anthelmintic, Aphrodisiac, Astringent, Depurative and Digestive.</t>
  </si>
  <si>
    <t>a-amyrin, Lupeol palmitate, Tigogenin, Diosgenin, Saponins, b-sitosterol &amp; Glucoside</t>
  </si>
  <si>
    <t xml:space="preserve"> i Root juice is a strengthening tonic and is also used as an Anthelmintic. 
The fractions of rhizome is given as Smooth muscle relaxant, Antispasmodic and Cardiotonic</t>
  </si>
  <si>
    <t>Crataeva magna</t>
  </si>
  <si>
    <t>Varuna</t>
  </si>
  <si>
    <t>Maavilingam</t>
  </si>
  <si>
    <t>3 leaved caper</t>
  </si>
  <si>
    <t>Uskia</t>
  </si>
  <si>
    <t>Nirvala</t>
  </si>
  <si>
    <t>Tapia</t>
  </si>
  <si>
    <t>A small tree, leaves digitately trifoliate. Flowers large, polygamous and found in terminal corymbs, filaments purple. Fruits globose berry.</t>
  </si>
  <si>
    <t>Urinary calculi, Dysuria, Pain in the bladder.</t>
  </si>
  <si>
    <t>Rheumatism, Swelling, Burning sensation of foot</t>
  </si>
  <si>
    <t>Lymph adenopathy, Abscess, Distension of bladder, Inflammation, Liver Complaints.</t>
  </si>
  <si>
    <t>Lithontriptic, Laxative, Emmenagogue, Rubefacient and Aperient.</t>
  </si>
  <si>
    <t>b-sitosterol, Glucocapparin, Ceryl alcohol, Cetyl alcohol,Auric, Stearic, Oleic &amp; Linolenic acids, Friedalin and Triacontane.</t>
  </si>
  <si>
    <t xml:space="preserve"> Bark and Boerhavia plant are made into decoction and given internally for Renal stones and Hydrocele.
i The owdered bark is specially useful in Urinary  complaints and Bladder stones</t>
  </si>
  <si>
    <t>Crinum asiaticum</t>
  </si>
  <si>
    <t>Nagadamani</t>
  </si>
  <si>
    <t>Vishamoongil</t>
  </si>
  <si>
    <t>Poison-bulb</t>
  </si>
  <si>
    <t>Kesarichettu</t>
  </si>
  <si>
    <t>Vishamula</t>
  </si>
  <si>
    <t>Pindar</t>
  </si>
  <si>
    <t>A bulbous herb, leaves linear lanceolate, shortly acuminate long, flat, narrow with sheathing leaf base. Flowers white in umbels. Fruits sub globose, capsule bursting irregularly, 1-2 seeded.</t>
  </si>
  <si>
    <t xml:space="preserve">Wounds, Rheumatism </t>
  </si>
  <si>
    <t>Skin diseases, Inflammations, Sprain, Whitlow</t>
  </si>
  <si>
    <t>Diuretic, Emmenagogue, Expectorant, Aphrodisiac, and Antipyretic.</t>
  </si>
  <si>
    <t>Isocraugsodine and Lycorine</t>
  </si>
  <si>
    <t xml:space="preserve"> i Roasted bulb is used as a rubefacient in Rheumatism. 
Freshly cut leaves is applied on Sores and Scabies.</t>
  </si>
  <si>
    <t>Crocus sativus</t>
  </si>
  <si>
    <t>Kumkuma</t>
  </si>
  <si>
    <t>Kungumap poo</t>
  </si>
  <si>
    <t>Saffron</t>
  </si>
  <si>
    <t>Kumkuma poova</t>
  </si>
  <si>
    <t>Kunguma poo</t>
  </si>
  <si>
    <t>Kesar</t>
  </si>
  <si>
    <t>A shrub, leaves are seen towards the base of the stem and compactly arranged. Flowers solitary or in clusters violetish, there are 3 fibres in a gynoecium. Seeds roundish and has red stigma.</t>
  </si>
  <si>
    <t>Stimulant, Aphrodisiac, Stomachic, Slightly anodyne, Anti-spasmodic and Emmenagogue.</t>
  </si>
  <si>
    <t>Crocin I &amp; II, a-crocetin, B-crocetin, Quercetin, Kaempferol, Anthocyanin, Delphinidin, Myricetin, Carotenoid glycosides, Picrocrocein and Helichrysoside</t>
  </si>
  <si>
    <t xml:space="preserve"> In small doses, Saffron is given with ghee to children in Looseness of bowels. 
i Externally Saffron is used in Head ache and Superficial sores in the form of paste</t>
  </si>
  <si>
    <t>Crotalaria retusa</t>
  </si>
  <si>
    <t>Sanapushpi</t>
  </si>
  <si>
    <t>Sanal</t>
  </si>
  <si>
    <t>Bengal hemp</t>
  </si>
  <si>
    <t>Potti giligicha</t>
  </si>
  <si>
    <t>Janapa</t>
  </si>
  <si>
    <t>San</t>
  </si>
  <si>
    <t>Shrubs, leaves simple, glabrous on the upper surface and short petioled. Flowers in raceme inflorescence and elongated. Fruits pod, narrowed at the</t>
  </si>
  <si>
    <t>Aphrodisiac, Astringent, Stimulant, Diuretic, Resolvent, Expectorant and Diaphoretic.</t>
  </si>
  <si>
    <t>Methyl ester, Tri decanoate, Myristate, Lactonate, Palmitate, Stearate, Oleate, Linoleate, Linolenate, Monocrotalin, Spectabiline and Retusine.</t>
  </si>
  <si>
    <t xml:space="preserve"> Bitter leaves are used externally and internally in the form of infusion cures Gastric and Bilious fever. 
i Seed powder mixed with oil is used to make the Hair glow</t>
  </si>
  <si>
    <t>Crotalaria verrucosa</t>
  </si>
  <si>
    <t>Sana puspi</t>
  </si>
  <si>
    <t>Vatta kilukiluppai</t>
  </si>
  <si>
    <t>Flax hemp</t>
  </si>
  <si>
    <t>Chinna giligicha</t>
  </si>
  <si>
    <t>Kilukiluppai</t>
  </si>
  <si>
    <t>Jhan-Jhania</t>
  </si>
  <si>
    <t>A much branched undershrub, stems and branches are angular and herbaceous. Leaves simple, rhomboid, almost glabrous. Flowers nearly blue, terminal or leaf opposed in raceme inflorescence. Fruits pod, oblong. Seeds 10 or more, shiny.</t>
  </si>
  <si>
    <t>Expectorant, Emetic and Anti inflammatory.</t>
  </si>
  <si>
    <t>Crotaverrine, O-acetyl-crotaverrine, Ricinoleic acid, Racemic lactone acid, Propionic acid, and b-sitosterol.</t>
  </si>
  <si>
    <t xml:space="preserve"> i Leaves are made into paste and applied for Scabies and Wounds. 
The decoction of the leaf is given internally for Stomatitis.</t>
  </si>
  <si>
    <t>Croton tiglium</t>
  </si>
  <si>
    <t>Jaya pala</t>
  </si>
  <si>
    <t>Nervalam</t>
  </si>
  <si>
    <t>Purging croto</t>
  </si>
  <si>
    <t>Nepalamu</t>
  </si>
  <si>
    <t>Naervalam</t>
  </si>
  <si>
    <t>Jamal gotta</t>
  </si>
  <si>
    <t>Trees, leaves alternate, rarely opposite or whorled. Side ribs of leaves are prominent. Leaves membranous, ovate, acuminate serrate, glabrous broad and petiolate. Flowers small, the males on slender, glabrous, pedicels and females on larger, short, thick and densely stellate pedicels. Fruits capsule.</t>
  </si>
  <si>
    <t>Apoplexy, Convulsion and Insanity.</t>
  </si>
  <si>
    <t>Dropsy, Obstinate constipation, Blood poisoning and Chronic bronchitis.</t>
  </si>
  <si>
    <t>Purgative, Vermifuge, Vesicant &amp; Laxative</t>
  </si>
  <si>
    <t>Croton albumin, Croton globulin, Tiglinic acid, Crotonol, Crotonoleic acid, b-sitosterol, Phorbol esters, Crotin II and Crotonoside.</t>
  </si>
  <si>
    <t xml:space="preserve"> Seeds are rubbed with Lemon juice and applied for Alopecia.
i Seeds are roasted over a lamp or candle flame and  the smoke is inhaled for Asthma.</t>
  </si>
  <si>
    <t>Cucumis melo</t>
  </si>
  <si>
    <t>Kalinga</t>
  </si>
  <si>
    <t>Vellari pazham</t>
  </si>
  <si>
    <t>Musk melon</t>
  </si>
  <si>
    <t>Velipandu</t>
  </si>
  <si>
    <t>Valuk</t>
  </si>
  <si>
    <t>Khurbuj</t>
  </si>
  <si>
    <t>A trailing creeper, tendrils simple and axillary. Leaves entire, palmately lobed, dentate or serrate. Flowers yellow, monoecious, short peduncled. Male flowers in clusters in the axils, female solitary. Fruits globose, ovoid, large berry.</t>
  </si>
  <si>
    <t>Painful discharge and Suppression of urine.</t>
  </si>
  <si>
    <t>Eczema, Dyspepsia, Colic, Burning micturition.</t>
  </si>
  <si>
    <t>Nutritive, Demulcent, Refrigerant and Diuretic.</t>
  </si>
  <si>
    <t>Meloside A, Meloside L, Carotene, a-amyrin, b-amylase, Lupeol, Isomultiflorenol, Cycloartenol and Hypoxanthine.</t>
  </si>
  <si>
    <t xml:space="preserve"> The pulp of the fruit mixed with cumin seeds and sugar candy is a cood diet in hot season. 
i It is beneficial as a lotion in Chronic and Acute eczema</t>
  </si>
  <si>
    <t>Cucumis sativus</t>
  </si>
  <si>
    <t>Sakusa</t>
  </si>
  <si>
    <t>Mullu-vellari</t>
  </si>
  <si>
    <t>Common cucumber</t>
  </si>
  <si>
    <t>Dosekay</t>
  </si>
  <si>
    <t>Mullan vellari</t>
  </si>
  <si>
    <t>Kankri</t>
  </si>
  <si>
    <t>A creeper, tendrils simple. Leaves entire or palmately lobed, dentate or serrate. Flowers yellow, monoecious. Fruits with few scattered tubercular prickles, cylinderic and yellowish green. Flowers in fascicles. Fruits large berry.</t>
  </si>
  <si>
    <t>Diseases of bladder and urethra, Seminal weakness.</t>
  </si>
  <si>
    <t>Diuretic in strangury, Intermittent fevers and Sun stroke.</t>
  </si>
  <si>
    <t>Nutrient, Demulcent, Diuretic.</t>
  </si>
  <si>
    <t>Cycloartenol acetate, Spinasterol, Palmitic, Stearic, Oleic acids, Sitosterol and Stigmastarien-3-ol.</t>
  </si>
  <si>
    <t xml:space="preserve"> Leaves boiled and mixed with cumin seed powder is given internally for Throat affections.
 i The fruit is edible and best Diuretic.</t>
  </si>
  <si>
    <t>Cucurbita maxima</t>
  </si>
  <si>
    <t>Dadhi phala</t>
  </si>
  <si>
    <t>: Parangi kai</t>
  </si>
  <si>
    <t>Pumpkin</t>
  </si>
  <si>
    <t>Gummadi kayi</t>
  </si>
  <si>
    <t>Chakkera kumpalan</t>
  </si>
  <si>
    <t>Khasi phala</t>
  </si>
  <si>
    <t>A large creeper with pubescent stem and leaves. Leaves lobed palmately, petiolate and hairy. Flowers monoecious and yellow in colour. Fruits large lined berry compressed top to bottom.</t>
  </si>
  <si>
    <t>Tape worm infestation.</t>
  </si>
  <si>
    <t xml:space="preserve"> Seed powder is given with sugar at bed time, followed by a dose of castor oil next morning relieves Tape worms 
i Dried pulp of the fruit is a remedy in Haemoptysis and Haemorrhages from pulmonary organs.
</t>
  </si>
  <si>
    <t>Cuminum cyminum</t>
  </si>
  <si>
    <t>Jeeraka</t>
  </si>
  <si>
    <t>Cumin seeds</t>
  </si>
  <si>
    <t>Jeela-kara</t>
  </si>
  <si>
    <t>Jeerakam</t>
  </si>
  <si>
    <t>Zeera</t>
  </si>
  <si>
    <t>A small aromatic herb. Leaves small, finely dissected and linear. Flowers in axillary or terminal umbels, white in colour. Fruits cylindrical, grey in colour.</t>
  </si>
  <si>
    <t>Hoarseness of voice, Dyspepsia, Chronic diarrhoea, Scorpion sting, Bilious nausea in pregnancy, Hiccough and Loss of appetite.</t>
  </si>
  <si>
    <t>Gonorrhoea and High coloured urine.</t>
  </si>
  <si>
    <t>Bites of venomous insects.</t>
  </si>
  <si>
    <t>Carminative, Aromatic, Stomachic, Stimulant, Cooling and Astringent.</t>
  </si>
  <si>
    <t>Cuminol, Cymene, Neutral lipids, Apigenin 7-O-glucoside, Phospholipid, Luteolin-7-O glucoside, Glycolipid and Triglycerides.</t>
  </si>
  <si>
    <t xml:space="preserve">Seeds mixed with lime juice is administered in case of Bilious Nausea in pregnant women.Decoction of seeds is taken internally for   
Indigestion, Vomiting and Flatulence </t>
  </si>
  <si>
    <t>Curculigo orchioides</t>
  </si>
  <si>
    <t>Musali</t>
  </si>
  <si>
    <t>Nila panai kizhangu</t>
  </si>
  <si>
    <t>Black musali</t>
  </si>
  <si>
    <t>Naelatadi chettu</t>
  </si>
  <si>
    <t>Neela panan kizhangu</t>
  </si>
  <si>
    <t>Musali kand</t>
  </si>
  <si>
    <t>Perennial herbs, root stock stout or elongate, cylindric and fleshy. Leaf base is sessile or narrowed into short or long petioles, linear, lanceolate, membranous and plicate. Flowers bright yellow in small raceme. Fruits capsule, oblong and hairy. Seeds ovoid.</t>
  </si>
  <si>
    <t>Emollient, Demulcent, Diuretic, Appetiser, Aphrodisiac, Depurative, Antipyretic and Tonic.</t>
  </si>
  <si>
    <t>Lycorine, Yuccagenin, Curculigosaponin, Saponin, Phenolic glycosides, Triterpenes, Hentriacontanol and Cycloartinol.</t>
  </si>
  <si>
    <t xml:space="preserve">Root paste is given with warm milk in Gonorrhoea, Menorrhagia and Leucorrhoea . The root powder with sugar and milk is taken internally cures Piles, Asthma,  
     Jaundice and Diarrhoea. </t>
  </si>
  <si>
    <t>Curcuma amada</t>
  </si>
  <si>
    <t>Amrardrakam</t>
  </si>
  <si>
    <t>Maavadu inji</t>
  </si>
  <si>
    <t>Mango ginger</t>
  </si>
  <si>
    <t>Mamidi allam</t>
  </si>
  <si>
    <t>Mangai inji</t>
  </si>
  <si>
    <t xml:space="preserve"> Am haldi</t>
  </si>
  <si>
    <t>A bulbous, aromatic herb, rhizome pale yellow in colour. Leaves found in tuft, oblong to lanceolate and tapering at both the ends petiole is long. Flowers in spike. Fruits dehiscent globose 3 valved capsule. Seeds ovoid.</t>
  </si>
  <si>
    <t>Carminative, Coolant, Aromatic, Bitter, Stomachic and Astringent.</t>
  </si>
  <si>
    <t>Curcumene,a-pinene, Camphor, Phytosterol and 1-a-curcumin</t>
  </si>
  <si>
    <t>Tubers rubbed with leaf juice of Caesalpinia bonduc is given for Worms. Paste of the rhizome is externally applied for Skin diseases</t>
  </si>
  <si>
    <t>Curcuma aromatica</t>
  </si>
  <si>
    <t>Vanaharidra</t>
  </si>
  <si>
    <t>Kasturi manjal</t>
  </si>
  <si>
    <t>Wild turmeric</t>
  </si>
  <si>
    <t>Kasturi Pasupa</t>
  </si>
  <si>
    <t>Kattu manjal</t>
  </si>
  <si>
    <t>Jangli haldi</t>
  </si>
  <si>
    <t>A herb, leaves elliptic or lanceolate cordate, acuminate, petioles long and pale green. Inflorescence a spike. Flowers are dense, bracteate, strobiliform. Fruits dehiscent globose capsule.</t>
  </si>
  <si>
    <t>Tonic, Stimulant and Carminative.</t>
  </si>
  <si>
    <t>Carotenoids, Flavoxanthin, Vitamin-C, b-spinasterol, Linoleic acid, b-tocopherol, and Cryptoxanthin.</t>
  </si>
  <si>
    <t>Seed powder is given with sugar at bed time, followed by a dose of castor oil next morning relieves Tape worms . Dried pulp of the fruit is a remedy in Haemoptysis and Haemorrhages from pulmonary organs</t>
  </si>
  <si>
    <t>Curcuma longa</t>
  </si>
  <si>
    <t>Haridra</t>
  </si>
  <si>
    <t>Manjal</t>
  </si>
  <si>
    <t>Turmeric</t>
  </si>
  <si>
    <t>Pasupu</t>
  </si>
  <si>
    <t>Haldi</t>
  </si>
  <si>
    <t>An erect perennial tall herb, root stock ovoid, tubers cylindrical, rhizomes branched, brownish white. Leaves simple, petiolate, oblong, lanceolate, apex acuminate, dark green above, dotted below, base tapering. Inflorescence a long spike, flowers pale yellow. Fruits rare</t>
  </si>
  <si>
    <t>Liver tonic, Antiseptic, Thermogenic, Appetiser, Depurative, Febrifuge,Ophthalmic, Stomachic and Carminative .</t>
  </si>
  <si>
    <t>Curcumin, Camphene, Isofuranogermacrone, Germacrone, Isoborneol, 1,8-cineole, Borneol and pinenes.</t>
  </si>
  <si>
    <t xml:space="preserve"> Dry rhizome powder with water is applied externally for Skin diseases. Rhizome is boiled in oil and applied for Sprains and Bruises.</t>
  </si>
  <si>
    <t>Curcuma zedoaria</t>
  </si>
  <si>
    <t>Kachura</t>
  </si>
  <si>
    <t>Kichili kizhangu</t>
  </si>
  <si>
    <t>Round white zedoary</t>
  </si>
  <si>
    <t>Kichili-gaddalu</t>
  </si>
  <si>
    <t>Pula-kizhangu</t>
  </si>
  <si>
    <t>A tuberous erect annual herb with false stem, root stock large, ovoid, tubers many. Leaves simple, linear, oblong to lanceolate, glabrous with sheathing leaf base. Flowers pale yellow in spike inflorescence, overlapped by red bracts. Fruits capsule, ovoid, trigonous. Seeds arillate.</t>
  </si>
  <si>
    <t>Stimulant, Expectorant, Diuretic and Aromatic.</t>
  </si>
  <si>
    <t>Curcumin, Turmarone, Terpenes, Curlone, Caryophyllene,Eugenol, Dihydro curcumin, Limonene, Diferuloyl methane, Camphene and Pinene</t>
  </si>
  <si>
    <t>Juice of the fresh rhizome is applied to Recent wounds and Leech bite</t>
  </si>
  <si>
    <t>Cycas circinalis</t>
  </si>
  <si>
    <t>Varguna</t>
  </si>
  <si>
    <t>Madana kama poo</t>
  </si>
  <si>
    <t>False sago palm</t>
  </si>
  <si>
    <t>Ranaguvva</t>
  </si>
  <si>
    <t>Rinbadam</t>
  </si>
  <si>
    <t>Jangli-Madan Must-Ka-Phul</t>
  </si>
  <si>
    <t>A small evergreen palm like tree. Leaves long, petiolate with short distant spines at right angles to the petioles or slightly deflexed. Bark brown, smooth below, tessellated above by the small diamond shaped scars of fallen leaves. Cones apparently terminal, peduncled, scales cuneate, closely imbricate. Carpophylls numerous, crowded around the apex of the stem</t>
  </si>
  <si>
    <t>Narcotic, Stimulant and Aphrodisiac</t>
  </si>
  <si>
    <t>Pakocin, Cycacin, Tannin, Protein, Phenolic compounds.</t>
  </si>
  <si>
    <t>The cones are made into a paste and applied on loins removes Nephritic Pains. Bracts are powdered and made into confection is useful in Seminal weakness.</t>
  </si>
  <si>
    <t>Cyclea peltata</t>
  </si>
  <si>
    <t>Patha</t>
  </si>
  <si>
    <t>Padai kizhangu</t>
  </si>
  <si>
    <t>Pata root</t>
  </si>
  <si>
    <t>Padai kizhanga</t>
  </si>
  <si>
    <t>Pad</t>
  </si>
  <si>
    <t>A much branched climbing shrub, leaves usually peltate. Flowers small, greenish yellow in axillary panicles. Fruits drupe, ovoid. Seeds curved</t>
  </si>
  <si>
    <t>Nervine tonic, Antidote and Anodyne</t>
  </si>
  <si>
    <t>Cycleapeltine, Cycleadrine, Cycleacurine, Tetrandrine and Cycleahomine</t>
  </si>
  <si>
    <t>The root powder is given internally for Urinary diseases and Diarrhoea . Root decoction is given internally to reduce Fever, Asthma and Jaundice.</t>
  </si>
  <si>
    <t>Cymbopogon citratus</t>
  </si>
  <si>
    <t>Bhustrina</t>
  </si>
  <si>
    <t>Elumichai pul</t>
  </si>
  <si>
    <t>Lemon grass</t>
  </si>
  <si>
    <t>Nimmagaddi</t>
  </si>
  <si>
    <t>Chayapul</t>
  </si>
  <si>
    <t>Gandhatrana</t>
  </si>
  <si>
    <t>Perennial, erect herb, leaves flat and linear. Inflorescence is paired, rarely solitary spikelet. Sessile and compressed. Fruits subulate to oblong.</t>
  </si>
  <si>
    <t>Arthritis, Bowel complaints and Cholera.</t>
  </si>
  <si>
    <t>Cymbopogone, Triterpenoid, Cymbopogonol, D-limonene and Citrol.</t>
  </si>
  <si>
    <t>Leaf decoction is a good Appetiser in children. Oil is applied externally for Arthritis and Sprains</t>
  </si>
  <si>
    <t>Cymbopogon muricatus</t>
  </si>
  <si>
    <t>Usheera</t>
  </si>
  <si>
    <t>Vettiver</t>
  </si>
  <si>
    <t>Khus-Khus grass</t>
  </si>
  <si>
    <t>Vetti vellu</t>
  </si>
  <si>
    <t>Ramaccham</t>
  </si>
  <si>
    <t>Khas-khas</t>
  </si>
  <si>
    <t>A densely tufted grass, culms arising from an aromatic rhizome. Leaves simple, linear, narrow, erect, glabrous with scabrid margins. Inflorescence spikelet. Flowers 2, lower floret reduced to a lemma, upper bisexual and sessile. Fruit caryopsis. Seeds small, compressed and pale in colour</t>
  </si>
  <si>
    <t>Tonic, Refrigerant, Stomachic, Diuretic and Emmenagogue.</t>
  </si>
  <si>
    <t>Zizanene, Sesquiterpenes, Cyclocopacamphenol, Zizanol, Vetiselinenol, Levojunenol, Volatile essential oil and Resin</t>
  </si>
  <si>
    <t xml:space="preserve"> The roots are soaked in luke warm water and given in Fever. The root paste is applied externally for Burning sensation of the bod</t>
  </si>
  <si>
    <t>Cymbopogon nardus</t>
  </si>
  <si>
    <t>Guchcha</t>
  </si>
  <si>
    <t>Kamakshi pul</t>
  </si>
  <si>
    <t>Citronella grass</t>
  </si>
  <si>
    <t>Allupu</t>
  </si>
  <si>
    <t>Ooshadhana</t>
  </si>
  <si>
    <t>Ganjni</t>
  </si>
  <si>
    <t>An annual or perennial tall, copiously branched grass. Leaves simple, linear, acuminate, apex filiform and narrow with conspiquous white midrib. Inflorescence spikelets, sessile, joints and pedicels clavate. Fruits cremocarp.</t>
  </si>
  <si>
    <t>Laxative, Appetiser and Anthelmintic .</t>
  </si>
  <si>
    <t>Isocaproic acid, Isovaleric acid, Butyric acid, Propionic acid, b- pinene, a- phellandrene, Limonene, Cellulose, Nitrate and Sulphate</t>
  </si>
  <si>
    <t xml:space="preserve"> The infusion of the leaves is used in Bowel complaints of children. Dry flower powder is given internally to reduce Fever.</t>
  </si>
  <si>
    <t>Cymbopogon schoenanthus</t>
  </si>
  <si>
    <t>Bhutrina</t>
  </si>
  <si>
    <t>Sukkunari pullu</t>
  </si>
  <si>
    <t>Geranium grass</t>
  </si>
  <si>
    <t>Kamanchi - gaddi</t>
  </si>
  <si>
    <t>Inchipul</t>
  </si>
  <si>
    <t>Gandhabena</t>
  </si>
  <si>
    <t>A Perennial large grass. Leaves wiry, flexuous, very firm and often circinate. Inflorescence spikelets, sessile, fertile spikelet linear to lanceolate. Fruits cremocarp.</t>
  </si>
  <si>
    <t>Stimulant, Carminative, Antispasmodic and Diaphoretic.</t>
  </si>
  <si>
    <t>Essential oil, Perillaldehyde, Carvacrol and d-nerolidol.</t>
  </si>
  <si>
    <t>The oil is used externally to cure Spasmodic affections. The essential oil is active against a bacterium Escherichia coli.</t>
  </si>
  <si>
    <t>Cynodon dactylon</t>
  </si>
  <si>
    <t>Doorwa</t>
  </si>
  <si>
    <t>Arugampul</t>
  </si>
  <si>
    <t>Bermuda grass</t>
  </si>
  <si>
    <t>Garika gaddi</t>
  </si>
  <si>
    <t>Karuka-pullu</t>
  </si>
  <si>
    <t>Doorva</t>
  </si>
  <si>
    <t>A creeper, stem bears numerous knots from which roots appear and help it in spreading. Leaves simple, narrow, lanceolate with sheathing leaf base. Inflorescence a spike, flowers green or violet. Seeds very minute achene.</t>
  </si>
  <si>
    <t>Demulcent, Diuretic, Astringent, Haemostatic, Antidote and Laxative.</t>
  </si>
  <si>
    <t>Arundoin, Furfural, Furfural alcohol, Luteolin, Eicosanoic acid, Vitexin, Selenium, b-sitosterol, b-carotene and Vitamin-C.</t>
  </si>
  <si>
    <t>Leaf paste with turmeric powder is applied externally for Skin diseases. The leaf extract with pepper is taken internally for Allergy due to synthetic drugs</t>
  </si>
  <si>
    <t>Cyperus rotundus</t>
  </si>
  <si>
    <t>Musta</t>
  </si>
  <si>
    <t>Korai kizhangu</t>
  </si>
  <si>
    <t>Nutgrass</t>
  </si>
  <si>
    <t>Tungamusti</t>
  </si>
  <si>
    <t>Karimuttan</t>
  </si>
  <si>
    <t>Korehi-jha</t>
  </si>
  <si>
    <t>A type of herb, belonging to grass variety. Leaves long and thin. Flowers originate from the tip and are found in clusters. Fruits long. Roots blackish and aromatic.</t>
  </si>
  <si>
    <t>Anti-inflammatory, Stimulant, Demulcent, Tonic, Diuretic, Vermifuge, Anthelmintic, Emmenagogue and Carminative.</t>
  </si>
  <si>
    <t>Cyperene, a-cyperone, Isocyperol, Selinene, Glutathione, b-sitosterol, Linolenic acid, Neohesperidose, Humulene, Flavanol glycosides.</t>
  </si>
  <si>
    <t>Fresh tubers are made into paste and applied externally on breast to the flow of milk. i Tuber and Ginger are made into paste and mixed with honey is taken internally for Dysentery, Gastric and Intestinal disorders.</t>
  </si>
  <si>
    <t>Dalbergia sissoo</t>
  </si>
  <si>
    <t>Shingshupa</t>
  </si>
  <si>
    <t>Nukku-kattai</t>
  </si>
  <si>
    <t>Rose wood</t>
  </si>
  <si>
    <t>Errassissu</t>
  </si>
  <si>
    <t>Iruvil</t>
  </si>
  <si>
    <t>Sisam</t>
  </si>
  <si>
    <t>A large evergreen tree, branches druping. Leaves pale green, imparipinnate, 3-5 foliate, leaflets alternate broadly ovate, cuneate, acuminate and entire. Flowers sessile or subsessile, yellow or white in short axillary panicles. Fruits pod, long stalked thin, glabrous and strap shaped.</t>
  </si>
  <si>
    <t>Gonorrhoea, Menorrhagia, Haemorrhoids and Vomiting.</t>
  </si>
  <si>
    <t>Hyperdypsia, Burning sensation, Leprosy, Scabies, Ulcers and Intermittent fever.</t>
  </si>
  <si>
    <t>Astringent, Constipating, Digestive, Anthelmintic , Stimulant Diuretic, Depurative, Antipyretic and Appetiser</t>
  </si>
  <si>
    <t>Isoflavone, Glucoside, Dalbergenone, Sisortin, Methyl dalburgin, Isoflavone-O-glycoside and Tectorigenin.</t>
  </si>
  <si>
    <t>Bark and leaf powder is given internally for Epistaxis, Haematemesis and Bleeding piles.</t>
  </si>
  <si>
    <t>Datura innoxia</t>
  </si>
  <si>
    <t>Krishna dhatura</t>
  </si>
  <si>
    <t>Karu Oomathai</t>
  </si>
  <si>
    <t>Indian thorn apple</t>
  </si>
  <si>
    <t>Nalla ummatha</t>
  </si>
  <si>
    <t>Kala-Dhatura</t>
  </si>
  <si>
    <t>A large annual, somewhat succulent herb with often zig-zag stem. Leaves large, entire, dark green, ovate sinuate or deeply toothed. Flowers large white with 10-toothed corolla, but purple out side and frequently double. Fruits capsule with long weak spines. Seeds many, compressed, rugose.</t>
  </si>
  <si>
    <t>Narcotic, Antispasmodic and Anodyne.</t>
  </si>
  <si>
    <t>Scopolamine, Daturine, Meteliodine, Pseudotropine, Fastusine, Triterpene, Hyoscine and Hyoscyamine.</t>
  </si>
  <si>
    <t>The local application of leaves is used for Rheumatic swellings, Lumbago, Sciatica and Painful tumours.  Dry leaves are smoked in pipe to relieve Spasmodic asthma.</t>
  </si>
  <si>
    <t>Datura metel</t>
  </si>
  <si>
    <t>Dhatura</t>
  </si>
  <si>
    <t>Oomathai</t>
  </si>
  <si>
    <t>Thorn apple</t>
  </si>
  <si>
    <t>Ummetta</t>
  </si>
  <si>
    <t>Oomatham</t>
  </si>
  <si>
    <t>Datura</t>
  </si>
  <si>
    <t>A large shrubby species, stem zig-zag. Leaves simple, large, entire sinuate or deeply toothed. Flowers large beautiful and white in colour. Fruits capsule. Seeds many, compressed and rugose.</t>
  </si>
  <si>
    <t>Asthma, Chronic cough, Rheumatic swellings, Lumbago, Epilepsy, Ear ache, Gout, Insanity, Inflammed breast, Hydrophobia and Impotence.</t>
  </si>
  <si>
    <t>Hyoscine, Apohyoscine, Cuscohygrine, Tropine, Scopolamine, Daturanolone, Norhyoscine, Meteloiodine, Tigloidine, 3, tigloytoxytropane and Daturadiol.</t>
  </si>
  <si>
    <t xml:space="preserve">Fresh leaf juice is applied externally for inflammations &amp; glandular swellings such as Mumps, Tooth ache and Ear ache. Leaves boiled in oil is applied in  Haemorrhoids and Fissures. </t>
  </si>
  <si>
    <t>Daucus carota</t>
  </si>
  <si>
    <t>Shikha-mula</t>
  </si>
  <si>
    <t>Manjal Mullangi</t>
  </si>
  <si>
    <t>Carrot</t>
  </si>
  <si>
    <t>Gajjara gedda</t>
  </si>
  <si>
    <t>Gajjar</t>
  </si>
  <si>
    <t>An annual or biennial herb with erect much branched stem. Leaves have cilia on them and deeply dissected, oblong, dorsally flat with prickles. Flowers white in colour found in umbels, each with a central red, brown floret. Fruits small, white. Roots orange in colour and tapering.</t>
  </si>
  <si>
    <t>Antiseptic, Aphrodisiac, Nervine tonic, Stimulant and Blood purifier</t>
  </si>
  <si>
    <t>Carotin, Hydrocarotin, Carotenoids, Pinene, Camphene, Vitamin A, Myrcene, Cartol, Caryophyllene, Selinene, Disabolenene, Limonene and Daucic acid</t>
  </si>
  <si>
    <t>Fresh root poultice is externally useful in Foul ulcers, Burns and Scalds. Modified roots are taken as vegetable for its High vitamin and sugar value and must be avoided by Diabetic patients</t>
  </si>
  <si>
    <t>Delonix elata</t>
  </si>
  <si>
    <t>Sweta kinsuka</t>
  </si>
  <si>
    <t>Vaada Narayanan</t>
  </si>
  <si>
    <t>White gold mohur</t>
  </si>
  <si>
    <t>Tella sunkesula</t>
  </si>
  <si>
    <t>Vadha naarayanan</t>
  </si>
  <si>
    <t>Kinsuka</t>
  </si>
  <si>
    <t>A medium sized tree, leaves, compound, bipinnate, leaflets many, small and pale green in colour. Inflorescence a terminal corymb, filaments red. Flowers large yellowish white. Fruits pod, elongate. Seeds transverse oblong</t>
  </si>
  <si>
    <t xml:space="preserve"> Anti-vata, Laxative, Febrifuge, Antiperiodic</t>
  </si>
  <si>
    <t>Aspargin, Aspartic acid, a-amyrin, b-sitosterol, D-glucopyranoside.</t>
  </si>
  <si>
    <t>The leaves are fried in castor oil and applied on Boils and Joint pains.Leaf juice is boiled in castor oil and given 
internally as a Purgative</t>
  </si>
  <si>
    <t>Delphinium denudatum</t>
  </si>
  <si>
    <t>Vishalakarani</t>
  </si>
  <si>
    <t>Judwar</t>
  </si>
  <si>
    <t>A glabrous, slightly downy herbs, commonly occuring in the western Himalayas. Stem branched. Leaves radical, orbicular, pinnately lobed and often toothed. Flowers few in long cylindric spur. Fruits follicle.</t>
  </si>
  <si>
    <t>Alterative, Stomachic, Tonic and Anodyne</t>
  </si>
  <si>
    <t>Delphinine, Staphisagrine, ß-sitosterol, Monohydro alcohol, Diterpenoid, Alkaloid, Condelphine, Enudatine.</t>
  </si>
  <si>
    <t>Root is chewed to cure Tooth ache. Decoction of root stock is given as a Tonic during Convalescence from Fevers.</t>
  </si>
  <si>
    <t>Desmodium gangeticum</t>
  </si>
  <si>
    <t>Shalaparni</t>
  </si>
  <si>
    <t>Orilai</t>
  </si>
  <si>
    <t>Unifoliate ticktrefoil</t>
  </si>
  <si>
    <t>Gita naram</t>
  </si>
  <si>
    <t>Orilla</t>
  </si>
  <si>
    <t>Sarivan</t>
  </si>
  <si>
    <t>A nearly erect under shrub, stems pubescent. Leaves simple, ovate, entire, obtuse or acute. Flowers pink in raceme inflorescence. Fruits pod, sessile, pubescent, curved and falcate.</t>
  </si>
  <si>
    <t>Thermogenic, Nervine tonic, Anthelmintic, Cardiac tonic, Anti-inflammatory, Diuretic, Haemostatic and Rejuvenating.</t>
  </si>
  <si>
    <t>Desmodin, Gangetinin, Desmocarpin, N, N-dimethyl tryptamine, 5-methoxy-N, 3-dimethoxy tryptamine,</t>
  </si>
  <si>
    <t>The plant is used in the form of poultice as an application for Piles.  Juice is expressed and dropped into eyes to remove Opacities.</t>
  </si>
  <si>
    <t>Desmodium triflorum</t>
  </si>
  <si>
    <t>Prushnaparni</t>
  </si>
  <si>
    <t>Moovilai</t>
  </si>
  <si>
    <t>3 leaved desmodium</t>
  </si>
  <si>
    <t>Munta mandu</t>
  </si>
  <si>
    <t>Kudaliya</t>
  </si>
  <si>
    <t>An under shrub, leaflets 3, small, never longer than one pedicellate, leaflets obovate, cuneate, truncate emarginate at apex. Fruits pod. Seeds compressed.</t>
  </si>
  <si>
    <t>Carminative, Tonic, Diuretic and Galactogogue.</t>
  </si>
  <si>
    <t>Phenethylamines, Stachydrine, Tyramine, Indole-3-acetic acid, Choline, Trigonelline, N,–dimethyl tryptophan, Hypaphorine.</t>
  </si>
  <si>
    <t>Leaf juice is given to children for Diarrhoea due to indigestion Convulsions. Fresh plant juice is applied to Abscess 
and Wounds that do not heal readily.</t>
  </si>
  <si>
    <t>Dichrostachys cinerea</t>
  </si>
  <si>
    <t>Vira vriksha</t>
  </si>
  <si>
    <t>Vidathalai</t>
  </si>
  <si>
    <t>Yam</t>
  </si>
  <si>
    <t>Adavi dumpa</t>
  </si>
  <si>
    <t>Vadathalla</t>
  </si>
  <si>
    <t>Vurtuli</t>
  </si>
  <si>
    <t>A thorny shrub often with a gnarled trunk and thorny branches, pretty tasselled flowers, twisted pods and very small pubescent leaflets. Bark grey or light brown, wood red streaked black.</t>
  </si>
  <si>
    <t>Anti-inflammatory, Astringent.</t>
  </si>
  <si>
    <t>Friedelin, a-amyrin, Friedelan-3-one, Octacosanol, Hentriacontanol, b-sitosterol.</t>
  </si>
  <si>
    <t>The young shoots are bruised and applied to the eyes in cases of Ophthalmia. Root paste is applied to knee joints for Rheumatism</t>
  </si>
  <si>
    <t>Digitalis purpurea</t>
  </si>
  <si>
    <t>Nari pugaelai</t>
  </si>
  <si>
    <t>Fox glove</t>
  </si>
  <si>
    <t>A biennial, sometimes perennial herb. Leaves simple, rosette of radical, rugose somewhat downy leaves, ovate to lanceolate with winged petiole. Inflorescence a one sided raceme. Flowers tubular, purple, yellow or white. Seeds small.</t>
  </si>
  <si>
    <t>Cardiac tonic, Diuretic</t>
  </si>
  <si>
    <t>Cardiac glucoside, Digitoxin, Gitoxin, Cycloeucalanol, Purpureagitoside, Apigenin, Cycloartenol, Campesterol, Stigmasterol, Luteolin, Digitolutein, Digitopurpone, Phomarin.</t>
  </si>
  <si>
    <t>Digitoxin u.s.p. is used to cure Cardiac failure. It is used as a myocardial stimulant in Congestive heart failure, Auricular flutter and Rapid auricular fibrillation</t>
  </si>
  <si>
    <t>Holy leaved Acanthus</t>
  </si>
  <si>
    <t>i) Pulp is a wonderful remedy for Intestinal worms in Children. Ii) The pulp is applied on the face for Pimples and Black dots</t>
  </si>
  <si>
    <t xml:space="preserve">ii) The pulp with honey and turmeric is given in Cough and Cold. Pulp is given internally for Leucorrhoea 
    and other Uterine disorders. </t>
  </si>
  <si>
    <t>i) ii) The powder of the root stock is mixed with honey and given in Cough and Cold. A piece of the root stock is chewed to control Vomiting.</t>
  </si>
  <si>
    <t xml:space="preserve"> i) The root stock in honey cures Paroxysm in 
   children suffering from Whooping cough.
  ii) Root stock powder with long pepper and 
   Liquorice in the form of decoction with 
    honey cures Asthma.</t>
  </si>
  <si>
    <t xml:space="preserve">Devil's  tree </t>
  </si>
  <si>
    <t>i) Root powder with honey is given internally for Peptic ulcer and Worm infestation. ii) An extract of bark is taken internally with cow's milk in case of Leprosy</t>
  </si>
  <si>
    <t>The leaf powder, Acalypha and Terminalia chebula are mixed with ghee and given internally for Piles. ii) The leaves are fried in ghee and applied as poultice on eyes to cure Eye diseases.</t>
  </si>
  <si>
    <t>Akarakarava</t>
  </si>
  <si>
    <t>i) Fruit juice is applied to Scabies and Wounds. ii) Powdered seeds are applied on head to kill Lice.</t>
  </si>
  <si>
    <t>i) Pressed juice of the petiole is applied over Arterial haemorrhages and wounds. ii) The juice of corm is used in the treatment
of Alopecia.</t>
  </si>
  <si>
    <t>i) Leaf powder is given internally for Cough and Cold.
ii) Root powder mixed with an equal quantity of Acorus root is given in Chroniculcers.</t>
  </si>
  <si>
    <t>i) Boiled leaves smeared with ghee is are applied to Boils, Small pox to prevent their confluence.
ii) Roots boiled in milk is administered to relieve Bilious dyspepsia and Diarrhoea.</t>
  </si>
  <si>
    <t>i) Leaf juice is given internally for relieving
Worms from the intestine.
ii) Leaf paste is applied externally for
Inflammatory swellings.</t>
  </si>
  <si>
    <t>i) Fruit oil is valuable in Chronic
Rheumatism. ii) Leaf decoction is given internally for
Hemiplegia.</t>
  </si>
  <si>
    <t>i) Decoction of root is prescribed in Bilious colic and Diarrhoea. ii) Fruit juice is a good remedy for Bleeding piles.</t>
  </si>
  <si>
    <t>i) The young leaves and black pepper is made into a paste and taken internally for Intestinal helminthiasis. ii) A few drops of oil taken in betel-leaf provide relief in Asthma.</t>
  </si>
  <si>
    <t>i) The leaf juice is given to relieve Cough of phthisis and Asthma. ii) The leaves are made into a paste with ne em l eav e s and g i v en internally for Delivered women.</t>
  </si>
  <si>
    <t>i) Leaves are fried in ghee and taken internally for Sore throat.ii) Leaf poultice is applied to Inflammatory swellings of the joints.</t>
  </si>
  <si>
    <t>i) Roots and leaves are given as decoction for Dropsy and General anasarca. ii) The seed oil is externally applied in Rheumatism as a counter-irritant.</t>
  </si>
  <si>
    <t>i) Decoction of leaf bud is given internally for regulating Menstrual cycle. ii) Burnt roots are applied to Ring Worm, Bleeding gums and Painful joints.</t>
  </si>
  <si>
    <t>i) Juice of the whole plant is boiled with coconut oil and applied on head as a Refrigerant. ii) Root and ginger are made into paste and given internally for Flatulence.</t>
  </si>
  <si>
    <t>i) Seeds are rubbed in fresh juice of ginger and taken internally for Nasal catarrh and Respiratory disorders.</t>
  </si>
  <si>
    <t xml:space="preserve"> i) Leaf juice with sugar candy is useful in
Gonorrhoea and Balanitis. ii) Leaf juice thoroughly rubbed with butter
is acoolingapplicationforBurnsandScalds.</t>
  </si>
  <si>
    <t>i) Decoction of the root relieves Bilious vomiting. ii) A poultice of the leaves is applied to Pimples, Warts to hasten suppuration.</t>
  </si>
  <si>
    <t>i) The decoction of bud is given in Cough, Bleeding piles and Menorrhagia. ii) Decoction of bark is useful in Ulcers, Skin diseases and Dysentery</t>
  </si>
  <si>
    <t>i) Flowers are taken internally in a
semisolid state for Laxative purpose.
ii) Root powder is taken internally for
Indigestion.</t>
  </si>
  <si>
    <t xml:space="preserve"> i) Decoction of the root bark is used as a
Vermifuge and in the
Inflammation of liver.   ii) The dried leaves, buds and flowers are
used in Dysentery.</t>
  </si>
  <si>
    <t>i) Fresh juice of the fruit is administered in Haemorrhages from internal organs. ii) Ash of the fruit rind is applied on Painful swellings.</t>
  </si>
  <si>
    <t xml:space="preserve">i) The decoction of the stem with honey is
given in Jaundice. ii) An ointment made with camphor and
butter is applied to Pimples and
Boils.
</t>
  </si>
  <si>
    <t>i) ii) Juice of the leaves with gingelly oil is administered in Ear ache . The extract of rhizome is given internally for Diarrhoea</t>
  </si>
  <si>
    <t>i) Leaves promote hair growth and it is a rich source of Iron. ii) The root juice is taken internally to relieve pain associated with kidney.</t>
  </si>
  <si>
    <t>i) ii) The fresh juice of the whole plant is given in Gonorrhoea. The plant decoction is given internally for women to increase Fertility.</t>
  </si>
  <si>
    <t>i) ii) Leaf paste is applied on eyes to cure Burning sensation, Cataract and Other eye disorders. Seed powder is given internally for Urinary discharges, Inflammation of lungs and liver.</t>
  </si>
  <si>
    <t>i) Juice of the plant is boiled with gingelly oil and used as nasal drops for Sinusitis. ii) Leaf juice is given internally as a Blood purifier and to relieve Muscular pain</t>
  </si>
  <si>
    <t>i) ii) Flower decoction is used for Constipation and Burning Micturition. Root decoction is given internally for Leucorrhoea and Dysentery.</t>
  </si>
  <si>
    <t>i) Jaggary solution is given for Typhoid patient as an excellent food. ii) Decoction of the bark with little salt is used as a gargle for Strengthening gum and teeth.</t>
  </si>
  <si>
    <t>i) Gum-resin is boiled with coconut oil and applied to Chronic ulcers.ii) Gum resin powder is given for Male sterility.</t>
  </si>
  <si>
    <t>i) Seeds are beneficial when administered internally for Epilepsy and Hysteria. ii)  The liniment prepared from seeds is 
     applied to Swollen joints.</t>
  </si>
  <si>
    <t>i) Oil combined with camphor forms an efficacious embrocation in Muscular rheumatism and Stiffness of neck. ii) Oil from seeds is used as an external stimulant application in Chest affections.</t>
  </si>
  <si>
    <t xml:space="preserve"> Mustard plasters are used in Gout,  
         Sciatica and Urticaria.                                                                     2. A poultice of seeds prepared in cold water 
      is applied as counter-irritant in
      Complaints of nervous system.</t>
  </si>
  <si>
    <t xml:space="preserve"> i) An ointment made from kernels is used 
     to cure Itch of the skin and remove 
     Blemishes from the face.
 Ii)  Oil from the kernel is applied to  
            Glandular swellings of the neck.
</t>
  </si>
  <si>
    <t xml:space="preserve"> i) Freshly powdered seeds are effective in 
Ascariasis (Round worm)
 ii) A paste of the powdered seeds with 
lemon juice is applied externally for</t>
  </si>
  <si>
    <t>i) ii) Decoction of leaves with castor oil is useful in Disordered menstrual cycle. Leaf paste is applied externally for Rheumatic pain and on boils to promote Suppuration.</t>
  </si>
  <si>
    <t>Seed powder with white yolk of egg is  
    applied for Hydrocele externally. 2.Leaves and coconut kernel are roasted in 
    castor oil and applied on any kind of  
    Swellings.</t>
  </si>
  <si>
    <t>The decoction of wood is a powerful Uterine 
tonic 2.The decoction of wood is useful in Skin 
diseases especially Fungal infections.</t>
  </si>
  <si>
    <t>Young leaves are chewed for Stomatitis. 2.The unripe fruit and leaves are made  into a  paste and applied over 
breast to Reduce milk secretion.</t>
  </si>
  <si>
    <t xml:space="preserve">  The wood is rubbed in water and taken 
internally as Vermifuge.  2.  The root is considered as Antidysenteric,    
Tonic and Febrifuge
ii) 
The wood is rubbed in water and taken 
internally as Vermifuge.</t>
  </si>
  <si>
    <t xml:space="preserve"> The resin from the wounded bark is a 
    remedy for Wounds and Ulcers. 2. Oil from the seeds is applied externally 
    for Rheumatism, Gonorrhoea and 
    Scabies.</t>
  </si>
  <si>
    <t xml:space="preserve"> Leaf juice is boiled with neem oil and  
    applied on  Calcarious spur. 2. A powder of dried leaves is dusted on 
    Wounds  and Ulcers to inhibit excessive
     granulation.</t>
  </si>
  <si>
    <t>Decoction of the root is given internally 
for Fever. 2.  Root juice is dropped into ears for  
Ear ache.</t>
  </si>
  <si>
    <t xml:space="preserve"> Decoction of leaves is given for Throat infections. 2.  Root paste is applied for body ache.</t>
  </si>
  <si>
    <t>Red chillies with asafoetida and camphor is 
in the form of pills in Cholera. 2. The whole plant steeped in milk is applied to 
reduce Swellings and Hardened tumours.</t>
  </si>
  <si>
    <t>Root and leaf decoction is used in  
   Rheumatism, Nervous diseases, Piles and 
   Chronic bronchitis.  2. Leaves fried are applied to the pubes to 
    increase the Menstrual flow in 
     Amenorrhoea</t>
  </si>
  <si>
    <t>Leaves made into a pulp is used as  
poultice for Obstinate Ulcers. 2.  Flowers as infusion is given after Child 
birth.</t>
  </si>
  <si>
    <t xml:space="preserve">Milky juice of unripe fruit with honey  
    followed by castor oil acts as an Anthelmintic  
    for Round worms. 2.Dried and salted fruit reduce Enlarged 
    spleen and liver.
</t>
  </si>
  <si>
    <t>Juice of ripe fruit  with sugar is a coolant 
   drink in Biliousness. 2.Decoction of the leaves is a refrigerant  
    in Fever</t>
  </si>
  <si>
    <t xml:space="preserve"> Safflower oil being an excellent source of 
   pure linoleic acid renders it as a verygood 
   cooking medium for patients having
   Hypertension and Heart ailments.  2. Hot infusion of dried flowers is given as a 
   diaphoretic in Muscular rheumatism</t>
  </si>
  <si>
    <t>A tea made from the seeds is used to treat 
Flatulent colic  2.  The seed can be chewed raw for the 
immediate relief of Indigestion.</t>
  </si>
  <si>
    <t>Nuts made into paste is applied to forehead 
in Hemicrania. 2.  Decoction of nuts is given in Seminal  
weakness and Urinary disorders.</t>
  </si>
  <si>
    <t>i) A strong decoction of flowers is good for eczema.
ii) Leaves ground in lime juice is applied externally for Fungal infections and Other skin diseases.</t>
  </si>
  <si>
    <t>i) The decoction of the whole plant is given internally for Diabetes.
ii) Seed powder mixed with coconut oil is applied for Sore eyes.</t>
  </si>
  <si>
    <t>i) The whole seed powder cures Intestinal amoebiasis.
ii) The pulp of fruit is a safe Laxative for children and pregnant women.</t>
  </si>
  <si>
    <t>i) The dried powder of the plant with milk is taken internally for various Skin diseases.
ii) Decoction of seed powder is a mild laxative and used for Constipation.</t>
  </si>
  <si>
    <t>i) Dry powder of whole herb along with ginger or clove is useful in Habitual constipation.
ii) The powdered leaves in vinegar is applied to Wounds,Bums and to remove pimples.</t>
  </si>
  <si>
    <t>i) The poultice of leaves is applied on cuts,
wounds and ulcers to hasten suppuration.
ii) A paste of the root with lime juice is a
remedy for Ring worm.</t>
  </si>
  <si>
    <t>i) Decoction of the plant prevents Haemoptysis.  ii) Dried powder of the plant boiled with gingelly oil is used as Hair-tonic.</t>
  </si>
  <si>
    <t>i) The extract of the flower is given internally
for Malignancy.
ii) Root decoction is given in Low blood
pressure.</t>
  </si>
  <si>
    <t>i) Bark decoction is a good remedy for Bilious
fever, Intern-mittent and Rernittent fevers.
ii) Turpentine from the tree is applied to
Ulcers and Skin diseases.</t>
  </si>
  <si>
    <t>i) Decoction of seeds is given in Rheumatism
and Paralysis.
ii) The alcoholic extract of seed is given as a
sedative in Inflammation and Ulcer.</t>
  </si>
  <si>
    <t>Pannaikeerai</t>
  </si>
  <si>
    <t>i) Powder of seeds is given in Diarrhoea.
ii) Flowers are boiled in water and extract is
used in Excessive menstrual flow and Eye
diseases.</t>
  </si>
  <si>
    <t>i) Leaf paste is given internally for Peptic
ulcers and also for Mentally retarded
children.
ii) Leaf paste is given internally and also
applied externally for Syphilitic</t>
  </si>
  <si>
    <t>i) The fruit is given in minimum quantity for
Hydrophobia.
ii) Bark decoction is a Purgative.</t>
  </si>
  <si>
    <t>i) Extensively used as dhal for its protein
content.
ii) Leaf juice is given as Stomachic and
Laxative.</t>
  </si>
  <si>
    <t>i) Decoction of the powdered seeds are used
in Disordered mensturation.
ii) Plant paste is applied externally in
Inflammatory affections for its cooling
properties.</t>
  </si>
  <si>
    <t>i) Camphor is taken internally for Gastritis
Cardiac stimulant and Respiratory
disorders.
ii) The essential oil from the tree is effective
in Inflammations, Bruises and Sprains
externally.</t>
  </si>
  <si>
    <t>i) Cinnamon leaf oil is useful as liniment in Rheumatic pains, Head ache, Tooth ache.
ii) Bark, Ginger and Cardamum are giveninternally as a powder for Dyspepsia and Flatulence.</t>
  </si>
  <si>
    <t>i) Leaves are made into paste and applied
for Itching sores, Pimples, Boils and Sinus.
ii) Decoction of root is given in Stomach
ache, Indigestion and Renal stones.</t>
  </si>
  <si>
    <t>i) Juice of the stem is useful in Scurvy and Irregular Menstruation.
ii) The stem paste is given internally and
applied externally for Bone fracture and
Complaints of spinal cord.</t>
  </si>
  <si>
    <t>i) Leaves toasted with oil is applied to
Ulcer and to expel Guinea worms.
ii) Leaves are applied externally as poultice
to promote suppuration in Indolent
tumours.</t>
  </si>
  <si>
    <t>i) Equal parts of root and long pepper are
given as pills for Rheumatism.
ii) Root paste is applied to the Enlarged
abdomen of caildren.</t>
  </si>
  <si>
    <t>i) Fruit is taken internally for its good taste
and water content in summer season.
ii) Fruit juice is taken internally to cure
Urinary tract infections.</t>
  </si>
  <si>
    <t>i) The fruit juice is taken internally for
Gastritis.
ii) The fruit juice is taken internally for Loss
of appetite, Constipation and Fatigue.</t>
  </si>
  <si>
    <t>i) Outer part of rind is bitter and aromatic
and makes an excellent Cardiac tonic.
ii) Seed powder is given internally for
Lumbago.</t>
  </si>
  <si>
    <t>i) Fruit juice with water and salt is given in Giddiness and Nausea
ii) Fruit juice with salt and sugar is given internally for Dehydration and Elecrolyte imbalance.</t>
  </si>
  <si>
    <t>i) Juice of the fruit is taken internally to control Vomiting and to cure troubles.
 ii) Juice of the fruit is taken as a good Tonic</t>
  </si>
  <si>
    <t>i) Leaf juice is used as ear drops for Ear ache. An annual pungent and sticky herb. Leaves simple, 3-9 foliate. 
whole plant is viscous with stalked glands. Flowers in racemose inflorescence, either terminal or axillary and yellow in colour.
 Fruits capsule, oblong or linear. ii) The fresh leaf juice is taken orally for Tooth ache.</t>
  </si>
  <si>
    <t>i)The leaves warmed in sesame oil and pounded with garlic and pepper are applied to Elephantiasis. 
ii)  The leaf juice is taken orally to relieve Muscular pains and Stiffness of legs.</t>
  </si>
  <si>
    <t>i)  Leaf juice with castor oil is given internally for Leucorrhoea and other Sexually transmitted diseases. 
ii) Roots are boiled in oil and externally applied for Muscular sprains.</t>
  </si>
  <si>
    <t>i) Root decoction is given internally for Asthma, Bronchitis and other Catarrhalaffections.
ii) Leaves are applied in the form of poultice to Hasten suppuration.</t>
  </si>
  <si>
    <t>i) Seeds 7parts + Rock salt 7 Parts and dry ginger are powdered and given internally for Filariasis. 
ii) Leaf paste with salt is applied externally for Lymph adenitis.</t>
  </si>
  <si>
    <t>i) Leaf juice with coconut oil is boiled and applied for Scabies and Fungal infections.
ii) Juice of roots and leaves are given</t>
  </si>
  <si>
    <t>i) Leaf decoction is given in Leucorrhoea and to treat Bed-wetting by children. 
ii) Mucilage from the plant with milk is taken internally to cure Spermatorrhoea.</t>
  </si>
  <si>
    <t>i) Milk of the kernel is applied and taken internally for Stomatitis and Throat infections
ii) Coconut oil with Hemidesmus juice is applied on Burns and Scalds</t>
  </si>
  <si>
    <t>i) A strong infusion of black coffee is used as an Anti-soporific in case of poisoning suchas Opium and othernarcotic poison.
ii) Roasted coffee seeds are used as a Disinfectant and Deodorant.</t>
  </si>
  <si>
    <t xml:space="preserve"> i) Leaves with tamarind leaves are cookedand eaten for Piles.
ii) Leaves are cooked and eaten for lowering the post prandial blood glucose level in Diabetic condition.</t>
  </si>
  <si>
    <t>i) The leaves are cooked and eaten to increase Sperm count. 
Ii) The plant is used for Eye diseases.</t>
  </si>
  <si>
    <t>i) The resin with alcohol, egg white are mixed and applied on joints for Arthritis.
ii) Resin powder with sugar is given  internally for Dysentery in children.</t>
  </si>
  <si>
    <t>i) The powder of the root tuber is useful in Dysentery. 
ii) Tubers, onion and cumin seeds are made into a paste and boiled in castor oil is applied for Arthritis</t>
  </si>
  <si>
    <t>i) The Mucilage from the fruit is useful in Diseases of uterus and urethra. 
ii) Bark juice in coconut milk relieves Severe colic pains.</t>
  </si>
  <si>
    <t>i) A strong decoction of seeds with milk and sugar is given in Bleeding Piles, Indigestion and Flatulence.
ii) Juice of the fresh plant is used as an application to Erythema.</t>
  </si>
  <si>
    <t>i) ii) Root juice is a strengthening tonic and is also used as an Anthelmintic. 
The fractions of rhizome is given as Smooth muscle relaxant, Antispasmodic and Cardiotonic</t>
  </si>
  <si>
    <t>i) Bark and Boerhavia plant are made into decoction and given internally for Renal stones and Hydrocele.
ii) The owdered bark is specially useful in Urinary  complaints and Bladder stones</t>
  </si>
  <si>
    <t>i) ii) Roasted bulb is used as a rubefacient in Rheumatism. 
Freshly cut leaves is applied on Sores and Scabies.</t>
  </si>
  <si>
    <t>i) In small doses, Saffron is given with ghee to children in Looseness of bowels. 
ii) Externally Saffron is used in Head ache and Superficial sores in the form of paste</t>
  </si>
  <si>
    <t>i) Bitter leaves are used externally and internally in the form of infusion cures Gastric and Bilious fever. 
ii) Seed powder mixed with oil is used to make the Hair glow</t>
  </si>
  <si>
    <t>i) ii) Leaves are made into paste and applied for Scabies and Wounds. 
The decoction of the leaf is given internally for Stomatitis.</t>
  </si>
  <si>
    <t>i) Seeds are rubbed with Lemon juice and applied for Alopecia.
ii) Seeds are roasted over a lamp or candle flame and  the smoke is inhaled for Asthma.</t>
  </si>
  <si>
    <t>i) The pulp of the fruit mixed with cumin seeds and sugar candy is a cood diet in hot season. 
ii) It is beneficial as a lotion in Chronic and Acute eczema</t>
  </si>
  <si>
    <t>i) Leaves boiled and mixed with cumin seed powder is given internally for Throat affections.
 ii) The fruit is edible and best Diuretic.</t>
  </si>
  <si>
    <t xml:space="preserve">i) Seed powder is given with sugar at bed time, followed by a dose of castor oil next morning relieves Tape worms 
ii) Dried pulp of the fruit is a remedy in Haemoptysis and Haemorrhages from pulmonary organs.
</t>
  </si>
  <si>
    <t>Fresh tubers are made into paste and applied externally on breast to the flow of milk. ii) Tuber and Ginger are made into paste and mixed with honey is taken internally for Dysentery, Gastric and Intestinal disorders.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</si>
</sst>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0"/>
      <color rgb="FF000000"/>
      <name val="Arial"/>
      <scheme val="minor"/>
    </font>
    <font>
      <b/>
      <sz val="12"/>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I1001"/>
  <sheetViews>
    <sheetView tabSelected="1" topLeftCell="H1" workbookViewId="0">
      <selection activeCell="J8" sqref="J8"/>
    </sheetView>
  </sheetViews>
  <sheetFormatPr baseColWidth="10" defaultColWidth="12.6640625" defaultRowHeight="25" customHeight="1" x14ac:dyDescent="0.15"/>
  <cols>
    <col min="1" max="1" width="5.1640625" customWidth="1"/>
    <col min="2" max="2" width="47.83203125" bestFit="1" customWidth="1"/>
    <col min="3" max="3" width="308.6640625" customWidth="1"/>
    <col min="4" max="4" width="85.6640625" customWidth="1"/>
    <col min="5" max="5" width="59.1640625" customWidth="1"/>
    <col min="6" max="6" width="73.5" customWidth="1"/>
    <col min="7" max="7" width="50.6640625" customWidth="1"/>
    <col min="8" max="8" width="67.6640625" customWidth="1"/>
    <col min="9" max="9" width="124.1640625" customWidth="1"/>
  </cols>
  <sheetData>
    <row r="1" spans="1:9" ht="25" customHeight="1" x14ac:dyDescent="0.15">
      <c r="A1" s="1" t="s">
        <v>0</v>
      </c>
      <c r="B1" s="2" t="s">
        <v>1</v>
      </c>
      <c r="C1" s="1" t="s">
        <v>9</v>
      </c>
      <c r="D1" s="1" t="s">
        <v>10</v>
      </c>
      <c r="E1" s="1" t="s">
        <v>11</v>
      </c>
      <c r="F1" s="1" t="s">
        <v>12</v>
      </c>
      <c r="G1" s="1" t="s">
        <v>13</v>
      </c>
      <c r="H1" s="1" t="s">
        <v>14</v>
      </c>
      <c r="I1" s="1" t="s">
        <v>26</v>
      </c>
    </row>
    <row r="2" spans="1:9" ht="25" customHeight="1" x14ac:dyDescent="0.15">
      <c r="A2" s="3">
        <v>1</v>
      </c>
      <c r="B2" s="3" t="s">
        <v>35</v>
      </c>
      <c r="C2" s="3" t="s">
        <v>42</v>
      </c>
      <c r="D2" s="3" t="s">
        <v>43</v>
      </c>
      <c r="E2" s="3" t="s">
        <v>44</v>
      </c>
      <c r="F2" s="3" t="s">
        <v>45</v>
      </c>
      <c r="G2" s="3" t="s">
        <v>46</v>
      </c>
      <c r="H2" s="3" t="s">
        <v>46</v>
      </c>
      <c r="I2" s="3" t="s">
        <v>49</v>
      </c>
    </row>
    <row r="3" spans="1:9" ht="25" customHeight="1" x14ac:dyDescent="0.15">
      <c r="A3" s="3">
        <v>2</v>
      </c>
      <c r="B3" s="3" t="s">
        <v>50</v>
      </c>
      <c r="C3" s="3" t="s">
        <v>57</v>
      </c>
      <c r="D3" s="3" t="s">
        <v>58</v>
      </c>
      <c r="E3" s="4" t="s">
        <v>46</v>
      </c>
      <c r="F3" s="3" t="s">
        <v>58</v>
      </c>
      <c r="G3" s="3" t="s">
        <v>59</v>
      </c>
      <c r="H3" s="3" t="s">
        <v>60</v>
      </c>
      <c r="I3" s="3" t="s">
        <v>63</v>
      </c>
    </row>
    <row r="4" spans="1:9" ht="25" customHeight="1" x14ac:dyDescent="0.15">
      <c r="A4" s="3">
        <v>3</v>
      </c>
      <c r="B4" s="3" t="s">
        <v>64</v>
      </c>
      <c r="C4" s="3" t="s">
        <v>71</v>
      </c>
      <c r="D4" s="3" t="s">
        <v>46</v>
      </c>
      <c r="E4" s="3" t="s">
        <v>46</v>
      </c>
      <c r="F4" s="3" t="s">
        <v>72</v>
      </c>
      <c r="G4" s="3" t="s">
        <v>46</v>
      </c>
      <c r="H4" s="3" t="s">
        <v>73</v>
      </c>
      <c r="I4" s="3" t="s">
        <v>77</v>
      </c>
    </row>
    <row r="5" spans="1:9" ht="25" customHeight="1" x14ac:dyDescent="0.15">
      <c r="A5" s="3">
        <v>4</v>
      </c>
      <c r="B5" s="3" t="s">
        <v>78</v>
      </c>
      <c r="C5" s="3" t="s">
        <v>85</v>
      </c>
      <c r="D5" s="3" t="s">
        <v>46</v>
      </c>
      <c r="E5" s="3" t="s">
        <v>46</v>
      </c>
      <c r="F5" s="3" t="s">
        <v>86</v>
      </c>
      <c r="G5" s="3" t="s">
        <v>87</v>
      </c>
      <c r="H5" s="3" t="s">
        <v>88</v>
      </c>
      <c r="I5" s="3" t="s">
        <v>93</v>
      </c>
    </row>
    <row r="6" spans="1:9" ht="25" customHeight="1" x14ac:dyDescent="0.15">
      <c r="A6" s="3">
        <v>5</v>
      </c>
      <c r="B6" s="3" t="s">
        <v>94</v>
      </c>
      <c r="C6" s="3" t="s">
        <v>101</v>
      </c>
      <c r="D6" s="3" t="s">
        <v>46</v>
      </c>
      <c r="E6" s="3" t="s">
        <v>46</v>
      </c>
      <c r="F6" s="3" t="s">
        <v>102</v>
      </c>
      <c r="G6" s="3" t="s">
        <v>46</v>
      </c>
      <c r="H6" s="3" t="s">
        <v>46</v>
      </c>
      <c r="I6" s="3" t="s">
        <v>105</v>
      </c>
    </row>
    <row r="7" spans="1:9" ht="25" customHeight="1" x14ac:dyDescent="0.15">
      <c r="A7" s="3">
        <v>6</v>
      </c>
      <c r="B7" s="3" t="s">
        <v>106</v>
      </c>
      <c r="C7" s="3" t="s">
        <v>113</v>
      </c>
      <c r="D7" s="3" t="s">
        <v>114</v>
      </c>
      <c r="E7" s="3" t="s">
        <v>46</v>
      </c>
      <c r="F7" s="3" t="s">
        <v>115</v>
      </c>
      <c r="G7" s="3" t="s">
        <v>46</v>
      </c>
      <c r="H7" s="3" t="s">
        <v>116</v>
      </c>
      <c r="I7" s="3" t="s">
        <v>119</v>
      </c>
    </row>
    <row r="8" spans="1:9" ht="25" customHeight="1" x14ac:dyDescent="0.15">
      <c r="A8" s="3">
        <v>7</v>
      </c>
      <c r="B8" s="3" t="s">
        <v>120</v>
      </c>
      <c r="C8" s="3" t="s">
        <v>126</v>
      </c>
      <c r="D8" s="3" t="s">
        <v>127</v>
      </c>
      <c r="E8" s="3" t="s">
        <v>46</v>
      </c>
      <c r="F8" s="3" t="s">
        <v>46</v>
      </c>
      <c r="G8" s="3" t="s">
        <v>46</v>
      </c>
      <c r="H8" s="3" t="s">
        <v>128</v>
      </c>
      <c r="I8" s="3" t="s">
        <v>131</v>
      </c>
    </row>
    <row r="9" spans="1:9" ht="25" customHeight="1" x14ac:dyDescent="0.15">
      <c r="A9" s="3">
        <v>8</v>
      </c>
      <c r="B9" s="3" t="s">
        <v>132</v>
      </c>
      <c r="C9" s="3" t="s">
        <v>139</v>
      </c>
      <c r="D9" s="3" t="s">
        <v>46</v>
      </c>
      <c r="E9" s="3" t="s">
        <v>46</v>
      </c>
      <c r="F9" s="3" t="s">
        <v>140</v>
      </c>
      <c r="G9" s="3" t="s">
        <v>141</v>
      </c>
      <c r="H9" s="3" t="s">
        <v>46</v>
      </c>
      <c r="I9" s="3" t="s">
        <v>144</v>
      </c>
    </row>
    <row r="10" spans="1:9" ht="25" customHeight="1" x14ac:dyDescent="0.15">
      <c r="A10" s="3">
        <v>9</v>
      </c>
      <c r="B10" s="3" t="s">
        <v>145</v>
      </c>
      <c r="C10" s="3" t="s">
        <v>150</v>
      </c>
      <c r="D10" s="3" t="s">
        <v>46</v>
      </c>
      <c r="E10" s="3" t="s">
        <v>46</v>
      </c>
      <c r="F10" s="3" t="s">
        <v>151</v>
      </c>
      <c r="G10" s="3" t="s">
        <v>152</v>
      </c>
      <c r="H10" s="3" t="s">
        <v>46</v>
      </c>
      <c r="I10" s="3" t="s">
        <v>155</v>
      </c>
    </row>
    <row r="11" spans="1:9" ht="25" customHeight="1" x14ac:dyDescent="0.15">
      <c r="A11" s="3">
        <v>10</v>
      </c>
      <c r="B11" s="3" t="s">
        <v>156</v>
      </c>
      <c r="C11" s="3" t="s">
        <v>162</v>
      </c>
      <c r="D11" s="3" t="s">
        <v>163</v>
      </c>
      <c r="E11" s="3" t="s">
        <v>46</v>
      </c>
      <c r="F11" s="3" t="s">
        <v>164</v>
      </c>
      <c r="G11" s="3" t="s">
        <v>46</v>
      </c>
      <c r="H11" s="3" t="s">
        <v>46</v>
      </c>
      <c r="I11" s="3" t="s">
        <v>167</v>
      </c>
    </row>
    <row r="12" spans="1:9" ht="25" customHeight="1" x14ac:dyDescent="0.15">
      <c r="A12" s="3">
        <v>11</v>
      </c>
      <c r="B12" s="3" t="s">
        <v>168</v>
      </c>
      <c r="C12" s="3" t="s">
        <v>175</v>
      </c>
      <c r="D12" s="3" t="s">
        <v>176</v>
      </c>
      <c r="E12" s="3" t="s">
        <v>177</v>
      </c>
      <c r="F12" s="3" t="s">
        <v>178</v>
      </c>
      <c r="G12" s="3" t="s">
        <v>46</v>
      </c>
      <c r="H12" s="3" t="s">
        <v>46</v>
      </c>
      <c r="I12" s="3" t="s">
        <v>181</v>
      </c>
    </row>
    <row r="13" spans="1:9" ht="25" customHeight="1" x14ac:dyDescent="0.15">
      <c r="A13" s="3">
        <v>12</v>
      </c>
      <c r="B13" s="3" t="s">
        <v>182</v>
      </c>
      <c r="C13" s="3" t="s">
        <v>187</v>
      </c>
      <c r="D13" s="3" t="s">
        <v>188</v>
      </c>
      <c r="E13" s="3" t="s">
        <v>177</v>
      </c>
      <c r="F13" s="3" t="s">
        <v>189</v>
      </c>
      <c r="G13" s="3" t="s">
        <v>46</v>
      </c>
      <c r="H13" s="3" t="s">
        <v>46</v>
      </c>
      <c r="I13" s="3" t="s">
        <v>192</v>
      </c>
    </row>
    <row r="14" spans="1:9" ht="25" customHeight="1" x14ac:dyDescent="0.15">
      <c r="A14" s="3">
        <v>13</v>
      </c>
      <c r="B14" s="3" t="s">
        <v>193</v>
      </c>
      <c r="C14" s="3" t="s">
        <v>200</v>
      </c>
      <c r="D14" s="3" t="s">
        <v>201</v>
      </c>
      <c r="E14" s="3" t="s">
        <v>46</v>
      </c>
      <c r="F14" s="3" t="s">
        <v>46</v>
      </c>
      <c r="G14" s="3" t="s">
        <v>46</v>
      </c>
      <c r="H14" s="3" t="s">
        <v>46</v>
      </c>
      <c r="I14" s="3" t="s">
        <v>204</v>
      </c>
    </row>
    <row r="15" spans="1:9" ht="25" customHeight="1" x14ac:dyDescent="0.15">
      <c r="A15" s="3">
        <v>14</v>
      </c>
      <c r="B15" s="3" t="s">
        <v>205</v>
      </c>
      <c r="C15" s="3" t="s">
        <v>211</v>
      </c>
      <c r="D15" s="3" t="s">
        <v>212</v>
      </c>
      <c r="E15" s="3" t="s">
        <v>46</v>
      </c>
      <c r="F15" s="3" t="s">
        <v>46</v>
      </c>
      <c r="G15" s="3" t="s">
        <v>46</v>
      </c>
      <c r="H15" s="3" t="s">
        <v>46</v>
      </c>
      <c r="I15" s="3" t="s">
        <v>215</v>
      </c>
    </row>
    <row r="16" spans="1:9" ht="25" customHeight="1" x14ac:dyDescent="0.15">
      <c r="A16" s="3">
        <v>15</v>
      </c>
      <c r="B16" s="3" t="s">
        <v>216</v>
      </c>
      <c r="C16" s="3" t="s">
        <v>223</v>
      </c>
      <c r="D16" s="3" t="s">
        <v>224</v>
      </c>
      <c r="E16" s="3" t="s">
        <v>46</v>
      </c>
      <c r="F16" s="3" t="s">
        <v>46</v>
      </c>
      <c r="G16" s="3" t="s">
        <v>46</v>
      </c>
      <c r="H16" s="3" t="s">
        <v>46</v>
      </c>
      <c r="I16" s="3" t="s">
        <v>227</v>
      </c>
    </row>
    <row r="17" spans="1:9" ht="25" customHeight="1" x14ac:dyDescent="0.15">
      <c r="A17" s="3">
        <v>16</v>
      </c>
      <c r="B17" s="3" t="s">
        <v>228</v>
      </c>
      <c r="C17" s="3" t="s">
        <v>235</v>
      </c>
      <c r="D17" s="3" t="s">
        <v>46</v>
      </c>
      <c r="E17" s="3" t="s">
        <v>236</v>
      </c>
      <c r="F17" s="3" t="s">
        <v>237</v>
      </c>
      <c r="G17" s="3" t="s">
        <v>46</v>
      </c>
      <c r="H17" s="3" t="s">
        <v>238</v>
      </c>
      <c r="I17" s="3" t="s">
        <v>241</v>
      </c>
    </row>
    <row r="18" spans="1:9" ht="25" customHeight="1" x14ac:dyDescent="0.15">
      <c r="A18" s="3">
        <v>17</v>
      </c>
      <c r="B18" s="3" t="s">
        <v>242</v>
      </c>
      <c r="C18" s="3" t="s">
        <v>248</v>
      </c>
      <c r="D18" s="3" t="s">
        <v>249</v>
      </c>
      <c r="E18" s="3" t="s">
        <v>46</v>
      </c>
      <c r="F18" s="3" t="s">
        <v>250</v>
      </c>
      <c r="G18" s="3" t="s">
        <v>251</v>
      </c>
      <c r="H18" s="3" t="s">
        <v>46</v>
      </c>
      <c r="I18" s="3" t="s">
        <v>255</v>
      </c>
    </row>
    <row r="19" spans="1:9" ht="25" customHeight="1" x14ac:dyDescent="0.15">
      <c r="A19" s="3">
        <v>18</v>
      </c>
      <c r="B19" s="3" t="s">
        <v>256</v>
      </c>
      <c r="C19" s="3" t="s">
        <v>263</v>
      </c>
      <c r="D19" s="3" t="s">
        <v>264</v>
      </c>
      <c r="E19" s="3" t="s">
        <v>46</v>
      </c>
      <c r="F19" s="3" t="s">
        <v>265</v>
      </c>
      <c r="G19" s="3" t="s">
        <v>46</v>
      </c>
      <c r="H19" s="3" t="s">
        <v>46</v>
      </c>
      <c r="I19" s="3" t="s">
        <v>269</v>
      </c>
    </row>
    <row r="20" spans="1:9" ht="25" customHeight="1" x14ac:dyDescent="0.15">
      <c r="A20" s="3">
        <v>19</v>
      </c>
      <c r="B20" s="3" t="s">
        <v>270</v>
      </c>
      <c r="C20" s="3" t="s">
        <v>277</v>
      </c>
      <c r="D20" s="3" t="s">
        <v>278</v>
      </c>
      <c r="E20" s="3" t="s">
        <v>278</v>
      </c>
      <c r="F20" s="3" t="s">
        <v>278</v>
      </c>
      <c r="G20" s="3" t="s">
        <v>278</v>
      </c>
      <c r="H20" s="3" t="s">
        <v>46</v>
      </c>
      <c r="I20" s="3" t="s">
        <v>281</v>
      </c>
    </row>
    <row r="21" spans="1:9" ht="25" customHeight="1" x14ac:dyDescent="0.15">
      <c r="A21" s="3">
        <v>20</v>
      </c>
      <c r="B21" s="3" t="s">
        <v>282</v>
      </c>
      <c r="C21" s="3" t="s">
        <v>288</v>
      </c>
      <c r="D21" s="3" t="s">
        <v>278</v>
      </c>
      <c r="E21" s="3" t="s">
        <v>278</v>
      </c>
      <c r="F21" s="3" t="s">
        <v>278</v>
      </c>
      <c r="G21" s="3" t="s">
        <v>278</v>
      </c>
      <c r="H21" s="3" t="s">
        <v>46</v>
      </c>
      <c r="I21" s="3" t="s">
        <v>290</v>
      </c>
    </row>
    <row r="22" spans="1:9" ht="25" customHeight="1" x14ac:dyDescent="0.15">
      <c r="A22" s="3">
        <v>21</v>
      </c>
      <c r="B22" s="3" t="s">
        <v>291</v>
      </c>
      <c r="C22" s="3" t="s">
        <v>298</v>
      </c>
      <c r="D22" s="3"/>
      <c r="E22" s="3"/>
      <c r="F22" s="3"/>
      <c r="G22" s="3"/>
      <c r="H22" s="3"/>
      <c r="I22" s="3" t="s">
        <v>301</v>
      </c>
    </row>
    <row r="23" spans="1:9" ht="25" customHeight="1" x14ac:dyDescent="0.15">
      <c r="A23" s="3">
        <v>22</v>
      </c>
      <c r="B23" s="3" t="s">
        <v>302</v>
      </c>
      <c r="C23" s="3" t="s">
        <v>309</v>
      </c>
      <c r="D23" s="3" t="s">
        <v>310</v>
      </c>
      <c r="E23" s="3" t="s">
        <v>46</v>
      </c>
      <c r="F23" s="3" t="s">
        <v>311</v>
      </c>
      <c r="G23" s="3" t="s">
        <v>46</v>
      </c>
      <c r="H23" s="3" t="s">
        <v>46</v>
      </c>
      <c r="I23" s="3" t="s">
        <v>315</v>
      </c>
    </row>
    <row r="24" spans="1:9" ht="25" customHeight="1" x14ac:dyDescent="0.15">
      <c r="A24" s="3">
        <v>23</v>
      </c>
      <c r="B24" s="3" t="s">
        <v>316</v>
      </c>
      <c r="C24" s="3" t="s">
        <v>323</v>
      </c>
      <c r="D24" s="3" t="s">
        <v>46</v>
      </c>
      <c r="E24" s="3" t="s">
        <v>46</v>
      </c>
      <c r="F24" s="3" t="s">
        <v>324</v>
      </c>
      <c r="G24" s="3" t="s">
        <v>46</v>
      </c>
      <c r="H24" s="3" t="s">
        <v>325</v>
      </c>
      <c r="I24" s="3" t="s">
        <v>328</v>
      </c>
    </row>
    <row r="25" spans="1:9" ht="25" customHeight="1" x14ac:dyDescent="0.15">
      <c r="A25" s="3">
        <v>24</v>
      </c>
      <c r="B25" s="3" t="s">
        <v>329</v>
      </c>
      <c r="C25" s="3" t="s">
        <v>336</v>
      </c>
      <c r="D25" s="3" t="s">
        <v>337</v>
      </c>
      <c r="E25" s="3" t="s">
        <v>46</v>
      </c>
      <c r="F25" s="3" t="s">
        <v>46</v>
      </c>
      <c r="G25" s="3" t="s">
        <v>46</v>
      </c>
      <c r="H25" s="3" t="s">
        <v>46</v>
      </c>
      <c r="I25" s="3" t="s">
        <v>341</v>
      </c>
    </row>
    <row r="26" spans="1:9" ht="25" customHeight="1" x14ac:dyDescent="0.15">
      <c r="A26" s="3">
        <v>25</v>
      </c>
      <c r="B26" s="3" t="s">
        <v>342</v>
      </c>
      <c r="C26" s="3" t="s">
        <v>347</v>
      </c>
      <c r="D26" s="3" t="s">
        <v>46</v>
      </c>
      <c r="E26" s="3" t="s">
        <v>46</v>
      </c>
      <c r="F26" s="3" t="s">
        <v>348</v>
      </c>
      <c r="G26" s="3" t="s">
        <v>46</v>
      </c>
      <c r="H26" s="3" t="s">
        <v>46</v>
      </c>
      <c r="I26" s="3" t="s">
        <v>352</v>
      </c>
    </row>
    <row r="27" spans="1:9" ht="25" customHeight="1" x14ac:dyDescent="0.15">
      <c r="A27" s="3">
        <v>26</v>
      </c>
      <c r="B27" s="3" t="s">
        <v>353</v>
      </c>
      <c r="C27" s="3" t="s">
        <v>360</v>
      </c>
      <c r="D27" s="4" t="s">
        <v>46</v>
      </c>
      <c r="E27" s="3" t="s">
        <v>361</v>
      </c>
      <c r="F27" s="3" t="s">
        <v>362</v>
      </c>
      <c r="G27" s="3" t="s">
        <v>363</v>
      </c>
      <c r="H27" s="3" t="s">
        <v>364</v>
      </c>
      <c r="I27" s="3" t="s">
        <v>367</v>
      </c>
    </row>
    <row r="28" spans="1:9" ht="25" customHeight="1" x14ac:dyDescent="0.15">
      <c r="A28" s="3">
        <v>27</v>
      </c>
      <c r="B28" s="3" t="s">
        <v>368</v>
      </c>
      <c r="C28" s="3" t="s">
        <v>375</v>
      </c>
      <c r="D28" s="3" t="s">
        <v>46</v>
      </c>
      <c r="E28" s="3" t="s">
        <v>46</v>
      </c>
      <c r="F28" s="3" t="s">
        <v>46</v>
      </c>
      <c r="G28" s="3" t="s">
        <v>376</v>
      </c>
      <c r="H28" s="3" t="s">
        <v>46</v>
      </c>
      <c r="I28" s="3" t="s">
        <v>379</v>
      </c>
    </row>
    <row r="29" spans="1:9" ht="25" customHeight="1" x14ac:dyDescent="0.15">
      <c r="A29" s="3">
        <v>28</v>
      </c>
      <c r="B29" s="3" t="s">
        <v>380</v>
      </c>
      <c r="C29" s="3" t="s">
        <v>387</v>
      </c>
      <c r="D29" s="3" t="s">
        <v>388</v>
      </c>
      <c r="E29" s="3" t="s">
        <v>46</v>
      </c>
      <c r="F29" s="3" t="s">
        <v>389</v>
      </c>
      <c r="G29" s="3" t="s">
        <v>46</v>
      </c>
      <c r="H29" s="3" t="s">
        <v>390</v>
      </c>
      <c r="I29" s="3" t="s">
        <v>393</v>
      </c>
    </row>
    <row r="30" spans="1:9" ht="25" customHeight="1" x14ac:dyDescent="0.15">
      <c r="A30" s="3">
        <v>29</v>
      </c>
      <c r="B30" s="3" t="s">
        <v>394</v>
      </c>
      <c r="C30" s="3" t="s">
        <v>401</v>
      </c>
      <c r="D30" s="3" t="s">
        <v>46</v>
      </c>
      <c r="E30" s="4" t="s">
        <v>46</v>
      </c>
      <c r="F30" s="3" t="s">
        <v>402</v>
      </c>
      <c r="G30" s="3" t="s">
        <v>46</v>
      </c>
      <c r="H30" s="3" t="s">
        <v>46</v>
      </c>
      <c r="I30" s="3" t="s">
        <v>406</v>
      </c>
    </row>
    <row r="31" spans="1:9" ht="25" customHeight="1" x14ac:dyDescent="0.15">
      <c r="A31" s="3">
        <v>30</v>
      </c>
      <c r="B31" s="3" t="s">
        <v>407</v>
      </c>
      <c r="C31" s="3" t="s">
        <v>414</v>
      </c>
      <c r="D31" s="3" t="s">
        <v>46</v>
      </c>
      <c r="E31" s="3" t="s">
        <v>46</v>
      </c>
      <c r="F31" s="3" t="s">
        <v>46</v>
      </c>
      <c r="G31" s="3" t="s">
        <v>46</v>
      </c>
      <c r="H31" s="3" t="s">
        <v>46</v>
      </c>
      <c r="I31" s="3" t="s">
        <v>419</v>
      </c>
    </row>
    <row r="32" spans="1:9" ht="25" customHeight="1" x14ac:dyDescent="0.15">
      <c r="A32" s="3">
        <v>31</v>
      </c>
      <c r="B32" s="3" t="s">
        <v>420</v>
      </c>
      <c r="C32" s="4" t="s">
        <v>427</v>
      </c>
      <c r="D32" s="3"/>
      <c r="E32" s="3"/>
      <c r="F32" s="3"/>
      <c r="G32" s="3"/>
      <c r="H32" s="3"/>
      <c r="I32" s="4" t="s">
        <v>430</v>
      </c>
    </row>
    <row r="33" spans="1:9" ht="25" customHeight="1" x14ac:dyDescent="0.15">
      <c r="A33" s="3">
        <v>32</v>
      </c>
      <c r="B33" s="4" t="s">
        <v>431</v>
      </c>
      <c r="C33" s="4" t="s">
        <v>438</v>
      </c>
      <c r="D33" s="4" t="s">
        <v>439</v>
      </c>
      <c r="E33" s="3"/>
      <c r="F33" s="4" t="s">
        <v>440</v>
      </c>
      <c r="G33" s="3"/>
      <c r="H33" s="3"/>
      <c r="I33" s="4" t="s">
        <v>442</v>
      </c>
    </row>
    <row r="34" spans="1:9" ht="25" customHeight="1" x14ac:dyDescent="0.15">
      <c r="A34" s="3">
        <v>33</v>
      </c>
      <c r="B34" s="4" t="s">
        <v>443</v>
      </c>
      <c r="C34" s="4" t="s">
        <v>450</v>
      </c>
      <c r="D34" s="3"/>
      <c r="E34" s="3"/>
      <c r="F34" s="3"/>
      <c r="G34" s="3"/>
      <c r="H34" s="3"/>
      <c r="I34" s="4" t="s">
        <v>453</v>
      </c>
    </row>
    <row r="35" spans="1:9" ht="25" customHeight="1" x14ac:dyDescent="0.15">
      <c r="A35" s="3">
        <v>34</v>
      </c>
      <c r="B35" s="4" t="s">
        <v>454</v>
      </c>
      <c r="C35" s="4" t="s">
        <v>460</v>
      </c>
      <c r="D35" s="3"/>
      <c r="E35" s="4" t="s">
        <v>461</v>
      </c>
      <c r="F35" s="3"/>
      <c r="G35" s="3"/>
      <c r="H35" s="3"/>
      <c r="I35" s="3" t="s">
        <v>464</v>
      </c>
    </row>
    <row r="36" spans="1:9" ht="25" customHeight="1" x14ac:dyDescent="0.15">
      <c r="A36" s="3">
        <v>35</v>
      </c>
      <c r="B36" s="4" t="s">
        <v>465</v>
      </c>
      <c r="C36" s="4" t="s">
        <v>471</v>
      </c>
      <c r="D36" s="3"/>
      <c r="E36" s="3"/>
      <c r="F36" s="4" t="s">
        <v>472</v>
      </c>
      <c r="G36" s="3"/>
      <c r="H36" s="4" t="s">
        <v>473</v>
      </c>
      <c r="I36" s="4" t="s">
        <v>476</v>
      </c>
    </row>
    <row r="37" spans="1:9" ht="25" customHeight="1" x14ac:dyDescent="0.15">
      <c r="A37" s="3">
        <v>36</v>
      </c>
      <c r="B37" s="4" t="s">
        <v>477</v>
      </c>
      <c r="C37" s="4" t="s">
        <v>484</v>
      </c>
      <c r="D37" s="3"/>
      <c r="E37" s="3"/>
      <c r="F37" s="3"/>
      <c r="G37" s="3"/>
      <c r="H37" s="3"/>
      <c r="I37" s="4" t="s">
        <v>487</v>
      </c>
    </row>
    <row r="38" spans="1:9" ht="25" customHeight="1" x14ac:dyDescent="0.15">
      <c r="A38" s="3">
        <v>37</v>
      </c>
      <c r="B38" s="4" t="s">
        <v>488</v>
      </c>
      <c r="C38" s="4" t="s">
        <v>494</v>
      </c>
      <c r="D38" s="3"/>
      <c r="E38" s="3"/>
      <c r="F38" s="3"/>
      <c r="G38" s="3"/>
      <c r="H38" s="3"/>
      <c r="I38" s="4" t="s">
        <v>497</v>
      </c>
    </row>
    <row r="39" spans="1:9" ht="25" customHeight="1" x14ac:dyDescent="0.15">
      <c r="A39" s="3">
        <v>38</v>
      </c>
      <c r="B39" s="4" t="s">
        <v>498</v>
      </c>
      <c r="C39" s="4" t="s">
        <v>505</v>
      </c>
      <c r="D39" s="3"/>
      <c r="E39" s="3"/>
      <c r="F39" s="3"/>
      <c r="G39" s="3"/>
      <c r="H39" s="3"/>
      <c r="I39" s="4" t="s">
        <v>508</v>
      </c>
    </row>
    <row r="40" spans="1:9" ht="25" customHeight="1" x14ac:dyDescent="0.15">
      <c r="A40" s="3">
        <v>39</v>
      </c>
      <c r="B40" s="4" t="s">
        <v>509</v>
      </c>
      <c r="C40" s="4" t="s">
        <v>516</v>
      </c>
      <c r="D40" s="4" t="s">
        <v>517</v>
      </c>
      <c r="E40" s="4" t="s">
        <v>518</v>
      </c>
      <c r="F40" s="4" t="s">
        <v>519</v>
      </c>
      <c r="G40" s="3"/>
      <c r="H40" s="3"/>
      <c r="I40" s="4" t="s">
        <v>522</v>
      </c>
    </row>
    <row r="41" spans="1:9" ht="25" customHeight="1" x14ac:dyDescent="0.15">
      <c r="A41" s="3">
        <v>40</v>
      </c>
      <c r="B41" s="4" t="s">
        <v>523</v>
      </c>
      <c r="C41" s="4" t="s">
        <v>530</v>
      </c>
      <c r="D41" s="3"/>
      <c r="E41" s="3"/>
      <c r="F41" s="3"/>
      <c r="G41" s="3"/>
      <c r="H41" s="3"/>
      <c r="I41" s="4" t="s">
        <v>533</v>
      </c>
    </row>
    <row r="42" spans="1:9" ht="25" customHeight="1" x14ac:dyDescent="0.15">
      <c r="A42" s="3">
        <v>41</v>
      </c>
      <c r="B42" s="4" t="s">
        <v>534</v>
      </c>
      <c r="C42" s="4" t="s">
        <v>541</v>
      </c>
      <c r="D42" s="3"/>
      <c r="E42" s="3"/>
      <c r="F42" s="3"/>
      <c r="G42" s="3"/>
      <c r="H42" s="3"/>
      <c r="I42" s="4" t="s">
        <v>544</v>
      </c>
    </row>
    <row r="43" spans="1:9" ht="25" customHeight="1" x14ac:dyDescent="0.15">
      <c r="A43" s="3">
        <v>42</v>
      </c>
      <c r="B43" s="4" t="s">
        <v>545</v>
      </c>
      <c r="C43" s="4" t="s">
        <v>552</v>
      </c>
      <c r="D43" s="3"/>
      <c r="E43" s="4" t="s">
        <v>553</v>
      </c>
      <c r="F43" s="3"/>
      <c r="G43" s="3"/>
      <c r="H43" s="3"/>
      <c r="I43" s="4" t="s">
        <v>556</v>
      </c>
    </row>
    <row r="44" spans="1:9" ht="25" customHeight="1" x14ac:dyDescent="0.15">
      <c r="A44" s="3">
        <v>43</v>
      </c>
      <c r="B44" s="4" t="s">
        <v>557</v>
      </c>
      <c r="C44" s="4" t="s">
        <v>564</v>
      </c>
      <c r="D44" s="3"/>
      <c r="E44" s="3"/>
      <c r="F44" s="3"/>
      <c r="G44" s="3"/>
      <c r="H44" s="3"/>
      <c r="I44" s="4" t="s">
        <v>567</v>
      </c>
    </row>
    <row r="45" spans="1:9" ht="25" customHeight="1" x14ac:dyDescent="0.15">
      <c r="A45" s="3">
        <v>44</v>
      </c>
      <c r="B45" s="4" t="s">
        <v>568</v>
      </c>
      <c r="C45" s="4" t="s">
        <v>575</v>
      </c>
      <c r="D45" s="3"/>
      <c r="E45" s="3"/>
      <c r="F45" s="3"/>
      <c r="G45" s="3"/>
      <c r="H45" s="3"/>
      <c r="I45" s="4" t="s">
        <v>577</v>
      </c>
    </row>
    <row r="46" spans="1:9" ht="25" customHeight="1" x14ac:dyDescent="0.15">
      <c r="A46" s="3">
        <v>45</v>
      </c>
      <c r="B46" s="4" t="s">
        <v>578</v>
      </c>
      <c r="C46" s="4" t="s">
        <v>585</v>
      </c>
      <c r="D46" s="3"/>
      <c r="E46" s="3"/>
      <c r="F46" s="3"/>
      <c r="G46" s="3"/>
      <c r="H46" s="3"/>
      <c r="I46" s="4" t="s">
        <v>589</v>
      </c>
    </row>
    <row r="47" spans="1:9" ht="25" customHeight="1" x14ac:dyDescent="0.15">
      <c r="A47" s="3">
        <v>46</v>
      </c>
      <c r="B47" s="4" t="s">
        <v>590</v>
      </c>
      <c r="C47" s="4" t="s">
        <v>596</v>
      </c>
      <c r="D47" s="3"/>
      <c r="E47" s="3"/>
      <c r="F47" s="3"/>
      <c r="G47" s="3"/>
      <c r="H47" s="3"/>
      <c r="I47" s="4" t="s">
        <v>599</v>
      </c>
    </row>
    <row r="48" spans="1:9" ht="25" customHeight="1" x14ac:dyDescent="0.15">
      <c r="A48" s="3">
        <v>47</v>
      </c>
      <c r="B48" s="4" t="s">
        <v>600</v>
      </c>
      <c r="C48" s="4" t="s">
        <v>607</v>
      </c>
      <c r="D48" s="3"/>
      <c r="E48" s="4" t="s">
        <v>249</v>
      </c>
      <c r="F48" s="3"/>
      <c r="G48" s="3"/>
      <c r="H48" s="3"/>
      <c r="I48" s="4" t="s">
        <v>611</v>
      </c>
    </row>
    <row r="49" spans="1:9" ht="25" customHeight="1" x14ac:dyDescent="0.15">
      <c r="A49" s="3">
        <v>48</v>
      </c>
      <c r="B49" s="4" t="s">
        <v>612</v>
      </c>
      <c r="C49" s="4" t="s">
        <v>619</v>
      </c>
      <c r="D49" s="3"/>
      <c r="E49" s="3"/>
      <c r="F49" s="3"/>
      <c r="G49" s="3"/>
      <c r="H49" s="3"/>
      <c r="I49" s="3" t="s">
        <v>622</v>
      </c>
    </row>
    <row r="50" spans="1:9" ht="25" customHeight="1" x14ac:dyDescent="0.15">
      <c r="A50" s="3">
        <v>49</v>
      </c>
      <c r="B50" s="4" t="s">
        <v>623</v>
      </c>
      <c r="C50" s="4" t="s">
        <v>628</v>
      </c>
      <c r="D50" s="3"/>
      <c r="E50" s="3"/>
      <c r="F50" s="3"/>
      <c r="G50" s="3"/>
      <c r="H50" s="3"/>
      <c r="I50" s="4" t="s">
        <v>631</v>
      </c>
    </row>
    <row r="51" spans="1:9" ht="25" customHeight="1" x14ac:dyDescent="0.15">
      <c r="A51" s="3">
        <v>50</v>
      </c>
      <c r="B51" s="4" t="s">
        <v>632</v>
      </c>
      <c r="C51" s="4" t="s">
        <v>639</v>
      </c>
      <c r="D51" s="3"/>
      <c r="E51" s="3"/>
      <c r="F51" s="3"/>
      <c r="G51" s="3"/>
      <c r="H51" s="3"/>
      <c r="I51" s="4" t="s">
        <v>642</v>
      </c>
    </row>
    <row r="52" spans="1:9" ht="25" customHeight="1" x14ac:dyDescent="0.15">
      <c r="A52" s="3">
        <v>51</v>
      </c>
      <c r="B52" s="4" t="s">
        <v>643</v>
      </c>
      <c r="C52" s="4" t="s">
        <v>650</v>
      </c>
      <c r="D52" s="4" t="s">
        <v>651</v>
      </c>
      <c r="E52" s="3"/>
      <c r="F52" s="4" t="s">
        <v>652</v>
      </c>
      <c r="G52" s="3"/>
      <c r="H52" s="3"/>
      <c r="I52" s="4" t="s">
        <v>656</v>
      </c>
    </row>
    <row r="53" spans="1:9" ht="25" customHeight="1" x14ac:dyDescent="0.15">
      <c r="A53" s="3">
        <v>52</v>
      </c>
      <c r="B53" s="4" t="s">
        <v>657</v>
      </c>
      <c r="C53" s="4" t="s">
        <v>664</v>
      </c>
      <c r="D53" s="3"/>
      <c r="E53" s="3"/>
      <c r="F53" s="3"/>
      <c r="G53" s="3"/>
      <c r="H53" s="3"/>
      <c r="I53" s="4" t="s">
        <v>667</v>
      </c>
    </row>
    <row r="54" spans="1:9" ht="25" customHeight="1" x14ac:dyDescent="0.15">
      <c r="A54" s="3">
        <v>53</v>
      </c>
      <c r="B54" s="4" t="s">
        <v>668</v>
      </c>
      <c r="C54" s="4" t="s">
        <v>675</v>
      </c>
      <c r="D54" s="3"/>
      <c r="E54" s="3"/>
      <c r="F54" s="3"/>
      <c r="G54" s="3"/>
      <c r="H54" s="3"/>
      <c r="I54" s="4" t="s">
        <v>678</v>
      </c>
    </row>
    <row r="55" spans="1:9" ht="25" customHeight="1" x14ac:dyDescent="0.15">
      <c r="A55" s="3">
        <v>54</v>
      </c>
      <c r="B55" s="4" t="s">
        <v>679</v>
      </c>
      <c r="C55" s="4" t="s">
        <v>686</v>
      </c>
      <c r="D55" s="3"/>
      <c r="E55" s="3"/>
      <c r="F55" s="4" t="s">
        <v>687</v>
      </c>
      <c r="G55" s="3"/>
      <c r="H55" s="3"/>
      <c r="I55" s="4" t="s">
        <v>690</v>
      </c>
    </row>
    <row r="56" spans="1:9" ht="25" customHeight="1" x14ac:dyDescent="0.15">
      <c r="A56" s="3">
        <v>55</v>
      </c>
      <c r="B56" s="4" t="s">
        <v>691</v>
      </c>
      <c r="C56" s="4" t="s">
        <v>698</v>
      </c>
      <c r="D56" s="3"/>
      <c r="E56" s="4" t="s">
        <v>699</v>
      </c>
      <c r="F56" s="4" t="s">
        <v>700</v>
      </c>
      <c r="G56" s="3"/>
      <c r="H56" s="4" t="s">
        <v>152</v>
      </c>
      <c r="I56" s="4" t="s">
        <v>704</v>
      </c>
    </row>
    <row r="57" spans="1:9" ht="25" customHeight="1" x14ac:dyDescent="0.15">
      <c r="A57" s="3">
        <v>56</v>
      </c>
      <c r="B57" s="4" t="s">
        <v>705</v>
      </c>
      <c r="C57" s="4" t="s">
        <v>712</v>
      </c>
      <c r="D57" s="4" t="s">
        <v>713</v>
      </c>
      <c r="E57" s="3"/>
      <c r="F57" s="3"/>
      <c r="G57" s="4" t="s">
        <v>714</v>
      </c>
      <c r="H57" s="4" t="s">
        <v>715</v>
      </c>
      <c r="I57" s="4" t="s">
        <v>719</v>
      </c>
    </row>
    <row r="58" spans="1:9" ht="25" customHeight="1" x14ac:dyDescent="0.15">
      <c r="A58" s="3">
        <v>57</v>
      </c>
      <c r="B58" s="4" t="s">
        <v>720</v>
      </c>
      <c r="C58" s="4" t="s">
        <v>727</v>
      </c>
      <c r="D58" s="4" t="s">
        <v>728</v>
      </c>
      <c r="E58" s="4" t="s">
        <v>729</v>
      </c>
      <c r="F58" s="3"/>
      <c r="G58" s="3"/>
      <c r="H58" s="3"/>
      <c r="I58" s="4" t="s">
        <v>733</v>
      </c>
    </row>
    <row r="59" spans="1:9" ht="25" customHeight="1" x14ac:dyDescent="0.15">
      <c r="A59" s="3">
        <v>58</v>
      </c>
      <c r="B59" s="4" t="s">
        <v>734</v>
      </c>
      <c r="C59" s="4" t="s">
        <v>741</v>
      </c>
      <c r="D59" s="3"/>
      <c r="E59" s="3"/>
      <c r="F59" s="3"/>
      <c r="G59" s="3"/>
      <c r="H59" s="3"/>
      <c r="I59" s="4" t="s">
        <v>744</v>
      </c>
    </row>
    <row r="60" spans="1:9" ht="25" customHeight="1" x14ac:dyDescent="0.15">
      <c r="A60" s="3">
        <v>59</v>
      </c>
      <c r="B60" s="4" t="s">
        <v>745</v>
      </c>
      <c r="C60" s="4" t="s">
        <v>752</v>
      </c>
      <c r="D60" s="3"/>
      <c r="E60" s="4" t="s">
        <v>753</v>
      </c>
      <c r="F60" s="3"/>
      <c r="G60" s="3"/>
      <c r="H60" s="4" t="s">
        <v>754</v>
      </c>
      <c r="I60" s="4" t="s">
        <v>757</v>
      </c>
    </row>
    <row r="61" spans="1:9" ht="25" customHeight="1" x14ac:dyDescent="0.15">
      <c r="A61" s="3">
        <v>60</v>
      </c>
      <c r="B61" s="4" t="s">
        <v>758</v>
      </c>
      <c r="C61" s="4" t="s">
        <v>765</v>
      </c>
      <c r="D61" s="4" t="s">
        <v>766</v>
      </c>
      <c r="E61" s="4" t="s">
        <v>767</v>
      </c>
      <c r="F61" s="3"/>
      <c r="G61" s="3"/>
      <c r="H61" s="3"/>
      <c r="I61" s="4" t="s">
        <v>770</v>
      </c>
    </row>
    <row r="62" spans="1:9" ht="25" customHeight="1" x14ac:dyDescent="0.15">
      <c r="A62" s="3">
        <v>61</v>
      </c>
      <c r="B62" s="4" t="s">
        <v>771</v>
      </c>
      <c r="C62" s="4" t="s">
        <v>778</v>
      </c>
      <c r="D62" s="3"/>
      <c r="E62" s="3"/>
      <c r="F62" s="3"/>
      <c r="G62" s="3"/>
      <c r="H62" s="3"/>
      <c r="I62" s="4" t="s">
        <v>781</v>
      </c>
    </row>
    <row r="63" spans="1:9" ht="25" customHeight="1" x14ac:dyDescent="0.15">
      <c r="A63" s="3">
        <v>62</v>
      </c>
      <c r="B63" s="4" t="s">
        <v>782</v>
      </c>
      <c r="C63" s="4" t="s">
        <v>789</v>
      </c>
      <c r="D63" s="3"/>
      <c r="E63" s="3"/>
      <c r="F63" s="3"/>
      <c r="G63" s="3"/>
      <c r="H63" s="3"/>
      <c r="I63" s="4" t="s">
        <v>792</v>
      </c>
    </row>
    <row r="64" spans="1:9" ht="25" customHeight="1" x14ac:dyDescent="0.15">
      <c r="A64" s="3">
        <v>63</v>
      </c>
      <c r="B64" s="4" t="s">
        <v>793</v>
      </c>
      <c r="C64" s="4" t="s">
        <v>800</v>
      </c>
      <c r="D64" s="4" t="s">
        <v>801</v>
      </c>
      <c r="E64" s="3"/>
      <c r="F64" s="4" t="s">
        <v>802</v>
      </c>
      <c r="G64" s="3"/>
      <c r="H64" s="3"/>
      <c r="I64" s="4" t="s">
        <v>804</v>
      </c>
    </row>
    <row r="65" spans="1:9" ht="25" customHeight="1" x14ac:dyDescent="0.15">
      <c r="A65" s="3">
        <v>64</v>
      </c>
      <c r="B65" s="4" t="s">
        <v>805</v>
      </c>
      <c r="C65" s="4" t="s">
        <v>812</v>
      </c>
      <c r="D65" s="3"/>
      <c r="E65" s="3"/>
      <c r="F65" s="3"/>
      <c r="G65" s="3"/>
      <c r="H65" s="3"/>
      <c r="I65" s="4" t="s">
        <v>815</v>
      </c>
    </row>
    <row r="66" spans="1:9" ht="25" customHeight="1" x14ac:dyDescent="0.15">
      <c r="A66" s="3">
        <v>65</v>
      </c>
      <c r="B66" s="4" t="s">
        <v>816</v>
      </c>
      <c r="C66" s="4" t="s">
        <v>823</v>
      </c>
      <c r="D66" s="4" t="s">
        <v>824</v>
      </c>
      <c r="E66" s="3"/>
      <c r="F66" s="4" t="s">
        <v>825</v>
      </c>
      <c r="G66" s="3"/>
      <c r="H66" s="3"/>
      <c r="I66" s="4" t="s">
        <v>828</v>
      </c>
    </row>
    <row r="67" spans="1:9" ht="25" customHeight="1" x14ac:dyDescent="0.15">
      <c r="A67" s="3">
        <v>66</v>
      </c>
      <c r="B67" s="4" t="s">
        <v>829</v>
      </c>
      <c r="C67" s="4" t="s">
        <v>836</v>
      </c>
      <c r="D67" s="4" t="s">
        <v>837</v>
      </c>
      <c r="E67" s="3"/>
      <c r="F67" s="3"/>
      <c r="G67" s="3"/>
      <c r="H67" s="3"/>
      <c r="I67" s="4" t="s">
        <v>840</v>
      </c>
    </row>
    <row r="68" spans="1:9" ht="25" customHeight="1" x14ac:dyDescent="0.15">
      <c r="A68" s="3">
        <v>67</v>
      </c>
      <c r="B68" s="4" t="s">
        <v>841</v>
      </c>
      <c r="C68" s="4" t="s">
        <v>848</v>
      </c>
      <c r="D68" s="4" t="s">
        <v>849</v>
      </c>
      <c r="E68" s="3"/>
      <c r="F68" s="4" t="s">
        <v>850</v>
      </c>
      <c r="G68" s="3"/>
      <c r="H68" s="3"/>
      <c r="I68" s="4" t="s">
        <v>853</v>
      </c>
    </row>
    <row r="69" spans="1:9" ht="25" customHeight="1" x14ac:dyDescent="0.15">
      <c r="A69" s="3">
        <v>68</v>
      </c>
      <c r="B69" s="4" t="s">
        <v>854</v>
      </c>
      <c r="C69" s="4" t="s">
        <v>860</v>
      </c>
      <c r="D69" s="3"/>
      <c r="E69" s="3"/>
      <c r="F69" s="3"/>
      <c r="G69" s="3"/>
      <c r="H69" s="3"/>
      <c r="I69" s="4" t="s">
        <v>863</v>
      </c>
    </row>
    <row r="70" spans="1:9" ht="25" customHeight="1" x14ac:dyDescent="0.15">
      <c r="A70" s="3">
        <v>69</v>
      </c>
      <c r="B70" s="4" t="s">
        <v>864</v>
      </c>
      <c r="C70" s="4" t="s">
        <v>871</v>
      </c>
      <c r="D70" s="3"/>
      <c r="E70" s="3"/>
      <c r="F70" s="3"/>
      <c r="G70" s="3"/>
      <c r="H70" s="3"/>
      <c r="I70" s="4" t="s">
        <v>874</v>
      </c>
    </row>
    <row r="71" spans="1:9" ht="25" customHeight="1" x14ac:dyDescent="0.15">
      <c r="A71" s="3">
        <v>70</v>
      </c>
      <c r="B71" s="4" t="s">
        <v>875</v>
      </c>
      <c r="C71" s="4" t="s">
        <v>882</v>
      </c>
      <c r="D71" s="4" t="s">
        <v>883</v>
      </c>
      <c r="E71" s="4" t="s">
        <v>884</v>
      </c>
      <c r="F71" s="3"/>
      <c r="G71" s="3"/>
      <c r="H71" s="3"/>
      <c r="I71" s="4" t="s">
        <v>887</v>
      </c>
    </row>
    <row r="72" spans="1:9" ht="25" customHeight="1" x14ac:dyDescent="0.15">
      <c r="A72" s="3">
        <v>71</v>
      </c>
      <c r="B72" s="4" t="s">
        <v>888</v>
      </c>
      <c r="C72" s="4" t="s">
        <v>895</v>
      </c>
      <c r="D72" s="4" t="s">
        <v>896</v>
      </c>
      <c r="E72" s="3"/>
      <c r="F72" s="4" t="s">
        <v>896</v>
      </c>
      <c r="G72" s="3"/>
      <c r="H72" s="3"/>
      <c r="I72" s="3" t="s">
        <v>900</v>
      </c>
    </row>
    <row r="73" spans="1:9" ht="25" customHeight="1" x14ac:dyDescent="0.15">
      <c r="A73" s="3">
        <v>72</v>
      </c>
      <c r="B73" s="4" t="s">
        <v>901</v>
      </c>
      <c r="C73" s="4" t="s">
        <v>908</v>
      </c>
      <c r="D73" s="4" t="s">
        <v>909</v>
      </c>
      <c r="E73" s="3"/>
      <c r="F73" s="4" t="s">
        <v>909</v>
      </c>
      <c r="G73" s="3"/>
      <c r="H73" s="3"/>
      <c r="I73" s="3" t="s">
        <v>912</v>
      </c>
    </row>
    <row r="74" spans="1:9" ht="25" customHeight="1" x14ac:dyDescent="0.15">
      <c r="A74" s="3">
        <v>73</v>
      </c>
      <c r="B74" s="4" t="s">
        <v>913</v>
      </c>
      <c r="C74" s="4" t="s">
        <v>920</v>
      </c>
      <c r="D74" s="4" t="s">
        <v>921</v>
      </c>
      <c r="E74" s="3"/>
      <c r="F74" s="3"/>
      <c r="G74" s="3"/>
      <c r="H74" s="3"/>
      <c r="I74" s="3" t="s">
        <v>924</v>
      </c>
    </row>
    <row r="75" spans="1:9" ht="25" customHeight="1" x14ac:dyDescent="0.15">
      <c r="A75" s="3">
        <v>74</v>
      </c>
      <c r="B75" s="4" t="s">
        <v>925</v>
      </c>
      <c r="C75" s="4" t="s">
        <v>929</v>
      </c>
      <c r="D75" s="3"/>
      <c r="E75" s="3"/>
      <c r="F75" s="4" t="s">
        <v>930</v>
      </c>
      <c r="G75" s="3"/>
      <c r="H75" s="3"/>
      <c r="I75" s="3" t="s">
        <v>933</v>
      </c>
    </row>
    <row r="76" spans="1:9" ht="25" customHeight="1" x14ac:dyDescent="0.15">
      <c r="A76" s="3">
        <v>75</v>
      </c>
      <c r="B76" s="4" t="s">
        <v>934</v>
      </c>
      <c r="C76" s="4" t="s">
        <v>941</v>
      </c>
      <c r="D76" s="4" t="s">
        <v>942</v>
      </c>
      <c r="E76" s="3"/>
      <c r="F76" s="4" t="s">
        <v>943</v>
      </c>
      <c r="G76" s="3"/>
      <c r="H76" s="3"/>
      <c r="I76" s="3" t="s">
        <v>947</v>
      </c>
    </row>
    <row r="77" spans="1:9" ht="25" customHeight="1" x14ac:dyDescent="0.15">
      <c r="A77" s="3">
        <v>76</v>
      </c>
      <c r="B77" s="4" t="s">
        <v>948</v>
      </c>
      <c r="C77" s="4" t="s">
        <v>955</v>
      </c>
      <c r="D77" s="3"/>
      <c r="E77" s="3"/>
      <c r="F77" s="4" t="s">
        <v>956</v>
      </c>
      <c r="G77" s="3"/>
      <c r="H77" s="3"/>
      <c r="I77" s="4" t="s">
        <v>960</v>
      </c>
    </row>
    <row r="78" spans="1:9" ht="25" customHeight="1" x14ac:dyDescent="0.15">
      <c r="A78" s="3">
        <v>77</v>
      </c>
      <c r="B78" s="4" t="s">
        <v>961</v>
      </c>
      <c r="C78" s="4" t="s">
        <v>968</v>
      </c>
      <c r="D78" s="3"/>
      <c r="E78" s="4" t="s">
        <v>969</v>
      </c>
      <c r="F78" s="4" t="s">
        <v>970</v>
      </c>
      <c r="G78" s="4" t="s">
        <v>971</v>
      </c>
      <c r="H78" s="4" t="s">
        <v>972</v>
      </c>
      <c r="I78" s="4" t="s">
        <v>975</v>
      </c>
    </row>
    <row r="79" spans="1:9" ht="25" customHeight="1" x14ac:dyDescent="0.15">
      <c r="A79" s="3">
        <v>78</v>
      </c>
      <c r="B79" s="4" t="s">
        <v>976</v>
      </c>
      <c r="C79" s="4" t="s">
        <v>983</v>
      </c>
      <c r="D79" s="4" t="s">
        <v>984</v>
      </c>
      <c r="E79" s="3"/>
      <c r="F79" s="4" t="s">
        <v>984</v>
      </c>
      <c r="G79" s="3"/>
      <c r="H79" s="3"/>
      <c r="I79" s="4" t="s">
        <v>987</v>
      </c>
    </row>
    <row r="80" spans="1:9" ht="25" customHeight="1" x14ac:dyDescent="0.15">
      <c r="A80" s="3">
        <v>79</v>
      </c>
      <c r="B80" s="4" t="s">
        <v>988</v>
      </c>
      <c r="C80" s="4" t="s">
        <v>994</v>
      </c>
      <c r="D80" s="3"/>
      <c r="E80" s="3"/>
      <c r="F80" s="4" t="s">
        <v>995</v>
      </c>
      <c r="G80" s="3"/>
      <c r="H80" s="3"/>
      <c r="I80" s="3" t="s">
        <v>998</v>
      </c>
    </row>
    <row r="81" spans="1:9" ht="25" customHeight="1" x14ac:dyDescent="0.15">
      <c r="A81" s="3">
        <v>80</v>
      </c>
      <c r="B81" s="4" t="s">
        <v>999</v>
      </c>
      <c r="C81" s="4" t="s">
        <v>1006</v>
      </c>
      <c r="D81" s="4" t="s">
        <v>1007</v>
      </c>
      <c r="E81" s="4" t="s">
        <v>1008</v>
      </c>
      <c r="F81" s="4" t="s">
        <v>1009</v>
      </c>
      <c r="G81" s="3"/>
      <c r="H81" s="4" t="s">
        <v>1010</v>
      </c>
      <c r="I81" s="4" t="s">
        <v>1013</v>
      </c>
    </row>
    <row r="82" spans="1:9" ht="25" customHeight="1" x14ac:dyDescent="0.15">
      <c r="A82" s="3">
        <v>81</v>
      </c>
      <c r="B82" s="4" t="s">
        <v>1014</v>
      </c>
      <c r="C82" s="4" t="s">
        <v>1021</v>
      </c>
      <c r="D82" s="3"/>
      <c r="E82" s="3"/>
      <c r="F82" s="4" t="s">
        <v>1022</v>
      </c>
      <c r="G82" s="3"/>
      <c r="H82" s="3"/>
      <c r="I82" s="4" t="s">
        <v>1026</v>
      </c>
    </row>
    <row r="83" spans="1:9" ht="25" customHeight="1" x14ac:dyDescent="0.15">
      <c r="A83" s="3">
        <v>82</v>
      </c>
      <c r="B83" s="4" t="s">
        <v>1027</v>
      </c>
      <c r="C83" s="4" t="s">
        <v>1033</v>
      </c>
      <c r="D83" s="4" t="s">
        <v>1034</v>
      </c>
      <c r="E83" s="3"/>
      <c r="F83" s="4" t="s">
        <v>1035</v>
      </c>
      <c r="G83" s="3"/>
      <c r="H83" s="3"/>
      <c r="I83" s="4" t="s">
        <v>1039</v>
      </c>
    </row>
    <row r="84" spans="1:9" ht="25" customHeight="1" x14ac:dyDescent="0.15">
      <c r="A84" s="3">
        <v>83</v>
      </c>
      <c r="B84" s="4" t="s">
        <v>1040</v>
      </c>
      <c r="C84" s="4" t="s">
        <v>1047</v>
      </c>
      <c r="D84" s="3" t="s">
        <v>1048</v>
      </c>
      <c r="E84" s="3" t="s">
        <v>1049</v>
      </c>
      <c r="F84" s="4" t="s">
        <v>716</v>
      </c>
      <c r="G84" s="3"/>
      <c r="H84" s="3"/>
      <c r="I84" s="4" t="s">
        <v>1053</v>
      </c>
    </row>
    <row r="85" spans="1:9" ht="25" customHeight="1" x14ac:dyDescent="0.15">
      <c r="A85" s="3">
        <v>84</v>
      </c>
      <c r="B85" s="4" t="s">
        <v>1054</v>
      </c>
      <c r="C85" s="4" t="s">
        <v>1061</v>
      </c>
      <c r="D85" s="3"/>
      <c r="E85" s="3"/>
      <c r="F85" s="4" t="s">
        <v>1062</v>
      </c>
      <c r="G85" s="3"/>
      <c r="H85" s="3"/>
      <c r="I85" s="3" t="s">
        <v>1065</v>
      </c>
    </row>
    <row r="86" spans="1:9" ht="25" customHeight="1" x14ac:dyDescent="0.15">
      <c r="A86" s="3">
        <v>85</v>
      </c>
      <c r="B86" s="4" t="s">
        <v>1066</v>
      </c>
      <c r="C86" s="4" t="s">
        <v>1073</v>
      </c>
      <c r="D86" s="3"/>
      <c r="E86" s="3"/>
      <c r="F86" s="4" t="s">
        <v>1074</v>
      </c>
      <c r="G86" s="3"/>
      <c r="H86" s="3"/>
      <c r="I86" s="4" t="s">
        <v>1076</v>
      </c>
    </row>
    <row r="87" spans="1:9" ht="25" customHeight="1" x14ac:dyDescent="0.15">
      <c r="A87" s="3">
        <v>86</v>
      </c>
      <c r="B87" s="4" t="s">
        <v>1077</v>
      </c>
      <c r="C87" s="4" t="s">
        <v>1084</v>
      </c>
      <c r="D87" s="3"/>
      <c r="E87" s="3"/>
      <c r="F87" s="4" t="s">
        <v>1085</v>
      </c>
      <c r="G87" s="4" t="s">
        <v>1086</v>
      </c>
      <c r="H87" s="3" t="s">
        <v>1087</v>
      </c>
      <c r="I87" s="4" t="s">
        <v>1090</v>
      </c>
    </row>
    <row r="88" spans="1:9" ht="25" customHeight="1" x14ac:dyDescent="0.15">
      <c r="A88" s="3">
        <v>87</v>
      </c>
      <c r="B88" s="4" t="s">
        <v>1091</v>
      </c>
      <c r="C88" s="4" t="s">
        <v>1098</v>
      </c>
      <c r="D88" s="4" t="s">
        <v>1099</v>
      </c>
      <c r="E88" s="3"/>
      <c r="F88" s="3"/>
      <c r="G88" s="3" t="s">
        <v>1100</v>
      </c>
      <c r="H88" s="3" t="s">
        <v>1101</v>
      </c>
      <c r="I88" s="3" t="s">
        <v>1104</v>
      </c>
    </row>
    <row r="89" spans="1:9" ht="25" customHeight="1" x14ac:dyDescent="0.15">
      <c r="A89" s="3">
        <v>88</v>
      </c>
      <c r="B89" s="4" t="s">
        <v>1105</v>
      </c>
      <c r="C89" s="4" t="s">
        <v>1112</v>
      </c>
      <c r="D89" s="3"/>
      <c r="E89" s="3"/>
      <c r="F89" s="3"/>
      <c r="G89" s="3"/>
      <c r="H89" s="3"/>
      <c r="I89" s="3" t="s">
        <v>1115</v>
      </c>
    </row>
    <row r="90" spans="1:9" ht="25" customHeight="1" x14ac:dyDescent="0.15">
      <c r="A90" s="3">
        <v>89</v>
      </c>
      <c r="B90" s="4" t="s">
        <v>1116</v>
      </c>
      <c r="C90" s="4" t="s">
        <v>1123</v>
      </c>
      <c r="D90" s="3"/>
      <c r="E90" s="4" t="s">
        <v>1124</v>
      </c>
      <c r="F90" s="3"/>
      <c r="G90" s="3"/>
      <c r="H90" s="3"/>
      <c r="I90" s="4" t="s">
        <v>1128</v>
      </c>
    </row>
    <row r="91" spans="1:9" ht="25" customHeight="1" x14ac:dyDescent="0.15">
      <c r="A91" s="3">
        <v>90</v>
      </c>
      <c r="B91" s="4" t="s">
        <v>1129</v>
      </c>
      <c r="C91" s="4" t="s">
        <v>1136</v>
      </c>
      <c r="D91" s="4" t="s">
        <v>1137</v>
      </c>
      <c r="E91" s="3"/>
      <c r="F91" s="3"/>
      <c r="G91" s="3"/>
      <c r="H91" s="4" t="s">
        <v>1137</v>
      </c>
      <c r="I91" s="3" t="s">
        <v>1142</v>
      </c>
    </row>
    <row r="92" spans="1:9" ht="25" customHeight="1" x14ac:dyDescent="0.15">
      <c r="A92" s="3">
        <v>91</v>
      </c>
      <c r="B92" s="4" t="s">
        <v>1143</v>
      </c>
      <c r="C92" s="4" t="s">
        <v>1149</v>
      </c>
      <c r="D92" s="3"/>
      <c r="E92" s="3"/>
      <c r="F92" s="4" t="s">
        <v>1150</v>
      </c>
      <c r="G92" s="3"/>
      <c r="H92" s="3"/>
      <c r="I92" s="4" t="s">
        <v>1153</v>
      </c>
    </row>
    <row r="93" spans="1:9" ht="25" customHeight="1" x14ac:dyDescent="0.15">
      <c r="A93" s="3">
        <v>92</v>
      </c>
      <c r="B93" s="4" t="s">
        <v>1154</v>
      </c>
      <c r="C93" s="4" t="s">
        <v>1161</v>
      </c>
      <c r="D93" s="4" t="s">
        <v>1162</v>
      </c>
      <c r="E93" s="3"/>
      <c r="F93" s="4" t="s">
        <v>1163</v>
      </c>
      <c r="G93" s="3"/>
      <c r="H93" s="3"/>
      <c r="I93" s="4" t="s">
        <v>1166</v>
      </c>
    </row>
    <row r="94" spans="1:9" ht="25" customHeight="1" x14ac:dyDescent="0.15">
      <c r="A94" s="3">
        <v>93</v>
      </c>
      <c r="B94" s="4" t="s">
        <v>1167</v>
      </c>
      <c r="C94" s="4" t="s">
        <v>1174</v>
      </c>
      <c r="D94" s="3"/>
      <c r="E94" s="3"/>
      <c r="F94" s="3"/>
      <c r="G94" s="3"/>
      <c r="H94" s="3"/>
      <c r="I94" s="4" t="s">
        <v>1177</v>
      </c>
    </row>
    <row r="95" spans="1:9" ht="25" customHeight="1" x14ac:dyDescent="0.15">
      <c r="A95" s="3">
        <v>94</v>
      </c>
      <c r="B95" s="4" t="s">
        <v>1178</v>
      </c>
      <c r="C95" s="4" t="s">
        <v>1182</v>
      </c>
      <c r="D95" s="3"/>
      <c r="E95" s="3"/>
      <c r="F95" s="3"/>
      <c r="G95" s="3"/>
      <c r="H95" s="3"/>
      <c r="I95" s="4" t="s">
        <v>1185</v>
      </c>
    </row>
    <row r="96" spans="1:9" ht="25" customHeight="1" x14ac:dyDescent="0.15">
      <c r="A96" s="3">
        <v>95</v>
      </c>
      <c r="B96" s="4" t="s">
        <v>1186</v>
      </c>
      <c r="C96" s="4" t="s">
        <v>1193</v>
      </c>
      <c r="D96" s="4" t="s">
        <v>1194</v>
      </c>
      <c r="E96" s="3"/>
      <c r="F96" s="3"/>
      <c r="G96" s="3"/>
      <c r="H96" s="3"/>
      <c r="I96" s="4" t="s">
        <v>1197</v>
      </c>
    </row>
    <row r="97" spans="1:9" ht="25" customHeight="1" x14ac:dyDescent="0.15">
      <c r="A97" s="3">
        <v>96</v>
      </c>
      <c r="B97" s="4" t="s">
        <v>1198</v>
      </c>
      <c r="C97" s="4" t="s">
        <v>1205</v>
      </c>
      <c r="D97" s="4" t="s">
        <v>1206</v>
      </c>
      <c r="E97" s="4" t="s">
        <v>1207</v>
      </c>
      <c r="F97" s="4" t="s">
        <v>1208</v>
      </c>
      <c r="G97" s="4" t="s">
        <v>1209</v>
      </c>
      <c r="H97" s="3"/>
      <c r="I97" s="4" t="s">
        <v>1213</v>
      </c>
    </row>
    <row r="98" spans="1:9" ht="25" customHeight="1" x14ac:dyDescent="0.15">
      <c r="A98" s="3">
        <v>97</v>
      </c>
      <c r="B98" s="4" t="s">
        <v>1214</v>
      </c>
      <c r="C98" s="4" t="s">
        <v>1221</v>
      </c>
      <c r="D98" s="4" t="s">
        <v>1222</v>
      </c>
      <c r="E98" s="3"/>
      <c r="F98" s="3"/>
      <c r="G98" s="3"/>
      <c r="H98" s="3"/>
      <c r="I98" s="4" t="s">
        <v>1226</v>
      </c>
    </row>
    <row r="99" spans="1:9" ht="25" customHeight="1" x14ac:dyDescent="0.15">
      <c r="A99" s="3">
        <v>98</v>
      </c>
      <c r="B99" s="4" t="s">
        <v>1227</v>
      </c>
      <c r="C99" s="4" t="s">
        <v>1234</v>
      </c>
      <c r="D99" s="3"/>
      <c r="E99" s="3"/>
      <c r="F99" s="3"/>
      <c r="G99" s="3"/>
      <c r="H99" s="4" t="s">
        <v>1235</v>
      </c>
      <c r="I99" s="4" t="s">
        <v>1239</v>
      </c>
    </row>
    <row r="100" spans="1:9" ht="25" customHeight="1" x14ac:dyDescent="0.15">
      <c r="A100" s="3">
        <v>99</v>
      </c>
      <c r="B100" s="4" t="s">
        <v>1240</v>
      </c>
      <c r="C100" s="4" t="s">
        <v>1247</v>
      </c>
      <c r="D100" s="3"/>
      <c r="E100" s="3"/>
      <c r="F100" s="3"/>
      <c r="G100" s="3"/>
      <c r="H100" s="3"/>
      <c r="I100" s="4" t="s">
        <v>1250</v>
      </c>
    </row>
    <row r="101" spans="1:9" ht="25" customHeight="1" x14ac:dyDescent="0.15">
      <c r="A101" s="3">
        <v>100</v>
      </c>
      <c r="B101" s="4" t="s">
        <v>1251</v>
      </c>
      <c r="C101" s="4" t="s">
        <v>1257</v>
      </c>
      <c r="D101" s="3"/>
      <c r="E101" s="4" t="s">
        <v>1258</v>
      </c>
      <c r="F101" s="3"/>
      <c r="G101" s="3"/>
      <c r="H101" s="3"/>
      <c r="I101" s="4" t="s">
        <v>1262</v>
      </c>
    </row>
    <row r="102" spans="1:9" ht="25" customHeight="1" x14ac:dyDescent="0.15">
      <c r="A102" s="3">
        <v>101</v>
      </c>
      <c r="B102" s="3" t="s">
        <v>1263</v>
      </c>
      <c r="C102" s="3" t="s">
        <v>1269</v>
      </c>
      <c r="D102" s="3"/>
      <c r="E102" s="3" t="s">
        <v>1270</v>
      </c>
      <c r="F102" s="3"/>
      <c r="G102" s="3"/>
      <c r="H102" s="3"/>
      <c r="I102" s="3" t="s">
        <v>1274</v>
      </c>
    </row>
    <row r="103" spans="1:9" ht="25" customHeight="1" x14ac:dyDescent="0.15">
      <c r="A103" s="3">
        <v>102</v>
      </c>
      <c r="B103" s="3" t="s">
        <v>1275</v>
      </c>
      <c r="C103" s="3" t="s">
        <v>1282</v>
      </c>
      <c r="D103" s="3"/>
      <c r="E103" s="3"/>
      <c r="F103" s="3"/>
      <c r="G103" s="3"/>
      <c r="H103" s="3"/>
      <c r="I103" s="3" t="s">
        <v>1285</v>
      </c>
    </row>
    <row r="104" spans="1:9" ht="25" customHeight="1" x14ac:dyDescent="0.15">
      <c r="A104" s="3">
        <v>103</v>
      </c>
      <c r="B104" s="3" t="s">
        <v>1286</v>
      </c>
      <c r="C104" s="4" t="s">
        <v>1293</v>
      </c>
      <c r="D104" s="3" t="s">
        <v>1294</v>
      </c>
      <c r="E104" s="3"/>
      <c r="F104" s="3" t="s">
        <v>1295</v>
      </c>
      <c r="G104" s="3"/>
      <c r="H104" s="3"/>
      <c r="I104" s="3" t="s">
        <v>1299</v>
      </c>
    </row>
    <row r="105" spans="1:9" ht="25" customHeight="1" x14ac:dyDescent="0.15">
      <c r="A105" s="3">
        <v>104</v>
      </c>
      <c r="B105" s="4" t="s">
        <v>1300</v>
      </c>
      <c r="C105" s="3" t="s">
        <v>1307</v>
      </c>
      <c r="D105" s="3"/>
      <c r="E105" s="4" t="s">
        <v>1308</v>
      </c>
      <c r="F105" s="4" t="s">
        <v>1309</v>
      </c>
      <c r="G105" s="3" t="s">
        <v>1310</v>
      </c>
      <c r="H105" s="3"/>
      <c r="I105" s="3" t="s">
        <v>1313</v>
      </c>
    </row>
    <row r="106" spans="1:9" ht="25" customHeight="1" x14ac:dyDescent="0.15">
      <c r="A106" s="3">
        <v>105</v>
      </c>
      <c r="B106" s="4" t="s">
        <v>1314</v>
      </c>
      <c r="C106" s="4" t="s">
        <v>1321</v>
      </c>
      <c r="D106" s="3"/>
      <c r="E106" s="3"/>
      <c r="F106" s="3"/>
      <c r="G106" s="3"/>
      <c r="H106" s="3"/>
      <c r="I106" s="3" t="s">
        <v>1323</v>
      </c>
    </row>
    <row r="107" spans="1:9" ht="25" customHeight="1" x14ac:dyDescent="0.15">
      <c r="A107" s="3">
        <v>106</v>
      </c>
      <c r="B107" s="4" t="s">
        <v>1324</v>
      </c>
      <c r="C107" s="4" t="s">
        <v>1331</v>
      </c>
      <c r="D107" s="3"/>
      <c r="E107" s="4" t="s">
        <v>1332</v>
      </c>
      <c r="F107" s="4" t="s">
        <v>1333</v>
      </c>
      <c r="G107" s="3"/>
      <c r="H107" s="4" t="s">
        <v>1334</v>
      </c>
      <c r="I107" s="4" t="s">
        <v>1336</v>
      </c>
    </row>
    <row r="108" spans="1:9" ht="25" customHeight="1" x14ac:dyDescent="0.15">
      <c r="A108" s="3">
        <v>107</v>
      </c>
      <c r="B108" s="4" t="s">
        <v>1337</v>
      </c>
      <c r="C108" s="4" t="s">
        <v>1344</v>
      </c>
      <c r="D108" s="3"/>
      <c r="E108" s="3"/>
      <c r="F108" s="3"/>
      <c r="G108" s="3"/>
      <c r="H108" s="3"/>
      <c r="I108" s="3" t="s">
        <v>1346</v>
      </c>
    </row>
    <row r="109" spans="1:9" ht="25" customHeight="1" x14ac:dyDescent="0.15">
      <c r="A109" s="3">
        <v>108</v>
      </c>
      <c r="B109" s="4" t="s">
        <v>1347</v>
      </c>
      <c r="C109" s="4" t="s">
        <v>1354</v>
      </c>
      <c r="D109" s="3"/>
      <c r="E109" s="3"/>
      <c r="F109" s="3"/>
      <c r="G109" s="3"/>
      <c r="H109" s="3"/>
      <c r="I109" s="3" t="s">
        <v>1357</v>
      </c>
    </row>
    <row r="110" spans="1:9" ht="25" customHeight="1" x14ac:dyDescent="0.15">
      <c r="A110" s="3">
        <v>109</v>
      </c>
      <c r="B110" s="4" t="s">
        <v>1358</v>
      </c>
      <c r="C110" s="4" t="s">
        <v>1365</v>
      </c>
      <c r="D110" s="3"/>
      <c r="E110" s="4" t="s">
        <v>1366</v>
      </c>
      <c r="F110" s="4" t="s">
        <v>1367</v>
      </c>
      <c r="G110" s="3"/>
      <c r="H110" s="3"/>
      <c r="I110" s="3" t="s">
        <v>1369</v>
      </c>
    </row>
    <row r="111" spans="1:9" ht="25" customHeight="1" x14ac:dyDescent="0.15">
      <c r="A111" s="3">
        <v>110</v>
      </c>
      <c r="B111" s="4" t="s">
        <v>1370</v>
      </c>
      <c r="C111" s="4" t="s">
        <v>1377</v>
      </c>
      <c r="D111" s="3"/>
      <c r="E111" s="3"/>
      <c r="F111" s="3"/>
      <c r="G111" s="3"/>
      <c r="H111" s="3"/>
      <c r="I111" s="3" t="s">
        <v>1379</v>
      </c>
    </row>
    <row r="112" spans="1:9" ht="25" customHeight="1" x14ac:dyDescent="0.15">
      <c r="A112" s="3">
        <v>111</v>
      </c>
      <c r="B112" s="4" t="s">
        <v>1380</v>
      </c>
      <c r="C112" s="4" t="s">
        <v>1387</v>
      </c>
      <c r="D112" s="3"/>
      <c r="E112" s="3"/>
      <c r="F112" s="4" t="s">
        <v>1388</v>
      </c>
      <c r="G112" s="4" t="s">
        <v>1389</v>
      </c>
      <c r="H112" s="3"/>
      <c r="I112" s="3" t="s">
        <v>1392</v>
      </c>
    </row>
    <row r="113" spans="1:9" ht="25" customHeight="1" x14ac:dyDescent="0.15">
      <c r="A113" s="3">
        <v>112</v>
      </c>
      <c r="B113" s="4" t="s">
        <v>1393</v>
      </c>
      <c r="C113" s="4" t="s">
        <v>1400</v>
      </c>
      <c r="D113" s="3"/>
      <c r="E113" s="3"/>
      <c r="F113" s="3"/>
      <c r="G113" s="3"/>
      <c r="H113" s="3"/>
      <c r="I113" s="3" t="s">
        <v>1403</v>
      </c>
    </row>
    <row r="114" spans="1:9" ht="25" customHeight="1" x14ac:dyDescent="0.15">
      <c r="A114" s="3">
        <v>113</v>
      </c>
      <c r="B114" s="4" t="s">
        <v>1404</v>
      </c>
      <c r="C114" s="4" t="s">
        <v>1410</v>
      </c>
      <c r="D114" s="3"/>
      <c r="E114" s="3"/>
      <c r="F114" s="3"/>
      <c r="G114" s="3"/>
      <c r="H114" s="3"/>
      <c r="I114" s="3" t="s">
        <v>1412</v>
      </c>
    </row>
    <row r="115" spans="1:9" ht="25" customHeight="1" x14ac:dyDescent="0.15">
      <c r="A115" s="3">
        <v>114</v>
      </c>
      <c r="B115" s="4" t="s">
        <v>1413</v>
      </c>
      <c r="C115" s="4" t="s">
        <v>1420</v>
      </c>
      <c r="D115" s="3"/>
      <c r="E115" s="3"/>
      <c r="F115" s="3"/>
      <c r="G115" s="3"/>
      <c r="H115" s="3"/>
      <c r="I115" s="3" t="s">
        <v>1423</v>
      </c>
    </row>
    <row r="116" spans="1:9" ht="25" customHeight="1" x14ac:dyDescent="0.15">
      <c r="A116" s="3">
        <v>115</v>
      </c>
      <c r="B116" s="4" t="s">
        <v>1424</v>
      </c>
      <c r="C116" s="4" t="s">
        <v>1431</v>
      </c>
      <c r="D116" s="4" t="s">
        <v>1432</v>
      </c>
      <c r="E116" s="3"/>
      <c r="F116" s="3"/>
      <c r="G116" s="3"/>
      <c r="H116" s="3"/>
      <c r="I116" s="3" t="s">
        <v>1436</v>
      </c>
    </row>
    <row r="117" spans="1:9" ht="25" customHeight="1" x14ac:dyDescent="0.15">
      <c r="A117" s="3">
        <v>116</v>
      </c>
      <c r="B117" s="4" t="s">
        <v>1437</v>
      </c>
      <c r="C117" s="4" t="s">
        <v>1444</v>
      </c>
      <c r="D117" s="3"/>
      <c r="E117" s="3"/>
      <c r="F117" s="4" t="s">
        <v>1445</v>
      </c>
      <c r="G117" s="4" t="s">
        <v>1446</v>
      </c>
      <c r="H117" s="4" t="s">
        <v>1447</v>
      </c>
      <c r="I117" s="3" t="s">
        <v>1451</v>
      </c>
    </row>
    <row r="118" spans="1:9" ht="25" customHeight="1" x14ac:dyDescent="0.15">
      <c r="A118" s="3">
        <v>117</v>
      </c>
      <c r="B118" s="4" t="s">
        <v>1452</v>
      </c>
      <c r="C118" s="4" t="s">
        <v>1459</v>
      </c>
      <c r="D118" s="3"/>
      <c r="E118" s="3"/>
      <c r="F118" s="3"/>
      <c r="G118" s="3"/>
      <c r="H118" s="3"/>
      <c r="I118" s="4" t="s">
        <v>1461</v>
      </c>
    </row>
    <row r="119" spans="1:9" ht="25" customHeight="1" x14ac:dyDescent="0.15">
      <c r="A119" s="3">
        <v>118</v>
      </c>
      <c r="B119" s="4" t="s">
        <v>1462</v>
      </c>
      <c r="C119" s="4" t="s">
        <v>1469</v>
      </c>
      <c r="D119" s="3"/>
      <c r="E119" s="3"/>
      <c r="F119" s="3"/>
      <c r="G119" s="3"/>
      <c r="H119" s="3"/>
      <c r="I119" s="3" t="s">
        <v>1472</v>
      </c>
    </row>
    <row r="120" spans="1:9" ht="25" customHeight="1" x14ac:dyDescent="0.15">
      <c r="A120" s="3">
        <v>119</v>
      </c>
      <c r="B120" s="4" t="s">
        <v>1473</v>
      </c>
      <c r="C120" s="4" t="s">
        <v>1480</v>
      </c>
      <c r="D120" s="4" t="s">
        <v>1481</v>
      </c>
      <c r="E120" s="3"/>
      <c r="F120" s="4" t="s">
        <v>1482</v>
      </c>
      <c r="G120" s="3"/>
      <c r="H120" s="3"/>
      <c r="I120" s="3" t="s">
        <v>1485</v>
      </c>
    </row>
    <row r="121" spans="1:9" ht="25" customHeight="1" x14ac:dyDescent="0.15">
      <c r="A121" s="3">
        <v>120</v>
      </c>
      <c r="B121" s="4" t="s">
        <v>1486</v>
      </c>
      <c r="C121" s="4" t="s">
        <v>1493</v>
      </c>
      <c r="D121" s="3"/>
      <c r="E121" s="3"/>
      <c r="F121" s="4" t="s">
        <v>1494</v>
      </c>
      <c r="G121" s="4" t="s">
        <v>1495</v>
      </c>
      <c r="H121" s="4" t="s">
        <v>1496</v>
      </c>
      <c r="I121" s="3" t="s">
        <v>1500</v>
      </c>
    </row>
    <row r="122" spans="1:9" ht="25" customHeight="1" x14ac:dyDescent="0.15">
      <c r="A122" s="3">
        <v>121</v>
      </c>
      <c r="B122" s="4" t="s">
        <v>1501</v>
      </c>
      <c r="C122" s="4" t="s">
        <v>1508</v>
      </c>
      <c r="D122" s="3"/>
      <c r="E122" s="3"/>
      <c r="F122" s="3"/>
      <c r="G122" s="3" t="s">
        <v>1509</v>
      </c>
      <c r="H122" s="3"/>
      <c r="I122" s="3" t="s">
        <v>1512</v>
      </c>
    </row>
    <row r="123" spans="1:9" ht="25" customHeight="1" x14ac:dyDescent="0.15">
      <c r="A123" s="3">
        <v>122</v>
      </c>
      <c r="B123" s="4" t="s">
        <v>1513</v>
      </c>
      <c r="C123" s="4" t="s">
        <v>1520</v>
      </c>
      <c r="D123" s="4" t="s">
        <v>1521</v>
      </c>
      <c r="E123" s="3"/>
      <c r="F123" s="4" t="s">
        <v>1522</v>
      </c>
      <c r="G123" s="3"/>
      <c r="H123" s="3"/>
      <c r="I123" s="3" t="s">
        <v>1526</v>
      </c>
    </row>
    <row r="124" spans="1:9" ht="25" customHeight="1" x14ac:dyDescent="0.15">
      <c r="A124" s="3">
        <v>123</v>
      </c>
      <c r="B124" s="4" t="s">
        <v>1527</v>
      </c>
      <c r="C124" s="4" t="s">
        <v>1534</v>
      </c>
      <c r="D124" s="3"/>
      <c r="E124" s="3"/>
      <c r="F124" s="3"/>
      <c r="G124" s="3" t="s">
        <v>1535</v>
      </c>
      <c r="H124" s="3"/>
      <c r="I124" s="3" t="s">
        <v>1538</v>
      </c>
    </row>
    <row r="125" spans="1:9" ht="25" customHeight="1" x14ac:dyDescent="0.15">
      <c r="A125" s="3">
        <v>124</v>
      </c>
      <c r="B125" s="4" t="s">
        <v>1539</v>
      </c>
      <c r="C125" s="4" t="s">
        <v>1546</v>
      </c>
      <c r="D125" s="3"/>
      <c r="E125" s="3"/>
      <c r="F125" s="3"/>
      <c r="G125" s="3"/>
      <c r="H125" s="3"/>
      <c r="I125" s="3" t="s">
        <v>1549</v>
      </c>
    </row>
    <row r="126" spans="1:9" ht="25" customHeight="1" x14ac:dyDescent="0.15">
      <c r="A126" s="3">
        <v>125</v>
      </c>
      <c r="B126" s="4" t="s">
        <v>1550</v>
      </c>
      <c r="C126" s="4" t="s">
        <v>1557</v>
      </c>
      <c r="D126" s="3"/>
      <c r="E126" s="3"/>
      <c r="F126" s="3"/>
      <c r="G126" s="3"/>
      <c r="H126" s="3"/>
      <c r="I126" s="3"/>
    </row>
    <row r="127" spans="1:9" ht="25" customHeight="1" x14ac:dyDescent="0.15">
      <c r="A127" s="3">
        <v>126</v>
      </c>
      <c r="B127" s="4" t="s">
        <v>1560</v>
      </c>
      <c r="C127" s="4" t="s">
        <v>1567</v>
      </c>
      <c r="D127" s="3"/>
      <c r="E127" s="3"/>
      <c r="F127" s="4" t="s">
        <v>1568</v>
      </c>
      <c r="G127" s="4" t="s">
        <v>1569</v>
      </c>
      <c r="H127" s="3"/>
      <c r="I127" s="3" t="s">
        <v>1572</v>
      </c>
    </row>
    <row r="128" spans="1:9" ht="25" customHeight="1" x14ac:dyDescent="0.15">
      <c r="A128" s="3">
        <v>127</v>
      </c>
      <c r="B128" s="4" t="s">
        <v>1573</v>
      </c>
      <c r="C128" s="4" t="s">
        <v>1580</v>
      </c>
      <c r="D128" s="3"/>
      <c r="E128" s="4" t="s">
        <v>1581</v>
      </c>
      <c r="F128" s="4" t="s">
        <v>1582</v>
      </c>
      <c r="G128" s="4" t="s">
        <v>1583</v>
      </c>
      <c r="H128" s="4" t="s">
        <v>1584</v>
      </c>
      <c r="I128" s="3" t="s">
        <v>1588</v>
      </c>
    </row>
    <row r="129" spans="1:9" ht="25" customHeight="1" x14ac:dyDescent="0.15">
      <c r="A129" s="3">
        <v>128</v>
      </c>
      <c r="B129" s="4" t="s">
        <v>1589</v>
      </c>
      <c r="C129" s="4" t="s">
        <v>1596</v>
      </c>
      <c r="D129" s="4" t="s">
        <v>1597</v>
      </c>
      <c r="E129" s="3"/>
      <c r="F129" s="4" t="s">
        <v>1598</v>
      </c>
      <c r="G129" s="4" t="s">
        <v>1599</v>
      </c>
      <c r="H129" s="4" t="s">
        <v>1600</v>
      </c>
      <c r="I129" s="3" t="s">
        <v>1604</v>
      </c>
    </row>
    <row r="130" spans="1:9" ht="25" customHeight="1" x14ac:dyDescent="0.15">
      <c r="A130" s="3">
        <v>129</v>
      </c>
      <c r="B130" s="4" t="s">
        <v>1605</v>
      </c>
      <c r="C130" s="4" t="s">
        <v>1612</v>
      </c>
      <c r="D130" s="4" t="s">
        <v>1613</v>
      </c>
      <c r="E130" s="4" t="s">
        <v>1614</v>
      </c>
      <c r="F130" s="4" t="s">
        <v>1615</v>
      </c>
      <c r="G130" s="3"/>
      <c r="H130" s="3"/>
      <c r="I130" s="4" t="s">
        <v>1618</v>
      </c>
    </row>
    <row r="131" spans="1:9" ht="25" customHeight="1" x14ac:dyDescent="0.15">
      <c r="A131" s="3">
        <v>130</v>
      </c>
      <c r="B131" s="4" t="s">
        <v>1619</v>
      </c>
      <c r="C131" s="4" t="s">
        <v>1626</v>
      </c>
      <c r="D131" s="3"/>
      <c r="E131" s="3"/>
      <c r="F131" s="4" t="s">
        <v>1627</v>
      </c>
      <c r="G131" s="3"/>
      <c r="H131" s="3"/>
      <c r="I131" s="3" t="s">
        <v>1631</v>
      </c>
    </row>
    <row r="132" spans="1:9" ht="25" customHeight="1" x14ac:dyDescent="0.15">
      <c r="A132" s="3">
        <v>131</v>
      </c>
      <c r="B132" s="4" t="s">
        <v>1632</v>
      </c>
      <c r="C132" s="4" t="s">
        <v>1639</v>
      </c>
      <c r="D132" s="4" t="s">
        <v>1640</v>
      </c>
      <c r="E132" s="4" t="s">
        <v>1641</v>
      </c>
      <c r="F132" s="4" t="s">
        <v>1642</v>
      </c>
      <c r="G132" s="3"/>
      <c r="H132" s="3"/>
      <c r="I132" s="3" t="s">
        <v>1645</v>
      </c>
    </row>
    <row r="133" spans="1:9" ht="25" customHeight="1" x14ac:dyDescent="0.15">
      <c r="A133" s="3">
        <v>132</v>
      </c>
      <c r="B133" s="4" t="s">
        <v>1646</v>
      </c>
      <c r="C133" s="4" t="s">
        <v>1653</v>
      </c>
      <c r="D133" s="4" t="s">
        <v>1654</v>
      </c>
      <c r="E133" s="4" t="s">
        <v>1654</v>
      </c>
      <c r="F133" s="4" t="s">
        <v>1655</v>
      </c>
      <c r="G133" s="4" t="s">
        <v>1656</v>
      </c>
      <c r="H133" s="3"/>
      <c r="I133" s="4" t="s">
        <v>1660</v>
      </c>
    </row>
    <row r="134" spans="1:9" ht="25" customHeight="1" x14ac:dyDescent="0.15">
      <c r="A134" s="3">
        <v>133</v>
      </c>
      <c r="B134" s="4" t="s">
        <v>1661</v>
      </c>
      <c r="C134" s="4" t="s">
        <v>1668</v>
      </c>
      <c r="D134" s="4" t="s">
        <v>1669</v>
      </c>
      <c r="E134" s="3"/>
      <c r="F134" s="4" t="s">
        <v>1670</v>
      </c>
      <c r="G134" s="4" t="s">
        <v>1671</v>
      </c>
      <c r="H134" s="4" t="s">
        <v>1223</v>
      </c>
      <c r="I134" s="3" t="s">
        <v>1674</v>
      </c>
    </row>
    <row r="135" spans="1:9" ht="25" customHeight="1" x14ac:dyDescent="0.15">
      <c r="A135" s="3">
        <v>134</v>
      </c>
      <c r="B135" s="4" t="s">
        <v>1675</v>
      </c>
      <c r="C135" s="4" t="s">
        <v>1681</v>
      </c>
      <c r="E135" s="3"/>
      <c r="F135" s="3"/>
      <c r="G135" s="3"/>
      <c r="H135" s="4" t="s">
        <v>1682</v>
      </c>
      <c r="I135" s="3" t="s">
        <v>1686</v>
      </c>
    </row>
    <row r="136" spans="1:9" ht="25" customHeight="1" x14ac:dyDescent="0.15">
      <c r="A136" s="3">
        <v>135</v>
      </c>
      <c r="B136" s="4" t="s">
        <v>1687</v>
      </c>
      <c r="C136" s="4" t="s">
        <v>1693</v>
      </c>
      <c r="D136" s="3"/>
      <c r="E136" s="4" t="s">
        <v>1694</v>
      </c>
      <c r="F136" s="3"/>
      <c r="G136" s="3"/>
      <c r="H136" s="3"/>
      <c r="I136" s="3" t="s">
        <v>1698</v>
      </c>
    </row>
    <row r="137" spans="1:9" ht="25" customHeight="1" x14ac:dyDescent="0.15">
      <c r="A137" s="3">
        <v>136</v>
      </c>
      <c r="B137" s="4" t="s">
        <v>1699</v>
      </c>
      <c r="C137" s="4" t="s">
        <v>1705</v>
      </c>
      <c r="D137" s="3"/>
      <c r="E137" s="4" t="s">
        <v>1706</v>
      </c>
      <c r="F137" s="4" t="s">
        <v>1707</v>
      </c>
      <c r="G137" s="3"/>
      <c r="H137" s="3"/>
      <c r="I137" s="3" t="s">
        <v>1710</v>
      </c>
    </row>
    <row r="138" spans="1:9" ht="25" customHeight="1" x14ac:dyDescent="0.15">
      <c r="A138" s="3">
        <v>137</v>
      </c>
      <c r="B138" s="4" t="s">
        <v>1711</v>
      </c>
      <c r="C138" s="4" t="s">
        <v>1718</v>
      </c>
      <c r="D138" s="3"/>
      <c r="E138" s="3"/>
      <c r="F138" s="4" t="s">
        <v>1719</v>
      </c>
      <c r="G138" s="3"/>
      <c r="H138" s="3"/>
      <c r="I138" s="3" t="s">
        <v>1722</v>
      </c>
    </row>
    <row r="139" spans="1:9" ht="25" customHeight="1" x14ac:dyDescent="0.15">
      <c r="A139" s="3">
        <v>138</v>
      </c>
      <c r="B139" s="4" t="s">
        <v>1723</v>
      </c>
      <c r="C139" s="4" t="s">
        <v>1730</v>
      </c>
      <c r="D139" s="3"/>
      <c r="E139" s="4" t="s">
        <v>1731</v>
      </c>
      <c r="F139" s="4" t="s">
        <v>1732</v>
      </c>
      <c r="G139" s="3"/>
      <c r="H139" s="4" t="s">
        <v>1733</v>
      </c>
      <c r="I139" s="3" t="s">
        <v>1736</v>
      </c>
    </row>
    <row r="140" spans="1:9" ht="25" customHeight="1" x14ac:dyDescent="0.15">
      <c r="A140" s="3">
        <v>139</v>
      </c>
      <c r="B140" s="4" t="s">
        <v>1737</v>
      </c>
      <c r="C140" s="4" t="s">
        <v>1744</v>
      </c>
      <c r="D140" s="3"/>
      <c r="E140" s="4" t="s">
        <v>1745</v>
      </c>
      <c r="F140" s="4" t="s">
        <v>1746</v>
      </c>
      <c r="G140" s="3"/>
      <c r="H140" s="3"/>
      <c r="I140" s="3" t="s">
        <v>1749</v>
      </c>
    </row>
    <row r="141" spans="1:9" ht="25" customHeight="1" x14ac:dyDescent="0.15">
      <c r="A141" s="3">
        <v>140</v>
      </c>
      <c r="B141" s="4" t="s">
        <v>1750</v>
      </c>
      <c r="C141" s="4" t="s">
        <v>1757</v>
      </c>
      <c r="D141" s="4" t="s">
        <v>1758</v>
      </c>
      <c r="E141" s="4" t="s">
        <v>1759</v>
      </c>
      <c r="F141" s="3"/>
      <c r="G141" s="4" t="s">
        <v>1760</v>
      </c>
      <c r="H141" s="3"/>
      <c r="I141" s="3" t="s">
        <v>1763</v>
      </c>
    </row>
    <row r="142" spans="1:9" ht="25" customHeight="1" x14ac:dyDescent="0.15">
      <c r="A142" s="3">
        <v>141</v>
      </c>
      <c r="B142" s="4" t="s">
        <v>1764</v>
      </c>
      <c r="C142" s="4" t="s">
        <v>1770</v>
      </c>
      <c r="D142" s="3"/>
      <c r="E142" s="3"/>
      <c r="F142" s="3"/>
      <c r="G142" s="3"/>
      <c r="H142" s="3"/>
      <c r="I142" s="3" t="s">
        <v>1774</v>
      </c>
    </row>
    <row r="143" spans="1:9" ht="25" customHeight="1" x14ac:dyDescent="0.15">
      <c r="A143" s="3">
        <v>142</v>
      </c>
      <c r="B143" s="4" t="s">
        <v>1775</v>
      </c>
      <c r="C143" s="4" t="s">
        <v>1782</v>
      </c>
      <c r="D143" s="3"/>
      <c r="E143" s="4" t="s">
        <v>1783</v>
      </c>
      <c r="F143" s="3"/>
      <c r="G143" s="3"/>
      <c r="H143" s="3"/>
      <c r="I143" s="3" t="s">
        <v>1787</v>
      </c>
    </row>
    <row r="144" spans="1:9" ht="25" customHeight="1" x14ac:dyDescent="0.15">
      <c r="A144" s="3">
        <v>143</v>
      </c>
      <c r="B144" s="4" t="s">
        <v>1788</v>
      </c>
      <c r="C144" s="4" t="s">
        <v>1795</v>
      </c>
      <c r="D144" s="4" t="s">
        <v>1796</v>
      </c>
      <c r="E144" s="3"/>
      <c r="F144" s="4" t="s">
        <v>1797</v>
      </c>
      <c r="G144" s="3"/>
      <c r="H144" s="3"/>
      <c r="I144" s="3" t="s">
        <v>1800</v>
      </c>
    </row>
    <row r="145" spans="1:9" ht="25" customHeight="1" x14ac:dyDescent="0.15">
      <c r="A145" s="3">
        <v>144</v>
      </c>
      <c r="B145" s="4" t="s">
        <v>1801</v>
      </c>
      <c r="C145" s="4" t="s">
        <v>1808</v>
      </c>
      <c r="D145" s="4" t="s">
        <v>1809</v>
      </c>
      <c r="E145" s="3"/>
      <c r="F145" s="4" t="s">
        <v>1810</v>
      </c>
      <c r="G145" s="3"/>
      <c r="H145" s="3"/>
      <c r="I145" s="3" t="s">
        <v>1813</v>
      </c>
    </row>
    <row r="146" spans="1:9" ht="25" customHeight="1" x14ac:dyDescent="0.15">
      <c r="A146" s="3">
        <v>145</v>
      </c>
      <c r="B146" s="4" t="s">
        <v>1814</v>
      </c>
      <c r="C146" s="4" t="s">
        <v>1819</v>
      </c>
      <c r="D146" s="3"/>
      <c r="E146" s="3"/>
      <c r="F146" s="4" t="s">
        <v>151</v>
      </c>
      <c r="G146" s="3"/>
      <c r="H146" s="3"/>
      <c r="I146" s="3" t="s">
        <v>1821</v>
      </c>
    </row>
    <row r="147" spans="1:9" ht="25" customHeight="1" x14ac:dyDescent="0.15">
      <c r="A147" s="3">
        <v>146</v>
      </c>
      <c r="B147" s="4" t="s">
        <v>1822</v>
      </c>
      <c r="C147" s="4" t="s">
        <v>1829</v>
      </c>
      <c r="D147" s="3" t="s">
        <v>1830</v>
      </c>
      <c r="E147" s="4" t="s">
        <v>1831</v>
      </c>
      <c r="F147" s="4" t="s">
        <v>1832</v>
      </c>
      <c r="G147" s="3"/>
      <c r="H147" s="4" t="s">
        <v>1831</v>
      </c>
      <c r="I147" s="3" t="s">
        <v>1835</v>
      </c>
    </row>
    <row r="148" spans="1:9" ht="25" customHeight="1" x14ac:dyDescent="0.15">
      <c r="A148" s="3">
        <v>147</v>
      </c>
      <c r="B148" s="4" t="s">
        <v>1836</v>
      </c>
      <c r="C148" s="4" t="s">
        <v>1843</v>
      </c>
      <c r="D148" s="3"/>
      <c r="E148" s="4" t="s">
        <v>1844</v>
      </c>
      <c r="F148" s="3"/>
      <c r="G148" s="3"/>
      <c r="H148" s="3"/>
      <c r="I148" s="3" t="s">
        <v>1848</v>
      </c>
    </row>
    <row r="149" spans="1:9" ht="25" customHeight="1" x14ac:dyDescent="0.15">
      <c r="A149" s="3">
        <v>148</v>
      </c>
      <c r="B149" s="4" t="s">
        <v>1849</v>
      </c>
      <c r="C149" s="4" t="s">
        <v>1856</v>
      </c>
      <c r="D149" s="3"/>
      <c r="E149" s="4" t="s">
        <v>1857</v>
      </c>
      <c r="F149" s="3"/>
      <c r="G149" s="3"/>
      <c r="H149" s="3"/>
      <c r="I149" s="3" t="s">
        <v>1861</v>
      </c>
    </row>
    <row r="150" spans="1:9" ht="25" customHeight="1" x14ac:dyDescent="0.15">
      <c r="A150" s="3">
        <v>149</v>
      </c>
      <c r="B150" s="4" t="s">
        <v>1862</v>
      </c>
      <c r="C150" s="4" t="s">
        <v>1869</v>
      </c>
      <c r="D150" s="3" t="s">
        <v>1870</v>
      </c>
      <c r="E150" s="3"/>
      <c r="F150" s="4" t="s">
        <v>1871</v>
      </c>
      <c r="G150" s="3"/>
      <c r="H150" s="3"/>
      <c r="I150" s="3" t="s">
        <v>1875</v>
      </c>
    </row>
    <row r="151" spans="1:9" ht="25" customHeight="1" x14ac:dyDescent="0.15">
      <c r="A151" s="3">
        <v>150</v>
      </c>
      <c r="B151" s="4" t="s">
        <v>1876</v>
      </c>
      <c r="C151" s="4" t="s">
        <v>1883</v>
      </c>
      <c r="D151" s="3"/>
      <c r="E151" s="3"/>
      <c r="F151" s="4" t="s">
        <v>1150</v>
      </c>
      <c r="G151" s="3"/>
      <c r="H151" s="3"/>
      <c r="I151" s="3" t="s">
        <v>1887</v>
      </c>
    </row>
    <row r="152" spans="1:9" ht="25" customHeight="1" x14ac:dyDescent="0.15">
      <c r="A152" s="3">
        <v>151</v>
      </c>
      <c r="B152" s="4" t="s">
        <v>1888</v>
      </c>
      <c r="C152" s="4" t="s">
        <v>1895</v>
      </c>
      <c r="D152" s="3"/>
      <c r="E152" s="3"/>
      <c r="G152" s="3"/>
      <c r="H152" s="3"/>
      <c r="I152" s="4" t="s">
        <v>1898</v>
      </c>
    </row>
    <row r="153" spans="1:9" ht="25" customHeight="1" x14ac:dyDescent="0.15">
      <c r="A153" s="3">
        <v>152</v>
      </c>
      <c r="B153" s="4" t="s">
        <v>1899</v>
      </c>
      <c r="C153" s="4" t="s">
        <v>1906</v>
      </c>
      <c r="D153" s="3"/>
      <c r="E153" s="3"/>
      <c r="F153" s="3"/>
      <c r="G153" s="3"/>
      <c r="H153" s="3"/>
      <c r="I153" s="4" t="s">
        <v>1909</v>
      </c>
    </row>
    <row r="154" spans="1:9" ht="25" customHeight="1" x14ac:dyDescent="0.15">
      <c r="A154" s="3">
        <v>153</v>
      </c>
      <c r="B154" s="4" t="s">
        <v>1910</v>
      </c>
      <c r="C154" s="4" t="s">
        <v>1917</v>
      </c>
      <c r="D154" s="3"/>
      <c r="E154" s="3"/>
      <c r="F154" s="3"/>
      <c r="G154" s="3"/>
      <c r="H154" s="3"/>
      <c r="I154" s="4" t="s">
        <v>1920</v>
      </c>
    </row>
    <row r="155" spans="1:9" ht="25" customHeight="1" x14ac:dyDescent="0.15">
      <c r="A155" s="3">
        <v>154</v>
      </c>
      <c r="B155" s="4" t="s">
        <v>1921</v>
      </c>
      <c r="C155" s="4" t="s">
        <v>1928</v>
      </c>
      <c r="D155" s="4" t="s">
        <v>1929</v>
      </c>
      <c r="E155" s="3"/>
      <c r="F155" s="4" t="s">
        <v>1930</v>
      </c>
      <c r="G155" s="3"/>
      <c r="H155" s="3"/>
      <c r="I155" s="4" t="s">
        <v>1933</v>
      </c>
    </row>
    <row r="156" spans="1:9" ht="25" customHeight="1" x14ac:dyDescent="0.15">
      <c r="A156" s="3">
        <v>155</v>
      </c>
      <c r="B156" s="4" t="s">
        <v>1934</v>
      </c>
      <c r="C156" s="4" t="s">
        <v>1941</v>
      </c>
      <c r="D156" s="3"/>
      <c r="E156" s="3"/>
      <c r="F156" s="4" t="s">
        <v>1942</v>
      </c>
      <c r="G156" s="3"/>
      <c r="H156" s="3"/>
      <c r="I156" s="4" t="s">
        <v>1945</v>
      </c>
    </row>
    <row r="157" spans="1:9" ht="25" customHeight="1" x14ac:dyDescent="0.15">
      <c r="A157" s="3">
        <v>156</v>
      </c>
      <c r="B157" s="4" t="s">
        <v>1946</v>
      </c>
      <c r="C157" s="4" t="s">
        <v>1953</v>
      </c>
      <c r="D157" s="4" t="s">
        <v>1954</v>
      </c>
      <c r="E157" s="4" t="s">
        <v>1955</v>
      </c>
      <c r="F157" s="4" t="s">
        <v>1956</v>
      </c>
      <c r="G157" s="3"/>
      <c r="H157" s="3"/>
      <c r="I157" s="4" t="s">
        <v>1959</v>
      </c>
    </row>
    <row r="158" spans="1:9" ht="25" customHeight="1" x14ac:dyDescent="0.15">
      <c r="A158" s="3">
        <v>157</v>
      </c>
      <c r="B158" s="4" t="s">
        <v>1960</v>
      </c>
      <c r="C158" s="4" t="s">
        <v>1967</v>
      </c>
      <c r="D158" s="4" t="s">
        <v>1968</v>
      </c>
      <c r="E158" s="3"/>
      <c r="F158" s="4" t="s">
        <v>1969</v>
      </c>
      <c r="G158" s="3"/>
      <c r="H158" s="3"/>
      <c r="I158" s="4" t="s">
        <v>1973</v>
      </c>
    </row>
    <row r="159" spans="1:9" ht="25" customHeight="1" x14ac:dyDescent="0.15">
      <c r="A159" s="3">
        <v>158</v>
      </c>
      <c r="B159" s="4" t="s">
        <v>1974</v>
      </c>
      <c r="C159" s="4" t="s">
        <v>1981</v>
      </c>
      <c r="D159" s="3"/>
      <c r="E159" s="3"/>
      <c r="F159" s="3"/>
      <c r="G159" s="3"/>
      <c r="H159" s="3"/>
      <c r="I159" s="4" t="s">
        <v>1984</v>
      </c>
    </row>
    <row r="160" spans="1:9" ht="25" customHeight="1" x14ac:dyDescent="0.15">
      <c r="A160" s="3">
        <v>159</v>
      </c>
      <c r="B160" s="4" t="s">
        <v>1985</v>
      </c>
      <c r="C160" s="4" t="s">
        <v>1992</v>
      </c>
      <c r="D160" s="4" t="s">
        <v>1993</v>
      </c>
      <c r="E160" s="3"/>
      <c r="F160" s="3"/>
      <c r="G160" s="3"/>
      <c r="H160" s="3"/>
      <c r="I160" s="4" t="s">
        <v>1997</v>
      </c>
    </row>
    <row r="161" spans="1:9" ht="25" customHeight="1" x14ac:dyDescent="0.15">
      <c r="A161" s="3">
        <v>160</v>
      </c>
      <c r="B161" s="4" t="s">
        <v>1998</v>
      </c>
      <c r="C161" s="4" t="s">
        <v>2005</v>
      </c>
      <c r="D161" s="3"/>
      <c r="E161" s="3"/>
      <c r="F161" s="3"/>
      <c r="G161" s="3"/>
      <c r="H161" s="3"/>
      <c r="I161" s="4" t="s">
        <v>2008</v>
      </c>
    </row>
    <row r="162" spans="1:9" ht="25" customHeight="1" x14ac:dyDescent="0.15">
      <c r="A162" s="3">
        <v>161</v>
      </c>
      <c r="B162" s="4" t="s">
        <v>2009</v>
      </c>
      <c r="C162" s="4" t="s">
        <v>2016</v>
      </c>
      <c r="D162" s="3"/>
      <c r="E162" s="3"/>
      <c r="F162" s="3"/>
      <c r="G162" s="3"/>
      <c r="H162" s="3"/>
      <c r="I162" s="4" t="s">
        <v>2019</v>
      </c>
    </row>
    <row r="163" spans="1:9" ht="25" customHeight="1" x14ac:dyDescent="0.15">
      <c r="A163" s="3">
        <v>162</v>
      </c>
      <c r="B163" s="4" t="s">
        <v>2020</v>
      </c>
      <c r="C163" s="4" t="s">
        <v>2027</v>
      </c>
      <c r="D163" s="3"/>
      <c r="E163" s="3"/>
      <c r="F163" s="3"/>
      <c r="G163" s="3"/>
      <c r="H163" s="3"/>
      <c r="I163" s="4" t="s">
        <v>2030</v>
      </c>
    </row>
    <row r="164" spans="1:9" ht="25" customHeight="1" x14ac:dyDescent="0.15">
      <c r="A164" s="3">
        <v>163</v>
      </c>
      <c r="B164" s="4" t="s">
        <v>2031</v>
      </c>
      <c r="C164" s="4" t="s">
        <v>2037</v>
      </c>
      <c r="D164" s="3"/>
      <c r="E164" s="3"/>
      <c r="F164" s="3"/>
      <c r="G164" s="3"/>
      <c r="H164" s="3"/>
      <c r="I164" s="4" t="s">
        <v>2040</v>
      </c>
    </row>
    <row r="165" spans="1:9" ht="25" customHeight="1" x14ac:dyDescent="0.15">
      <c r="A165" s="3">
        <v>164</v>
      </c>
      <c r="B165" s="4" t="s">
        <v>2041</v>
      </c>
      <c r="C165" s="4" t="s">
        <v>2048</v>
      </c>
      <c r="D165" s="3"/>
      <c r="E165" s="3"/>
      <c r="F165" s="3"/>
      <c r="G165" s="3"/>
      <c r="H165" s="3"/>
      <c r="I165" s="4" t="s">
        <v>2051</v>
      </c>
    </row>
    <row r="166" spans="1:9" ht="25" customHeight="1" x14ac:dyDescent="0.15">
      <c r="A166" s="3">
        <v>165</v>
      </c>
      <c r="B166" s="4" t="s">
        <v>2052</v>
      </c>
      <c r="C166" s="4" t="s">
        <v>2059</v>
      </c>
      <c r="D166" s="3"/>
      <c r="E166" s="3"/>
      <c r="F166" s="3"/>
      <c r="G166" s="3"/>
      <c r="H166" s="4" t="s">
        <v>2060</v>
      </c>
      <c r="I166" s="4" t="s">
        <v>2064</v>
      </c>
    </row>
    <row r="167" spans="1:9" ht="25" customHeight="1" x14ac:dyDescent="0.15">
      <c r="A167" s="3">
        <v>166</v>
      </c>
      <c r="B167" s="4" t="s">
        <v>2065</v>
      </c>
      <c r="C167" s="4" t="s">
        <v>2072</v>
      </c>
      <c r="D167" s="3"/>
      <c r="E167" s="3"/>
      <c r="F167" s="3"/>
      <c r="G167" s="3"/>
      <c r="H167" s="3"/>
      <c r="I167" s="4" t="s">
        <v>2077</v>
      </c>
    </row>
    <row r="168" spans="1:9" ht="25" customHeight="1" x14ac:dyDescent="0.15">
      <c r="A168" s="3">
        <v>167</v>
      </c>
      <c r="B168" s="4" t="s">
        <v>2078</v>
      </c>
      <c r="C168" s="4" t="s">
        <v>2085</v>
      </c>
      <c r="D168" s="3"/>
      <c r="E168" s="3"/>
      <c r="F168" s="3"/>
      <c r="G168" s="3"/>
      <c r="H168" s="3"/>
      <c r="I168" s="4" t="s">
        <v>2088</v>
      </c>
    </row>
    <row r="169" spans="1:9" ht="25" customHeight="1" x14ac:dyDescent="0.15">
      <c r="A169" s="3">
        <v>168</v>
      </c>
      <c r="B169" s="4" t="s">
        <v>2089</v>
      </c>
      <c r="C169" s="4" t="s">
        <v>2096</v>
      </c>
      <c r="D169" s="4" t="s">
        <v>2097</v>
      </c>
      <c r="E169" s="3"/>
      <c r="F169" s="4" t="s">
        <v>2098</v>
      </c>
      <c r="G169" s="3"/>
      <c r="H169" s="4" t="s">
        <v>2099</v>
      </c>
      <c r="I169" s="4" t="s">
        <v>2102</v>
      </c>
    </row>
    <row r="170" spans="1:9" ht="25" customHeight="1" x14ac:dyDescent="0.15">
      <c r="A170" s="3">
        <v>169</v>
      </c>
      <c r="B170" s="4" t="s">
        <v>2103</v>
      </c>
      <c r="C170" s="4" t="s">
        <v>2110</v>
      </c>
      <c r="D170" s="4" t="s">
        <v>2111</v>
      </c>
      <c r="E170" s="3"/>
      <c r="F170" s="4" t="s">
        <v>2112</v>
      </c>
      <c r="G170" s="3"/>
      <c r="H170" s="3"/>
      <c r="I170" s="4" t="s">
        <v>2115</v>
      </c>
    </row>
    <row r="171" spans="1:9" ht="25" customHeight="1" x14ac:dyDescent="0.15">
      <c r="A171" s="3">
        <v>170</v>
      </c>
      <c r="B171" s="4" t="s">
        <v>2116</v>
      </c>
      <c r="C171" s="4" t="s">
        <v>2123</v>
      </c>
      <c r="D171" s="3"/>
      <c r="E171" s="3"/>
      <c r="F171" s="3"/>
      <c r="G171" s="3"/>
      <c r="H171" s="3"/>
      <c r="I171" s="4" t="s">
        <v>2126</v>
      </c>
    </row>
    <row r="172" spans="1:9" ht="25" customHeight="1" x14ac:dyDescent="0.15">
      <c r="A172" s="3">
        <v>171</v>
      </c>
      <c r="B172" s="4" t="s">
        <v>2127</v>
      </c>
      <c r="C172" s="4" t="s">
        <v>2134</v>
      </c>
      <c r="D172" s="3"/>
      <c r="E172" s="3"/>
      <c r="F172" s="3"/>
      <c r="G172" s="3"/>
      <c r="H172" s="3"/>
      <c r="I172" s="4" t="s">
        <v>2137</v>
      </c>
    </row>
    <row r="173" spans="1:9" ht="25" customHeight="1" x14ac:dyDescent="0.15">
      <c r="A173" s="3">
        <v>172</v>
      </c>
      <c r="B173" s="4" t="s">
        <v>2138</v>
      </c>
      <c r="C173" s="4" t="s">
        <v>2145</v>
      </c>
      <c r="D173" s="3"/>
      <c r="E173" s="3"/>
      <c r="F173" s="3"/>
      <c r="G173" s="3"/>
      <c r="H173" s="3"/>
      <c r="I173" s="4" t="s">
        <v>2148</v>
      </c>
    </row>
    <row r="174" spans="1:9" ht="25" customHeight="1" x14ac:dyDescent="0.15">
      <c r="A174" s="3">
        <v>173</v>
      </c>
      <c r="B174" s="4" t="s">
        <v>2149</v>
      </c>
      <c r="C174" s="4" t="s">
        <v>2156</v>
      </c>
      <c r="D174" s="3"/>
      <c r="E174" s="4" t="s">
        <v>2157</v>
      </c>
      <c r="F174" s="3"/>
      <c r="G174" s="3"/>
      <c r="H174" s="3"/>
      <c r="I174" s="4" t="s">
        <v>2161</v>
      </c>
    </row>
    <row r="175" spans="1:9" ht="25" customHeight="1" x14ac:dyDescent="0.15">
      <c r="A175" s="3">
        <v>174</v>
      </c>
      <c r="B175" s="4" t="s">
        <v>2162</v>
      </c>
      <c r="C175" s="4" t="s">
        <v>2169</v>
      </c>
      <c r="D175" s="3"/>
      <c r="E175" s="4" t="s">
        <v>2170</v>
      </c>
      <c r="F175" s="3"/>
      <c r="G175" s="3"/>
      <c r="H175" s="3"/>
      <c r="I175" s="4" t="s">
        <v>2174</v>
      </c>
    </row>
    <row r="176" spans="1:9" ht="25" customHeight="1" x14ac:dyDescent="0.15">
      <c r="A176" s="3">
        <v>175</v>
      </c>
      <c r="B176" s="4" t="s">
        <v>2175</v>
      </c>
      <c r="C176" s="4" t="s">
        <v>2182</v>
      </c>
      <c r="D176" s="3"/>
      <c r="E176" s="4" t="s">
        <v>2183</v>
      </c>
      <c r="F176" s="4" t="s">
        <v>2184</v>
      </c>
      <c r="G176" s="3"/>
      <c r="H176" s="3"/>
      <c r="I176" s="4" t="s">
        <v>2187</v>
      </c>
    </row>
    <row r="177" spans="1:9" ht="25" customHeight="1" x14ac:dyDescent="0.15">
      <c r="A177" s="3">
        <v>176</v>
      </c>
      <c r="B177" s="4" t="s">
        <v>2188</v>
      </c>
      <c r="C177" s="4" t="s">
        <v>2195</v>
      </c>
      <c r="D177" s="3"/>
      <c r="E177" s="4" t="s">
        <v>2196</v>
      </c>
      <c r="F177" s="3"/>
      <c r="G177" s="3"/>
      <c r="H177" s="3"/>
      <c r="I177" s="4" t="s">
        <v>2197</v>
      </c>
    </row>
    <row r="178" spans="1:9" ht="25" customHeight="1" x14ac:dyDescent="0.15">
      <c r="A178" s="3">
        <v>177</v>
      </c>
      <c r="B178" s="4" t="s">
        <v>2198</v>
      </c>
      <c r="C178" s="4" t="s">
        <v>2204</v>
      </c>
      <c r="D178" s="3"/>
      <c r="E178" s="4" t="s">
        <v>2205</v>
      </c>
      <c r="F178" s="3"/>
      <c r="G178" s="3"/>
      <c r="H178" s="3"/>
      <c r="I178" s="3" t="s">
        <v>2210</v>
      </c>
    </row>
    <row r="179" spans="1:9" ht="25" customHeight="1" x14ac:dyDescent="0.15">
      <c r="A179" s="3">
        <v>178</v>
      </c>
      <c r="B179" s="4" t="s">
        <v>2211</v>
      </c>
      <c r="C179" s="4" t="s">
        <v>2218</v>
      </c>
      <c r="D179" s="3"/>
      <c r="E179" s="3"/>
      <c r="F179" s="3"/>
      <c r="G179" s="3"/>
      <c r="H179" s="3"/>
      <c r="I179" s="3" t="s">
        <v>2221</v>
      </c>
    </row>
    <row r="180" spans="1:9" ht="25" customHeight="1" x14ac:dyDescent="0.15">
      <c r="A180" s="3">
        <v>179</v>
      </c>
      <c r="B180" s="4" t="s">
        <v>2222</v>
      </c>
      <c r="C180" s="4" t="s">
        <v>2229</v>
      </c>
      <c r="D180" s="3"/>
      <c r="E180" s="3"/>
      <c r="F180" s="3"/>
      <c r="G180" s="3"/>
      <c r="H180" s="3"/>
      <c r="I180" s="4" t="s">
        <v>2232</v>
      </c>
    </row>
    <row r="181" spans="1:9" ht="25" customHeight="1" x14ac:dyDescent="0.15">
      <c r="A181" s="3">
        <v>180</v>
      </c>
      <c r="B181" s="4" t="s">
        <v>2233</v>
      </c>
      <c r="C181" s="4" t="s">
        <v>2240</v>
      </c>
      <c r="D181" s="3"/>
      <c r="E181" s="3"/>
      <c r="F181" s="3"/>
      <c r="G181" s="3"/>
      <c r="H181" s="3"/>
      <c r="I181" s="4" t="s">
        <v>2243</v>
      </c>
    </row>
    <row r="182" spans="1:9" ht="25" customHeight="1" x14ac:dyDescent="0.15">
      <c r="A182" s="3">
        <v>181</v>
      </c>
      <c r="B182" s="4" t="s">
        <v>2244</v>
      </c>
      <c r="C182" s="4" t="s">
        <v>2250</v>
      </c>
      <c r="D182" s="3"/>
      <c r="E182" s="3"/>
      <c r="F182" s="3"/>
      <c r="G182" s="3"/>
      <c r="H182" s="3"/>
      <c r="I182" s="4" t="s">
        <v>2253</v>
      </c>
    </row>
    <row r="183" spans="1:9" ht="25" customHeight="1" x14ac:dyDescent="0.15">
      <c r="A183" s="3">
        <v>182</v>
      </c>
      <c r="B183" s="4" t="s">
        <v>2254</v>
      </c>
      <c r="C183" s="4" t="s">
        <v>2260</v>
      </c>
      <c r="D183" s="3"/>
      <c r="E183" s="3"/>
      <c r="F183" s="3"/>
      <c r="G183" s="3"/>
      <c r="H183" s="3"/>
      <c r="I183" s="4" t="s">
        <v>2263</v>
      </c>
    </row>
    <row r="184" spans="1:9" ht="25" customHeight="1" x14ac:dyDescent="0.15">
      <c r="A184" s="3">
        <v>183</v>
      </c>
      <c r="B184" s="4" t="s">
        <v>2264</v>
      </c>
      <c r="C184" s="4" t="s">
        <v>2271</v>
      </c>
      <c r="D184" s="3"/>
      <c r="E184" s="3"/>
      <c r="F184" s="3"/>
      <c r="G184" s="3"/>
      <c r="H184" s="3"/>
      <c r="I184" s="4" t="s">
        <v>2274</v>
      </c>
    </row>
    <row r="185" spans="1:9" ht="25" customHeight="1" x14ac:dyDescent="0.15">
      <c r="A185" s="3">
        <v>184</v>
      </c>
      <c r="B185" s="4" t="s">
        <v>2275</v>
      </c>
      <c r="C185" s="4" t="s">
        <v>2281</v>
      </c>
      <c r="D185" s="3"/>
      <c r="E185" s="3"/>
      <c r="F185" s="3"/>
      <c r="G185" s="3"/>
      <c r="H185" s="3"/>
      <c r="I185" s="4" t="s">
        <v>2284</v>
      </c>
    </row>
    <row r="186" spans="1:9" ht="25" customHeight="1" x14ac:dyDescent="0.15">
      <c r="A186" s="3">
        <v>185</v>
      </c>
      <c r="B186" s="4" t="s">
        <v>2285</v>
      </c>
      <c r="C186" s="4" t="s">
        <v>2292</v>
      </c>
      <c r="D186" s="3"/>
      <c r="E186" s="3"/>
      <c r="F186" s="3"/>
      <c r="G186" s="3"/>
      <c r="H186" s="3"/>
      <c r="I186" s="4" t="s">
        <v>2295</v>
      </c>
    </row>
    <row r="187" spans="1:9" ht="25" customHeight="1" x14ac:dyDescent="0.15">
      <c r="A187" s="3">
        <v>186</v>
      </c>
      <c r="B187" s="4" t="s">
        <v>2296</v>
      </c>
      <c r="C187" s="4" t="s">
        <v>2303</v>
      </c>
      <c r="D187" s="3"/>
      <c r="E187" s="3"/>
      <c r="F187" s="3"/>
      <c r="G187" s="3"/>
      <c r="H187" s="3"/>
      <c r="I187" s="4" t="s">
        <v>2306</v>
      </c>
    </row>
    <row r="188" spans="1:9" ht="25" customHeight="1" x14ac:dyDescent="0.15">
      <c r="A188" s="3">
        <v>187</v>
      </c>
      <c r="B188" s="4" t="s">
        <v>2307</v>
      </c>
      <c r="C188" s="4" t="s">
        <v>2314</v>
      </c>
      <c r="D188" s="3"/>
      <c r="E188" s="3"/>
      <c r="F188" s="3"/>
      <c r="G188" s="3"/>
      <c r="H188" s="3"/>
      <c r="I188" s="4" t="s">
        <v>2317</v>
      </c>
    </row>
    <row r="189" spans="1:9" ht="25" customHeight="1" x14ac:dyDescent="0.15">
      <c r="A189" s="3">
        <v>188</v>
      </c>
      <c r="B189" s="4" t="s">
        <v>2318</v>
      </c>
      <c r="C189" s="4" t="s">
        <v>2325</v>
      </c>
      <c r="D189" s="3"/>
      <c r="E189" s="3"/>
      <c r="F189" s="3"/>
      <c r="G189" s="3"/>
      <c r="H189" s="3"/>
      <c r="I189" s="4" t="s">
        <v>2328</v>
      </c>
    </row>
    <row r="190" spans="1:9" ht="25" customHeight="1" x14ac:dyDescent="0.15">
      <c r="A190" s="3">
        <v>189</v>
      </c>
      <c r="B190" s="4" t="s">
        <v>2329</v>
      </c>
      <c r="C190" s="4" t="s">
        <v>2336</v>
      </c>
      <c r="D190" s="3"/>
      <c r="E190" s="3"/>
      <c r="F190" s="3"/>
      <c r="G190" s="3"/>
      <c r="H190" s="3"/>
      <c r="I190" s="4" t="s">
        <v>2339</v>
      </c>
    </row>
    <row r="191" spans="1:9" ht="25" customHeight="1" x14ac:dyDescent="0.15">
      <c r="A191" s="3">
        <v>190</v>
      </c>
      <c r="B191" s="4" t="s">
        <v>2340</v>
      </c>
      <c r="C191" s="4" t="s">
        <v>2347</v>
      </c>
      <c r="D191" s="3"/>
      <c r="E191" s="3"/>
      <c r="F191" s="3"/>
      <c r="G191" s="3"/>
      <c r="H191" s="3"/>
      <c r="I191" s="4" t="s">
        <v>2350</v>
      </c>
    </row>
    <row r="192" spans="1:9" ht="25" customHeight="1" x14ac:dyDescent="0.15">
      <c r="A192" s="3">
        <v>191</v>
      </c>
      <c r="B192" s="4" t="s">
        <v>2351</v>
      </c>
      <c r="C192" s="4" t="s">
        <v>2358</v>
      </c>
      <c r="D192" s="4" t="s">
        <v>716</v>
      </c>
      <c r="E192" s="3"/>
      <c r="F192" s="4" t="s">
        <v>2359</v>
      </c>
      <c r="G192" s="3"/>
      <c r="H192" s="4" t="s">
        <v>2360</v>
      </c>
      <c r="I192" s="4" t="s">
        <v>2363</v>
      </c>
    </row>
    <row r="193" spans="1:9" ht="25" customHeight="1" x14ac:dyDescent="0.15">
      <c r="A193" s="3">
        <v>192</v>
      </c>
      <c r="B193" s="4" t="s">
        <v>2364</v>
      </c>
      <c r="C193" s="4" t="s">
        <v>2370</v>
      </c>
      <c r="D193" s="3"/>
      <c r="E193" s="3"/>
      <c r="F193" s="3"/>
      <c r="G193" s="3"/>
      <c r="H193" s="3"/>
      <c r="I193" s="4" t="s">
        <v>2373</v>
      </c>
    </row>
    <row r="194" spans="1:9" ht="25" customHeight="1" x14ac:dyDescent="0.15">
      <c r="A194" s="3">
        <v>193</v>
      </c>
      <c r="B194" s="4" t="s">
        <v>2374</v>
      </c>
      <c r="C194" s="4" t="s">
        <v>2381</v>
      </c>
      <c r="D194" s="3"/>
      <c r="E194" s="3"/>
      <c r="F194" s="3"/>
      <c r="G194" s="3"/>
      <c r="H194" s="3"/>
      <c r="I194" s="4" t="s">
        <v>2384</v>
      </c>
    </row>
    <row r="195" spans="1:9" ht="25" customHeight="1" x14ac:dyDescent="0.15">
      <c r="A195" s="3">
        <v>194</v>
      </c>
      <c r="B195" s="4" t="s">
        <v>2385</v>
      </c>
      <c r="C195" s="4" t="s">
        <v>2391</v>
      </c>
      <c r="D195" s="3"/>
      <c r="E195" s="3"/>
      <c r="F195" s="3"/>
      <c r="G195" s="3"/>
      <c r="H195" s="3"/>
      <c r="I195" s="4" t="s">
        <v>2394</v>
      </c>
    </row>
    <row r="196" spans="1:9" ht="25" customHeight="1" x14ac:dyDescent="0.15">
      <c r="A196" s="3">
        <v>195</v>
      </c>
      <c r="B196" s="4" t="s">
        <v>2395</v>
      </c>
      <c r="C196" s="4" t="s">
        <v>2402</v>
      </c>
      <c r="D196" s="3"/>
      <c r="E196" s="3"/>
      <c r="F196" s="3"/>
      <c r="G196" s="3"/>
      <c r="H196" s="3"/>
      <c r="I196" s="4" t="s">
        <v>2405</v>
      </c>
    </row>
    <row r="197" spans="1:9" ht="25" customHeight="1" x14ac:dyDescent="0.15">
      <c r="A197" s="3">
        <v>196</v>
      </c>
      <c r="B197" s="4" t="s">
        <v>2406</v>
      </c>
      <c r="C197" s="4" t="s">
        <v>2409</v>
      </c>
      <c r="D197" s="3"/>
      <c r="E197" s="3"/>
      <c r="F197" s="3"/>
      <c r="G197" s="3"/>
      <c r="H197" s="3"/>
      <c r="I197" s="4" t="s">
        <v>2412</v>
      </c>
    </row>
    <row r="198" spans="1:9" ht="25" customHeight="1" x14ac:dyDescent="0.15">
      <c r="A198" s="3">
        <v>197</v>
      </c>
      <c r="B198" s="4" t="s">
        <v>2413</v>
      </c>
      <c r="C198" s="4" t="s">
        <v>2420</v>
      </c>
      <c r="D198" s="3"/>
      <c r="E198" s="3"/>
      <c r="F198" s="3"/>
      <c r="G198" s="3"/>
      <c r="H198" s="3"/>
      <c r="I198" s="4" t="s">
        <v>2423</v>
      </c>
    </row>
    <row r="199" spans="1:9" ht="25" customHeight="1" x14ac:dyDescent="0.15">
      <c r="A199" s="3">
        <v>198</v>
      </c>
      <c r="B199" s="4" t="s">
        <v>2424</v>
      </c>
      <c r="C199" s="4" t="s">
        <v>2430</v>
      </c>
      <c r="D199" s="3"/>
      <c r="E199" s="3"/>
      <c r="F199" s="3"/>
      <c r="G199" s="3"/>
      <c r="H199" s="3"/>
      <c r="I199" s="4" t="s">
        <v>2433</v>
      </c>
    </row>
    <row r="200" spans="1:9" ht="25" customHeight="1" x14ac:dyDescent="0.15">
      <c r="A200" s="3">
        <v>199</v>
      </c>
      <c r="B200" s="4" t="s">
        <v>2434</v>
      </c>
      <c r="C200" s="4" t="s">
        <v>2441</v>
      </c>
      <c r="D200" s="3"/>
      <c r="E200" s="3"/>
      <c r="F200" s="3"/>
      <c r="G200" s="3"/>
      <c r="H200" s="3"/>
      <c r="I200" s="4" t="s">
        <v>2444</v>
      </c>
    </row>
    <row r="201" spans="1:9" ht="25" customHeight="1" x14ac:dyDescent="0.15">
      <c r="A201" s="3">
        <v>200</v>
      </c>
      <c r="B201" s="4" t="s">
        <v>2445</v>
      </c>
      <c r="C201" s="4" t="s">
        <v>2448</v>
      </c>
      <c r="D201" s="3"/>
      <c r="E201" s="3"/>
      <c r="F201" s="3"/>
      <c r="G201" s="3"/>
      <c r="H201" s="3"/>
      <c r="I201" s="4" t="s">
        <v>2451</v>
      </c>
    </row>
    <row r="202" spans="1:9" ht="25" customHeight="1" x14ac:dyDescent="0.15">
      <c r="A202" s="3"/>
      <c r="C202" s="3"/>
      <c r="D202" s="3"/>
      <c r="E202" s="3"/>
      <c r="F202" s="3"/>
      <c r="G202" s="3"/>
      <c r="H202" s="3"/>
      <c r="I202" s="3"/>
    </row>
    <row r="203" spans="1:9" ht="25" customHeight="1" x14ac:dyDescent="0.15">
      <c r="A203" s="3"/>
      <c r="B203" s="3"/>
      <c r="C203" s="3"/>
      <c r="D203" s="3"/>
      <c r="E203" s="3"/>
      <c r="F203" s="3"/>
      <c r="G203" s="3"/>
      <c r="H203" s="3"/>
      <c r="I203" s="3"/>
    </row>
    <row r="204" spans="1:9" ht="25" customHeight="1" x14ac:dyDescent="0.15">
      <c r="A204" s="3"/>
      <c r="B204" s="3"/>
      <c r="C204" s="3"/>
      <c r="D204" s="3"/>
      <c r="E204" s="3"/>
      <c r="F204" s="3"/>
      <c r="G204" s="3"/>
      <c r="H204" s="3"/>
      <c r="I204" s="3"/>
    </row>
    <row r="205" spans="1:9" ht="25" customHeight="1" x14ac:dyDescent="0.15">
      <c r="A205" s="3"/>
      <c r="B205" s="3"/>
      <c r="C205" s="3"/>
      <c r="D205" s="3"/>
      <c r="E205" s="3"/>
      <c r="F205" s="3"/>
      <c r="G205" s="3"/>
      <c r="H205" s="3"/>
      <c r="I205" s="3"/>
    </row>
    <row r="206" spans="1:9" ht="25" customHeight="1" x14ac:dyDescent="0.15">
      <c r="A206" s="3"/>
      <c r="B206" s="3"/>
      <c r="C206" s="3"/>
      <c r="D206" s="3"/>
      <c r="E206" s="3"/>
      <c r="F206" s="3"/>
      <c r="G206" s="3"/>
      <c r="H206" s="3"/>
      <c r="I206" s="3"/>
    </row>
    <row r="207" spans="1:9" ht="25" customHeight="1" x14ac:dyDescent="0.15">
      <c r="A207" s="3"/>
      <c r="B207" s="3"/>
      <c r="C207" s="3"/>
      <c r="D207" s="3"/>
      <c r="E207" s="3"/>
      <c r="F207" s="3"/>
      <c r="G207" s="3"/>
      <c r="H207" s="3"/>
      <c r="I207" s="3"/>
    </row>
    <row r="208" spans="1:9" ht="25" customHeight="1" x14ac:dyDescent="0.15">
      <c r="A208" s="3"/>
      <c r="B208" s="3"/>
      <c r="C208" s="3"/>
      <c r="D208" s="3"/>
      <c r="E208" s="3"/>
      <c r="F208" s="3"/>
      <c r="G208" s="3"/>
      <c r="H208" s="3"/>
      <c r="I208" s="3"/>
    </row>
    <row r="209" spans="1:9" ht="25" customHeight="1" x14ac:dyDescent="0.15">
      <c r="A209" s="3"/>
      <c r="B209" s="3"/>
      <c r="C209" s="3"/>
      <c r="D209" s="3"/>
      <c r="E209" s="3"/>
      <c r="F209" s="3"/>
      <c r="G209" s="3"/>
      <c r="H209" s="3"/>
      <c r="I209" s="3"/>
    </row>
    <row r="210" spans="1:9" ht="25" customHeight="1" x14ac:dyDescent="0.15">
      <c r="A210" s="3"/>
      <c r="B210" s="3"/>
      <c r="C210" s="3"/>
      <c r="D210" s="3"/>
      <c r="E210" s="3"/>
      <c r="F210" s="3"/>
      <c r="G210" s="3"/>
      <c r="H210" s="3"/>
      <c r="I210" s="3"/>
    </row>
    <row r="211" spans="1:9" ht="25" customHeight="1" x14ac:dyDescent="0.15">
      <c r="A211" s="3"/>
      <c r="B211" s="3"/>
      <c r="C211" s="3"/>
      <c r="D211" s="3"/>
      <c r="E211" s="3"/>
      <c r="F211" s="3"/>
      <c r="G211" s="3"/>
      <c r="H211" s="3"/>
      <c r="I211" s="3"/>
    </row>
    <row r="212" spans="1:9" ht="25" customHeight="1" x14ac:dyDescent="0.15">
      <c r="A212" s="3"/>
      <c r="B212" s="3"/>
      <c r="C212" s="3"/>
      <c r="D212" s="3"/>
      <c r="E212" s="3"/>
      <c r="F212" s="3"/>
      <c r="G212" s="3"/>
      <c r="H212" s="3"/>
      <c r="I212" s="3"/>
    </row>
    <row r="213" spans="1:9" ht="25" customHeight="1" x14ac:dyDescent="0.15">
      <c r="A213" s="3"/>
      <c r="B213" s="3"/>
      <c r="C213" s="3"/>
      <c r="D213" s="3"/>
      <c r="E213" s="3"/>
      <c r="F213" s="3"/>
      <c r="G213" s="3"/>
      <c r="H213" s="3"/>
      <c r="I213" s="3"/>
    </row>
    <row r="214" spans="1:9" ht="25" customHeight="1" x14ac:dyDescent="0.15">
      <c r="A214" s="3"/>
      <c r="B214" s="3"/>
      <c r="C214" s="3"/>
      <c r="D214" s="3"/>
      <c r="E214" s="3"/>
      <c r="F214" s="3"/>
      <c r="G214" s="3"/>
      <c r="H214" s="3"/>
      <c r="I214" s="3"/>
    </row>
    <row r="215" spans="1:9" ht="25" customHeight="1" x14ac:dyDescent="0.15">
      <c r="A215" s="3"/>
      <c r="B215" s="3"/>
      <c r="C215" s="3"/>
      <c r="D215" s="3"/>
      <c r="E215" s="3"/>
      <c r="F215" s="3"/>
      <c r="G215" s="3"/>
      <c r="H215" s="3"/>
      <c r="I215" s="3"/>
    </row>
    <row r="216" spans="1:9" ht="25" customHeight="1" x14ac:dyDescent="0.15">
      <c r="A216" s="3"/>
      <c r="B216" s="3"/>
      <c r="C216" s="3"/>
      <c r="D216" s="3"/>
      <c r="E216" s="3"/>
      <c r="F216" s="3"/>
      <c r="G216" s="3"/>
      <c r="H216" s="3"/>
      <c r="I216" s="3"/>
    </row>
    <row r="217" spans="1:9" ht="25" customHeight="1" x14ac:dyDescent="0.15">
      <c r="A217" s="3"/>
      <c r="B217" s="3"/>
      <c r="C217" s="3"/>
      <c r="D217" s="3"/>
      <c r="E217" s="3"/>
      <c r="F217" s="3"/>
      <c r="G217" s="3"/>
      <c r="H217" s="3"/>
      <c r="I217" s="3"/>
    </row>
    <row r="218" spans="1:9" ht="25" customHeight="1" x14ac:dyDescent="0.15">
      <c r="A218" s="3"/>
      <c r="B218" s="3"/>
      <c r="C218" s="3"/>
      <c r="D218" s="3"/>
      <c r="E218" s="3"/>
      <c r="F218" s="3"/>
      <c r="G218" s="3"/>
      <c r="H218" s="3"/>
      <c r="I218" s="3"/>
    </row>
    <row r="219" spans="1:9" ht="25" customHeight="1" x14ac:dyDescent="0.15">
      <c r="A219" s="3"/>
      <c r="B219" s="3"/>
      <c r="C219" s="3"/>
      <c r="D219" s="3"/>
      <c r="E219" s="3"/>
      <c r="F219" s="3"/>
      <c r="G219" s="3"/>
      <c r="H219" s="3"/>
      <c r="I219" s="3"/>
    </row>
    <row r="220" spans="1:9" ht="25" customHeight="1" x14ac:dyDescent="0.15">
      <c r="A220" s="3"/>
      <c r="B220" s="3"/>
      <c r="C220" s="3"/>
      <c r="D220" s="3"/>
      <c r="E220" s="3"/>
      <c r="F220" s="3"/>
      <c r="G220" s="3"/>
      <c r="H220" s="3"/>
      <c r="I220" s="3"/>
    </row>
    <row r="221" spans="1:9" ht="25" customHeight="1" x14ac:dyDescent="0.15">
      <c r="A221" s="3"/>
      <c r="B221" s="3"/>
      <c r="C221" s="3"/>
      <c r="D221" s="3"/>
      <c r="E221" s="3"/>
      <c r="F221" s="3"/>
      <c r="G221" s="3"/>
      <c r="H221" s="3"/>
      <c r="I221" s="3"/>
    </row>
    <row r="222" spans="1:9" ht="25" customHeight="1" x14ac:dyDescent="0.15">
      <c r="A222" s="3"/>
      <c r="B222" s="3"/>
      <c r="C222" s="3"/>
      <c r="D222" s="3"/>
      <c r="E222" s="3"/>
      <c r="F222" s="3"/>
      <c r="G222" s="3"/>
      <c r="H222" s="3"/>
      <c r="I222" s="3"/>
    </row>
    <row r="223" spans="1:9" ht="25" customHeight="1" x14ac:dyDescent="0.15">
      <c r="A223" s="3"/>
      <c r="B223" s="3"/>
      <c r="C223" s="3"/>
      <c r="D223" s="3"/>
      <c r="E223" s="3"/>
      <c r="F223" s="3"/>
      <c r="G223" s="3"/>
      <c r="H223" s="3"/>
      <c r="I223" s="3"/>
    </row>
    <row r="224" spans="1:9" ht="25" customHeight="1" x14ac:dyDescent="0.15">
      <c r="A224" s="3"/>
      <c r="B224" s="3"/>
      <c r="C224" s="3"/>
      <c r="D224" s="3"/>
      <c r="E224" s="3"/>
      <c r="F224" s="3"/>
      <c r="G224" s="3"/>
      <c r="H224" s="3"/>
      <c r="I224" s="3"/>
    </row>
    <row r="225" spans="1:9" ht="25" customHeight="1" x14ac:dyDescent="0.15">
      <c r="A225" s="3"/>
      <c r="B225" s="3"/>
      <c r="C225" s="3"/>
      <c r="D225" s="3"/>
      <c r="E225" s="3"/>
      <c r="F225" s="3"/>
      <c r="G225" s="3"/>
      <c r="H225" s="3"/>
      <c r="I225" s="3"/>
    </row>
    <row r="226" spans="1:9" ht="25" customHeight="1" x14ac:dyDescent="0.15">
      <c r="A226" s="3"/>
      <c r="B226" s="3"/>
      <c r="C226" s="3"/>
      <c r="D226" s="3"/>
      <c r="E226" s="3"/>
      <c r="F226" s="3"/>
      <c r="G226" s="3"/>
      <c r="H226" s="3"/>
      <c r="I226" s="3"/>
    </row>
    <row r="227" spans="1:9" ht="25" customHeight="1" x14ac:dyDescent="0.15">
      <c r="A227" s="3"/>
      <c r="B227" s="3"/>
      <c r="C227" s="3"/>
      <c r="D227" s="3"/>
      <c r="E227" s="3"/>
      <c r="F227" s="3"/>
      <c r="G227" s="3"/>
      <c r="H227" s="3"/>
      <c r="I227" s="3"/>
    </row>
    <row r="228" spans="1:9" ht="25" customHeight="1" x14ac:dyDescent="0.15">
      <c r="A228" s="3"/>
      <c r="B228" s="3"/>
      <c r="C228" s="3"/>
      <c r="D228" s="3"/>
      <c r="E228" s="3"/>
      <c r="F228" s="3"/>
      <c r="G228" s="3"/>
      <c r="H228" s="3"/>
      <c r="I228" s="3"/>
    </row>
    <row r="229" spans="1:9" ht="25" customHeight="1" x14ac:dyDescent="0.15">
      <c r="A229" s="3"/>
      <c r="B229" s="3"/>
      <c r="C229" s="3"/>
      <c r="D229" s="3"/>
      <c r="E229" s="3"/>
      <c r="F229" s="3"/>
      <c r="G229" s="3"/>
      <c r="H229" s="3"/>
      <c r="I229" s="3"/>
    </row>
    <row r="230" spans="1:9" ht="25" customHeight="1" x14ac:dyDescent="0.15">
      <c r="A230" s="3"/>
      <c r="B230" s="3"/>
      <c r="C230" s="3"/>
      <c r="D230" s="3"/>
      <c r="E230" s="3"/>
      <c r="F230" s="3"/>
      <c r="G230" s="3"/>
      <c r="H230" s="3"/>
      <c r="I230" s="3"/>
    </row>
    <row r="231" spans="1:9" ht="25" customHeight="1" x14ac:dyDescent="0.15">
      <c r="A231" s="3"/>
      <c r="B231" s="3"/>
      <c r="C231" s="3"/>
      <c r="D231" s="3"/>
      <c r="E231" s="3"/>
      <c r="F231" s="3"/>
      <c r="G231" s="3"/>
      <c r="H231" s="3"/>
      <c r="I231" s="3"/>
    </row>
    <row r="232" spans="1:9" ht="25" customHeight="1" x14ac:dyDescent="0.15">
      <c r="A232" s="3"/>
      <c r="B232" s="3"/>
      <c r="C232" s="3"/>
      <c r="D232" s="3"/>
      <c r="E232" s="3"/>
      <c r="F232" s="3"/>
      <c r="G232" s="3"/>
      <c r="H232" s="3"/>
      <c r="I232" s="3"/>
    </row>
    <row r="233" spans="1:9" ht="25" customHeight="1" x14ac:dyDescent="0.15">
      <c r="A233" s="3"/>
      <c r="B233" s="3"/>
      <c r="C233" s="3"/>
      <c r="D233" s="3"/>
      <c r="E233" s="3"/>
      <c r="F233" s="3"/>
      <c r="G233" s="3"/>
      <c r="H233" s="3"/>
      <c r="I233" s="3"/>
    </row>
    <row r="234" spans="1:9" ht="25" customHeight="1" x14ac:dyDescent="0.15">
      <c r="A234" s="3"/>
      <c r="B234" s="3"/>
      <c r="C234" s="3"/>
      <c r="D234" s="3"/>
      <c r="E234" s="3"/>
      <c r="F234" s="3"/>
      <c r="G234" s="3"/>
      <c r="H234" s="3"/>
      <c r="I234" s="3"/>
    </row>
    <row r="235" spans="1:9" ht="25" customHeight="1" x14ac:dyDescent="0.15">
      <c r="A235" s="3"/>
      <c r="B235" s="3"/>
      <c r="C235" s="3"/>
      <c r="D235" s="3"/>
      <c r="E235" s="3"/>
      <c r="F235" s="3"/>
      <c r="G235" s="3"/>
      <c r="H235" s="3"/>
      <c r="I235" s="3"/>
    </row>
    <row r="236" spans="1:9" ht="25" customHeight="1" x14ac:dyDescent="0.15">
      <c r="A236" s="3"/>
      <c r="B236" s="3"/>
      <c r="C236" s="3"/>
      <c r="D236" s="3"/>
      <c r="E236" s="3"/>
      <c r="F236" s="3"/>
      <c r="G236" s="3"/>
      <c r="H236" s="3"/>
      <c r="I236" s="3"/>
    </row>
    <row r="237" spans="1:9" ht="25" customHeight="1" x14ac:dyDescent="0.15">
      <c r="A237" s="3"/>
      <c r="B237" s="3"/>
      <c r="C237" s="3"/>
      <c r="D237" s="3"/>
      <c r="E237" s="3"/>
      <c r="F237" s="3"/>
      <c r="G237" s="3"/>
      <c r="H237" s="3"/>
      <c r="I237" s="3"/>
    </row>
    <row r="238" spans="1:9" ht="25" customHeight="1" x14ac:dyDescent="0.15">
      <c r="A238" s="3"/>
      <c r="B238" s="3"/>
      <c r="C238" s="3"/>
      <c r="D238" s="3"/>
      <c r="E238" s="3"/>
      <c r="F238" s="3"/>
      <c r="G238" s="3"/>
      <c r="H238" s="3"/>
      <c r="I238" s="3"/>
    </row>
    <row r="239" spans="1:9" ht="25" customHeight="1" x14ac:dyDescent="0.15">
      <c r="A239" s="3"/>
      <c r="B239" s="3"/>
      <c r="C239" s="3"/>
      <c r="D239" s="3"/>
      <c r="E239" s="3"/>
      <c r="F239" s="3"/>
      <c r="G239" s="3"/>
      <c r="H239" s="3"/>
      <c r="I239" s="3"/>
    </row>
    <row r="240" spans="1:9" ht="25" customHeight="1" x14ac:dyDescent="0.15">
      <c r="A240" s="3"/>
      <c r="B240" s="3"/>
      <c r="C240" s="3"/>
      <c r="D240" s="3"/>
      <c r="E240" s="3"/>
      <c r="F240" s="3"/>
      <c r="G240" s="3"/>
      <c r="H240" s="3"/>
      <c r="I240" s="3"/>
    </row>
    <row r="241" spans="1:9" ht="25" customHeight="1" x14ac:dyDescent="0.15">
      <c r="A241" s="3"/>
      <c r="B241" s="3"/>
      <c r="C241" s="3"/>
      <c r="D241" s="3"/>
      <c r="E241" s="3"/>
      <c r="F241" s="3"/>
      <c r="G241" s="3"/>
      <c r="H241" s="3"/>
      <c r="I241" s="3"/>
    </row>
    <row r="242" spans="1:9" ht="25" customHeight="1" x14ac:dyDescent="0.15">
      <c r="A242" s="3"/>
      <c r="B242" s="3"/>
      <c r="C242" s="3"/>
      <c r="D242" s="3"/>
      <c r="E242" s="3"/>
      <c r="F242" s="3"/>
      <c r="G242" s="3"/>
      <c r="H242" s="3"/>
      <c r="I242" s="3"/>
    </row>
    <row r="243" spans="1:9" ht="25" customHeight="1" x14ac:dyDescent="0.15">
      <c r="A243" s="3"/>
      <c r="B243" s="3"/>
      <c r="C243" s="3"/>
      <c r="D243" s="3"/>
      <c r="E243" s="3"/>
      <c r="F243" s="3"/>
      <c r="G243" s="3"/>
      <c r="H243" s="3"/>
      <c r="I243" s="3"/>
    </row>
    <row r="244" spans="1:9" ht="25" customHeight="1" x14ac:dyDescent="0.15">
      <c r="A244" s="3"/>
      <c r="B244" s="3"/>
      <c r="C244" s="3"/>
      <c r="D244" s="3"/>
      <c r="E244" s="3"/>
      <c r="F244" s="3"/>
      <c r="G244" s="3"/>
      <c r="H244" s="3"/>
      <c r="I244" s="3"/>
    </row>
    <row r="245" spans="1:9" ht="25" customHeight="1" x14ac:dyDescent="0.15">
      <c r="A245" s="3"/>
      <c r="B245" s="3"/>
      <c r="C245" s="3"/>
      <c r="D245" s="3"/>
      <c r="E245" s="3"/>
      <c r="F245" s="3"/>
      <c r="G245" s="3"/>
      <c r="H245" s="3"/>
      <c r="I245" s="3"/>
    </row>
    <row r="246" spans="1:9" ht="25" customHeight="1" x14ac:dyDescent="0.15">
      <c r="A246" s="3"/>
      <c r="B246" s="3"/>
      <c r="C246" s="3"/>
      <c r="D246" s="3"/>
      <c r="E246" s="3"/>
      <c r="F246" s="3"/>
      <c r="G246" s="3"/>
      <c r="H246" s="3"/>
      <c r="I246" s="3"/>
    </row>
    <row r="247" spans="1:9" ht="25" customHeight="1" x14ac:dyDescent="0.15">
      <c r="A247" s="3"/>
      <c r="B247" s="3"/>
      <c r="C247" s="3"/>
      <c r="D247" s="3"/>
      <c r="E247" s="3"/>
      <c r="F247" s="3"/>
      <c r="G247" s="3"/>
      <c r="H247" s="3"/>
      <c r="I247" s="3"/>
    </row>
    <row r="248" spans="1:9" ht="25" customHeight="1" x14ac:dyDescent="0.15">
      <c r="A248" s="3"/>
      <c r="B248" s="3"/>
      <c r="C248" s="3"/>
      <c r="D248" s="3"/>
      <c r="E248" s="3"/>
      <c r="F248" s="3"/>
      <c r="G248" s="3"/>
      <c r="H248" s="3"/>
      <c r="I248" s="3"/>
    </row>
    <row r="249" spans="1:9" ht="25" customHeight="1" x14ac:dyDescent="0.15">
      <c r="A249" s="3"/>
      <c r="B249" s="3"/>
      <c r="C249" s="3"/>
      <c r="D249" s="3"/>
      <c r="E249" s="3"/>
      <c r="F249" s="3"/>
      <c r="G249" s="3"/>
      <c r="H249" s="3"/>
      <c r="I249" s="3"/>
    </row>
    <row r="250" spans="1:9" ht="25" customHeight="1" x14ac:dyDescent="0.15">
      <c r="A250" s="3"/>
      <c r="B250" s="3"/>
      <c r="C250" s="3"/>
      <c r="D250" s="3"/>
      <c r="E250" s="3"/>
      <c r="F250" s="3"/>
      <c r="G250" s="3"/>
      <c r="H250" s="3"/>
      <c r="I250" s="3"/>
    </row>
    <row r="251" spans="1:9" ht="25" customHeight="1" x14ac:dyDescent="0.15">
      <c r="A251" s="3"/>
      <c r="B251" s="3"/>
      <c r="C251" s="3"/>
      <c r="D251" s="3"/>
      <c r="E251" s="3"/>
      <c r="F251" s="3"/>
      <c r="G251" s="3"/>
      <c r="H251" s="3"/>
      <c r="I251" s="3"/>
    </row>
    <row r="252" spans="1:9" ht="25" customHeight="1" x14ac:dyDescent="0.15">
      <c r="A252" s="3"/>
      <c r="B252" s="3"/>
      <c r="C252" s="3"/>
      <c r="D252" s="3"/>
      <c r="E252" s="3"/>
      <c r="F252" s="3"/>
      <c r="G252" s="3"/>
      <c r="H252" s="3"/>
      <c r="I252" s="3"/>
    </row>
    <row r="253" spans="1:9" ht="25" customHeight="1" x14ac:dyDescent="0.15">
      <c r="A253" s="3"/>
      <c r="B253" s="3"/>
      <c r="C253" s="3"/>
      <c r="D253" s="3"/>
      <c r="E253" s="3"/>
      <c r="F253" s="3"/>
      <c r="G253" s="3"/>
      <c r="H253" s="3"/>
      <c r="I253" s="3"/>
    </row>
    <row r="254" spans="1:9" ht="25" customHeight="1" x14ac:dyDescent="0.15">
      <c r="A254" s="3"/>
      <c r="B254" s="3"/>
      <c r="C254" s="3"/>
      <c r="D254" s="3"/>
      <c r="E254" s="3"/>
      <c r="F254" s="3"/>
      <c r="G254" s="3"/>
      <c r="H254" s="3"/>
      <c r="I254" s="3"/>
    </row>
    <row r="255" spans="1:9" ht="25" customHeight="1" x14ac:dyDescent="0.15">
      <c r="A255" s="3"/>
      <c r="B255" s="3"/>
      <c r="C255" s="3"/>
      <c r="D255" s="3"/>
      <c r="E255" s="3"/>
      <c r="F255" s="3"/>
      <c r="G255" s="3"/>
      <c r="H255" s="3"/>
      <c r="I255" s="3"/>
    </row>
    <row r="256" spans="1:9" ht="25" customHeight="1" x14ac:dyDescent="0.15">
      <c r="A256" s="3"/>
      <c r="B256" s="3"/>
      <c r="C256" s="3"/>
      <c r="D256" s="3"/>
      <c r="E256" s="3"/>
      <c r="F256" s="3"/>
      <c r="G256" s="3"/>
      <c r="H256" s="3"/>
      <c r="I256" s="3"/>
    </row>
    <row r="257" spans="1:9" ht="25" customHeight="1" x14ac:dyDescent="0.15">
      <c r="A257" s="3"/>
      <c r="B257" s="3"/>
      <c r="C257" s="3"/>
      <c r="D257" s="3"/>
      <c r="E257" s="3"/>
      <c r="F257" s="3"/>
      <c r="G257" s="3"/>
      <c r="H257" s="3"/>
      <c r="I257" s="3"/>
    </row>
    <row r="258" spans="1:9" ht="25" customHeight="1" x14ac:dyDescent="0.15">
      <c r="A258" s="3"/>
      <c r="B258" s="3"/>
      <c r="C258" s="3"/>
      <c r="D258" s="3"/>
      <c r="E258" s="3"/>
      <c r="F258" s="3"/>
      <c r="G258" s="3"/>
      <c r="H258" s="3"/>
      <c r="I258" s="3"/>
    </row>
    <row r="259" spans="1:9" ht="25" customHeight="1" x14ac:dyDescent="0.15">
      <c r="A259" s="3"/>
      <c r="B259" s="3"/>
      <c r="C259" s="3"/>
      <c r="D259" s="3"/>
      <c r="E259" s="3"/>
      <c r="F259" s="3"/>
      <c r="G259" s="3"/>
      <c r="H259" s="3"/>
      <c r="I259" s="3"/>
    </row>
    <row r="260" spans="1:9" ht="25" customHeight="1" x14ac:dyDescent="0.15">
      <c r="A260" s="3"/>
      <c r="B260" s="3"/>
      <c r="C260" s="3"/>
      <c r="D260" s="3"/>
      <c r="E260" s="3"/>
      <c r="F260" s="3"/>
      <c r="G260" s="3"/>
      <c r="H260" s="3"/>
      <c r="I260" s="3"/>
    </row>
    <row r="261" spans="1:9" ht="25" customHeight="1" x14ac:dyDescent="0.15">
      <c r="A261" s="3"/>
      <c r="B261" s="3"/>
      <c r="C261" s="3"/>
      <c r="D261" s="3"/>
      <c r="E261" s="3"/>
      <c r="F261" s="3"/>
      <c r="G261" s="3"/>
      <c r="H261" s="3"/>
      <c r="I261" s="3"/>
    </row>
    <row r="262" spans="1:9" ht="25" customHeight="1" x14ac:dyDescent="0.15">
      <c r="A262" s="3"/>
      <c r="B262" s="3"/>
      <c r="C262" s="3"/>
      <c r="D262" s="3"/>
      <c r="E262" s="3"/>
      <c r="F262" s="3"/>
      <c r="G262" s="3"/>
      <c r="H262" s="3"/>
      <c r="I262" s="3"/>
    </row>
    <row r="263" spans="1:9" ht="25" customHeight="1" x14ac:dyDescent="0.15">
      <c r="A263" s="3"/>
      <c r="B263" s="3"/>
      <c r="C263" s="3"/>
      <c r="D263" s="3"/>
      <c r="E263" s="3"/>
      <c r="F263" s="3"/>
      <c r="G263" s="3"/>
      <c r="H263" s="3"/>
      <c r="I263" s="3"/>
    </row>
    <row r="264" spans="1:9" ht="25" customHeight="1" x14ac:dyDescent="0.15">
      <c r="A264" s="3"/>
      <c r="B264" s="3"/>
      <c r="C264" s="3"/>
      <c r="D264" s="3"/>
      <c r="E264" s="3"/>
      <c r="F264" s="3"/>
      <c r="G264" s="3"/>
      <c r="H264" s="3"/>
      <c r="I264" s="3"/>
    </row>
    <row r="265" spans="1:9" ht="25" customHeight="1" x14ac:dyDescent="0.15">
      <c r="A265" s="3"/>
      <c r="B265" s="3"/>
      <c r="C265" s="3"/>
      <c r="D265" s="3"/>
      <c r="E265" s="3"/>
      <c r="F265" s="3"/>
      <c r="G265" s="3"/>
      <c r="H265" s="3"/>
      <c r="I265" s="3"/>
    </row>
    <row r="266" spans="1:9" ht="25" customHeight="1" x14ac:dyDescent="0.15">
      <c r="A266" s="3"/>
      <c r="B266" s="3"/>
      <c r="C266" s="3"/>
      <c r="D266" s="3"/>
      <c r="E266" s="3"/>
      <c r="F266" s="3"/>
      <c r="G266" s="3"/>
      <c r="H266" s="3"/>
      <c r="I266" s="3"/>
    </row>
    <row r="267" spans="1:9" ht="25" customHeight="1" x14ac:dyDescent="0.15">
      <c r="A267" s="3"/>
      <c r="B267" s="3"/>
      <c r="C267" s="3"/>
      <c r="D267" s="3"/>
      <c r="E267" s="3"/>
      <c r="F267" s="3"/>
      <c r="G267" s="3"/>
      <c r="H267" s="3"/>
      <c r="I267" s="3"/>
    </row>
    <row r="268" spans="1:9" ht="25" customHeight="1" x14ac:dyDescent="0.15">
      <c r="A268" s="3"/>
      <c r="B268" s="3"/>
      <c r="C268" s="3"/>
      <c r="D268" s="3"/>
      <c r="E268" s="3"/>
      <c r="F268" s="3"/>
      <c r="G268" s="3"/>
      <c r="H268" s="3"/>
      <c r="I268" s="3"/>
    </row>
    <row r="269" spans="1:9" ht="25" customHeight="1" x14ac:dyDescent="0.15">
      <c r="A269" s="3"/>
      <c r="B269" s="3"/>
      <c r="C269" s="3"/>
      <c r="D269" s="3"/>
      <c r="E269" s="3"/>
      <c r="F269" s="3"/>
      <c r="G269" s="3"/>
      <c r="H269" s="3"/>
      <c r="I269" s="3"/>
    </row>
    <row r="270" spans="1:9" ht="25" customHeight="1" x14ac:dyDescent="0.15">
      <c r="A270" s="3"/>
      <c r="B270" s="3"/>
      <c r="C270" s="3"/>
      <c r="D270" s="3"/>
      <c r="E270" s="3"/>
      <c r="F270" s="3"/>
      <c r="G270" s="3"/>
      <c r="H270" s="3"/>
      <c r="I270" s="3"/>
    </row>
    <row r="271" spans="1:9" ht="25" customHeight="1" x14ac:dyDescent="0.15">
      <c r="A271" s="3"/>
      <c r="B271" s="3"/>
      <c r="C271" s="3"/>
      <c r="D271" s="3"/>
      <c r="E271" s="3"/>
      <c r="F271" s="3"/>
      <c r="G271" s="3"/>
      <c r="H271" s="3"/>
      <c r="I271" s="3"/>
    </row>
    <row r="272" spans="1:9" ht="25" customHeight="1" x14ac:dyDescent="0.15">
      <c r="A272" s="3"/>
      <c r="B272" s="3"/>
      <c r="C272" s="3"/>
      <c r="D272" s="3"/>
      <c r="E272" s="3"/>
      <c r="F272" s="3"/>
      <c r="G272" s="3"/>
      <c r="H272" s="3"/>
      <c r="I272" s="3"/>
    </row>
    <row r="273" spans="1:9" ht="25" customHeight="1" x14ac:dyDescent="0.15">
      <c r="A273" s="3"/>
      <c r="B273" s="3"/>
      <c r="C273" s="3"/>
      <c r="D273" s="3"/>
      <c r="E273" s="3"/>
      <c r="F273" s="3"/>
      <c r="G273" s="3"/>
      <c r="H273" s="3"/>
      <c r="I273" s="3"/>
    </row>
    <row r="274" spans="1:9" ht="25" customHeight="1" x14ac:dyDescent="0.15">
      <c r="A274" s="3"/>
      <c r="B274" s="3"/>
      <c r="C274" s="3"/>
      <c r="D274" s="3"/>
      <c r="E274" s="3"/>
      <c r="F274" s="3"/>
      <c r="G274" s="3"/>
      <c r="H274" s="3"/>
      <c r="I274" s="3"/>
    </row>
    <row r="275" spans="1:9" ht="25" customHeight="1" x14ac:dyDescent="0.15">
      <c r="A275" s="3"/>
      <c r="B275" s="3"/>
      <c r="C275" s="3"/>
      <c r="D275" s="3"/>
      <c r="E275" s="3"/>
      <c r="F275" s="3"/>
      <c r="G275" s="3"/>
      <c r="H275" s="3"/>
      <c r="I275" s="3"/>
    </row>
    <row r="276" spans="1:9" ht="25" customHeight="1" x14ac:dyDescent="0.15">
      <c r="A276" s="3"/>
      <c r="B276" s="3"/>
      <c r="C276" s="3"/>
      <c r="D276" s="3"/>
      <c r="E276" s="3"/>
      <c r="F276" s="3"/>
      <c r="G276" s="3"/>
      <c r="H276" s="3"/>
      <c r="I276" s="3"/>
    </row>
    <row r="277" spans="1:9" ht="25" customHeight="1" x14ac:dyDescent="0.15">
      <c r="A277" s="3"/>
      <c r="B277" s="3"/>
      <c r="C277" s="3"/>
      <c r="D277" s="3"/>
      <c r="E277" s="3"/>
      <c r="F277" s="3"/>
      <c r="G277" s="3"/>
      <c r="H277" s="3"/>
      <c r="I277" s="3"/>
    </row>
    <row r="278" spans="1:9" ht="25" customHeight="1" x14ac:dyDescent="0.15">
      <c r="A278" s="3"/>
      <c r="B278" s="3"/>
      <c r="C278" s="3"/>
      <c r="D278" s="3"/>
      <c r="E278" s="3"/>
      <c r="F278" s="3"/>
      <c r="G278" s="3"/>
      <c r="H278" s="3"/>
      <c r="I278" s="3"/>
    </row>
    <row r="279" spans="1:9" ht="25" customHeight="1" x14ac:dyDescent="0.15">
      <c r="A279" s="3"/>
      <c r="B279" s="3"/>
      <c r="C279" s="3"/>
      <c r="D279" s="3"/>
      <c r="E279" s="3"/>
      <c r="F279" s="3"/>
      <c r="G279" s="3"/>
      <c r="H279" s="3"/>
      <c r="I279" s="3"/>
    </row>
    <row r="280" spans="1:9" ht="25" customHeight="1" x14ac:dyDescent="0.15">
      <c r="A280" s="3"/>
      <c r="B280" s="3"/>
      <c r="C280" s="3"/>
      <c r="D280" s="3"/>
      <c r="E280" s="3"/>
      <c r="F280" s="3"/>
      <c r="G280" s="3"/>
      <c r="H280" s="3"/>
      <c r="I280" s="3"/>
    </row>
    <row r="281" spans="1:9" ht="25" customHeight="1" x14ac:dyDescent="0.15">
      <c r="A281" s="3"/>
      <c r="B281" s="3"/>
      <c r="C281" s="3"/>
      <c r="D281" s="3"/>
      <c r="E281" s="3"/>
      <c r="F281" s="3"/>
      <c r="G281" s="3"/>
      <c r="H281" s="3"/>
      <c r="I281" s="3"/>
    </row>
    <row r="282" spans="1:9" ht="25" customHeight="1" x14ac:dyDescent="0.15">
      <c r="A282" s="3"/>
      <c r="B282" s="3"/>
      <c r="C282" s="3"/>
      <c r="D282" s="3"/>
      <c r="E282" s="3"/>
      <c r="F282" s="3"/>
      <c r="G282" s="3"/>
      <c r="H282" s="3"/>
      <c r="I282" s="3"/>
    </row>
    <row r="283" spans="1:9" ht="25" customHeight="1" x14ac:dyDescent="0.15">
      <c r="A283" s="3"/>
      <c r="B283" s="3"/>
      <c r="C283" s="3"/>
      <c r="D283" s="3"/>
      <c r="E283" s="3"/>
      <c r="F283" s="3"/>
      <c r="G283" s="3"/>
      <c r="H283" s="3"/>
      <c r="I283" s="3"/>
    </row>
    <row r="284" spans="1:9" ht="25" customHeight="1" x14ac:dyDescent="0.15">
      <c r="A284" s="3"/>
      <c r="B284" s="3"/>
      <c r="C284" s="3"/>
      <c r="D284" s="3"/>
      <c r="E284" s="3"/>
      <c r="F284" s="3"/>
      <c r="G284" s="3"/>
      <c r="H284" s="3"/>
      <c r="I284" s="3"/>
    </row>
    <row r="285" spans="1:9" ht="25" customHeight="1" x14ac:dyDescent="0.15">
      <c r="A285" s="3"/>
      <c r="B285" s="3"/>
      <c r="C285" s="3"/>
      <c r="D285" s="3"/>
      <c r="E285" s="3"/>
      <c r="F285" s="3"/>
      <c r="G285" s="3"/>
      <c r="H285" s="3"/>
      <c r="I285" s="3"/>
    </row>
    <row r="286" spans="1:9" ht="25" customHeight="1" x14ac:dyDescent="0.15">
      <c r="A286" s="3"/>
      <c r="B286" s="3"/>
      <c r="C286" s="3"/>
      <c r="D286" s="3"/>
      <c r="E286" s="3"/>
      <c r="F286" s="3"/>
      <c r="G286" s="3"/>
      <c r="H286" s="3"/>
      <c r="I286" s="3"/>
    </row>
    <row r="287" spans="1:9" ht="25" customHeight="1" x14ac:dyDescent="0.15">
      <c r="A287" s="3"/>
      <c r="B287" s="3"/>
      <c r="C287" s="3"/>
      <c r="D287" s="3"/>
      <c r="E287" s="3"/>
      <c r="F287" s="3"/>
      <c r="G287" s="3"/>
      <c r="H287" s="3"/>
      <c r="I287" s="3"/>
    </row>
    <row r="288" spans="1:9" ht="25" customHeight="1" x14ac:dyDescent="0.15">
      <c r="A288" s="3"/>
      <c r="B288" s="3"/>
      <c r="C288" s="3"/>
      <c r="D288" s="3"/>
      <c r="E288" s="3"/>
      <c r="F288" s="3"/>
      <c r="G288" s="3"/>
      <c r="H288" s="3"/>
      <c r="I288" s="3"/>
    </row>
    <row r="289" spans="1:9" ht="25" customHeight="1" x14ac:dyDescent="0.15">
      <c r="A289" s="3"/>
      <c r="B289" s="3"/>
      <c r="C289" s="3"/>
      <c r="D289" s="3"/>
      <c r="E289" s="3"/>
      <c r="F289" s="3"/>
      <c r="G289" s="3"/>
      <c r="H289" s="3"/>
      <c r="I289" s="3"/>
    </row>
    <row r="290" spans="1:9" ht="25" customHeight="1" x14ac:dyDescent="0.15">
      <c r="A290" s="3"/>
      <c r="B290" s="3"/>
      <c r="C290" s="3"/>
      <c r="D290" s="3"/>
      <c r="E290" s="3"/>
      <c r="F290" s="3"/>
      <c r="G290" s="3"/>
      <c r="H290" s="3"/>
      <c r="I290" s="3"/>
    </row>
    <row r="291" spans="1:9" ht="25" customHeight="1" x14ac:dyDescent="0.15">
      <c r="A291" s="3"/>
      <c r="B291" s="3"/>
      <c r="C291" s="3"/>
      <c r="D291" s="3"/>
      <c r="E291" s="3"/>
      <c r="F291" s="3"/>
      <c r="G291" s="3"/>
      <c r="H291" s="3"/>
      <c r="I291" s="3"/>
    </row>
    <row r="292" spans="1:9" ht="25" customHeight="1" x14ac:dyDescent="0.15">
      <c r="A292" s="3"/>
      <c r="B292" s="3"/>
      <c r="C292" s="3"/>
      <c r="D292" s="3"/>
      <c r="E292" s="3"/>
      <c r="F292" s="3"/>
      <c r="G292" s="3"/>
      <c r="H292" s="3"/>
      <c r="I292" s="3"/>
    </row>
    <row r="293" spans="1:9" ht="25" customHeight="1" x14ac:dyDescent="0.15">
      <c r="A293" s="3"/>
      <c r="B293" s="3"/>
      <c r="C293" s="3"/>
      <c r="D293" s="3"/>
      <c r="E293" s="3"/>
      <c r="F293" s="3"/>
      <c r="G293" s="3"/>
      <c r="H293" s="3"/>
      <c r="I293" s="3"/>
    </row>
    <row r="294" spans="1:9" ht="25" customHeight="1" x14ac:dyDescent="0.15">
      <c r="A294" s="3"/>
      <c r="B294" s="3"/>
      <c r="C294" s="3"/>
      <c r="D294" s="3"/>
      <c r="E294" s="3"/>
      <c r="F294" s="3"/>
      <c r="G294" s="3"/>
      <c r="H294" s="3"/>
      <c r="I294" s="3"/>
    </row>
    <row r="295" spans="1:9" ht="25" customHeight="1" x14ac:dyDescent="0.15">
      <c r="A295" s="3"/>
      <c r="B295" s="3"/>
      <c r="C295" s="3"/>
      <c r="D295" s="3"/>
      <c r="E295" s="3"/>
      <c r="F295" s="3"/>
      <c r="G295" s="3"/>
      <c r="H295" s="3"/>
      <c r="I295" s="3"/>
    </row>
    <row r="296" spans="1:9" ht="25" customHeight="1" x14ac:dyDescent="0.15">
      <c r="A296" s="3"/>
      <c r="B296" s="3"/>
      <c r="C296" s="3"/>
      <c r="D296" s="3"/>
      <c r="E296" s="3"/>
      <c r="F296" s="3"/>
      <c r="G296" s="3"/>
      <c r="H296" s="3"/>
      <c r="I296" s="3"/>
    </row>
    <row r="297" spans="1:9" ht="25" customHeight="1" x14ac:dyDescent="0.15">
      <c r="A297" s="3"/>
      <c r="B297" s="3"/>
      <c r="C297" s="3"/>
      <c r="D297" s="3"/>
      <c r="E297" s="3"/>
      <c r="F297" s="3"/>
      <c r="G297" s="3"/>
      <c r="H297" s="3"/>
      <c r="I297" s="3"/>
    </row>
    <row r="298" spans="1:9" ht="25" customHeight="1" x14ac:dyDescent="0.15">
      <c r="A298" s="3"/>
      <c r="B298" s="3"/>
      <c r="C298" s="3"/>
      <c r="D298" s="3"/>
      <c r="E298" s="3"/>
      <c r="F298" s="3"/>
      <c r="G298" s="3"/>
      <c r="H298" s="3"/>
      <c r="I298" s="3"/>
    </row>
    <row r="299" spans="1:9" ht="25" customHeight="1" x14ac:dyDescent="0.15">
      <c r="A299" s="3"/>
      <c r="B299" s="3"/>
      <c r="C299" s="3"/>
      <c r="D299" s="3"/>
      <c r="E299" s="3"/>
      <c r="F299" s="3"/>
      <c r="G299" s="3"/>
      <c r="H299" s="3"/>
      <c r="I299" s="3"/>
    </row>
    <row r="300" spans="1:9" ht="25" customHeight="1" x14ac:dyDescent="0.15">
      <c r="A300" s="3"/>
      <c r="B300" s="3"/>
      <c r="C300" s="3"/>
      <c r="D300" s="3"/>
      <c r="E300" s="3"/>
      <c r="F300" s="3"/>
      <c r="G300" s="3"/>
      <c r="H300" s="3"/>
      <c r="I300" s="3"/>
    </row>
    <row r="301" spans="1:9" ht="25" customHeight="1" x14ac:dyDescent="0.15">
      <c r="A301" s="3"/>
      <c r="B301" s="3"/>
      <c r="C301" s="3"/>
      <c r="D301" s="3"/>
      <c r="E301" s="3"/>
      <c r="F301" s="3"/>
      <c r="G301" s="3"/>
      <c r="H301" s="3"/>
      <c r="I301" s="3"/>
    </row>
    <row r="302" spans="1:9" ht="25" customHeight="1" x14ac:dyDescent="0.15">
      <c r="A302" s="3"/>
      <c r="B302" s="3"/>
      <c r="C302" s="3"/>
      <c r="D302" s="3"/>
      <c r="E302" s="3"/>
      <c r="F302" s="3"/>
      <c r="G302" s="3"/>
      <c r="H302" s="3"/>
      <c r="I302" s="3"/>
    </row>
    <row r="303" spans="1:9" ht="25" customHeight="1" x14ac:dyDescent="0.15">
      <c r="A303" s="3"/>
      <c r="B303" s="3"/>
      <c r="C303" s="3"/>
      <c r="D303" s="3"/>
      <c r="E303" s="3"/>
      <c r="F303" s="3"/>
      <c r="G303" s="3"/>
      <c r="H303" s="3"/>
      <c r="I303" s="3"/>
    </row>
    <row r="304" spans="1:9" ht="25" customHeight="1" x14ac:dyDescent="0.15">
      <c r="A304" s="3"/>
      <c r="B304" s="3"/>
      <c r="C304" s="3"/>
      <c r="D304" s="3"/>
      <c r="E304" s="3"/>
      <c r="F304" s="3"/>
      <c r="G304" s="3"/>
      <c r="H304" s="3"/>
      <c r="I304" s="3"/>
    </row>
    <row r="305" spans="1:9" ht="25" customHeight="1" x14ac:dyDescent="0.15">
      <c r="A305" s="3"/>
      <c r="B305" s="3"/>
      <c r="C305" s="3"/>
      <c r="D305" s="3"/>
      <c r="E305" s="3"/>
      <c r="F305" s="3"/>
      <c r="G305" s="3"/>
      <c r="H305" s="3"/>
      <c r="I305" s="3"/>
    </row>
    <row r="306" spans="1:9" ht="25" customHeight="1" x14ac:dyDescent="0.15">
      <c r="A306" s="3"/>
      <c r="B306" s="3"/>
      <c r="C306" s="3"/>
      <c r="D306" s="3"/>
      <c r="E306" s="3"/>
      <c r="F306" s="3"/>
      <c r="G306" s="3"/>
      <c r="H306" s="3"/>
      <c r="I306" s="3"/>
    </row>
    <row r="307" spans="1:9" ht="25" customHeight="1" x14ac:dyDescent="0.15">
      <c r="A307" s="3"/>
      <c r="B307" s="3"/>
      <c r="C307" s="3"/>
      <c r="D307" s="3"/>
      <c r="E307" s="3"/>
      <c r="F307" s="3"/>
      <c r="G307" s="3"/>
      <c r="H307" s="3"/>
      <c r="I307" s="3"/>
    </row>
    <row r="308" spans="1:9" ht="25" customHeight="1" x14ac:dyDescent="0.15">
      <c r="A308" s="3"/>
      <c r="B308" s="3"/>
      <c r="C308" s="3"/>
      <c r="D308" s="3"/>
      <c r="E308" s="3"/>
      <c r="F308" s="3"/>
      <c r="G308" s="3"/>
      <c r="H308" s="3"/>
      <c r="I308" s="3"/>
    </row>
    <row r="309" spans="1:9" ht="25" customHeight="1" x14ac:dyDescent="0.15">
      <c r="A309" s="3"/>
      <c r="B309" s="3"/>
      <c r="C309" s="3"/>
      <c r="D309" s="3"/>
      <c r="E309" s="3"/>
      <c r="F309" s="3"/>
      <c r="G309" s="3"/>
      <c r="H309" s="3"/>
      <c r="I309" s="3"/>
    </row>
    <row r="310" spans="1:9" ht="25" customHeight="1" x14ac:dyDescent="0.15">
      <c r="A310" s="3"/>
      <c r="B310" s="3"/>
      <c r="C310" s="3"/>
      <c r="D310" s="3"/>
      <c r="E310" s="3"/>
      <c r="F310" s="3"/>
      <c r="G310" s="3"/>
      <c r="H310" s="3"/>
      <c r="I310" s="3"/>
    </row>
    <row r="311" spans="1:9" ht="25" customHeight="1" x14ac:dyDescent="0.15">
      <c r="A311" s="3"/>
      <c r="B311" s="3"/>
      <c r="C311" s="3"/>
      <c r="D311" s="3"/>
      <c r="E311" s="3"/>
      <c r="F311" s="3"/>
      <c r="G311" s="3"/>
      <c r="H311" s="3"/>
      <c r="I311" s="3"/>
    </row>
    <row r="312" spans="1:9" ht="25" customHeight="1" x14ac:dyDescent="0.15">
      <c r="A312" s="3"/>
      <c r="B312" s="3"/>
      <c r="C312" s="3"/>
      <c r="D312" s="3"/>
      <c r="E312" s="3"/>
      <c r="F312" s="3"/>
      <c r="G312" s="3"/>
      <c r="H312" s="3"/>
      <c r="I312" s="3"/>
    </row>
    <row r="313" spans="1:9" ht="25" customHeight="1" x14ac:dyDescent="0.15">
      <c r="A313" s="3"/>
      <c r="B313" s="3"/>
      <c r="C313" s="3"/>
      <c r="D313" s="3"/>
      <c r="E313" s="3"/>
      <c r="F313" s="3"/>
      <c r="G313" s="3"/>
      <c r="H313" s="3"/>
      <c r="I313" s="3"/>
    </row>
    <row r="314" spans="1:9" ht="25" customHeight="1" x14ac:dyDescent="0.15">
      <c r="A314" s="3"/>
      <c r="B314" s="3"/>
      <c r="C314" s="3"/>
      <c r="D314" s="3"/>
      <c r="E314" s="3"/>
      <c r="F314" s="3"/>
      <c r="G314" s="3"/>
      <c r="H314" s="3"/>
      <c r="I314" s="3"/>
    </row>
    <row r="315" spans="1:9" ht="25" customHeight="1" x14ac:dyDescent="0.15">
      <c r="A315" s="3"/>
      <c r="B315" s="3"/>
      <c r="C315" s="3"/>
      <c r="D315" s="3"/>
      <c r="E315" s="3"/>
      <c r="F315" s="3"/>
      <c r="G315" s="3"/>
      <c r="H315" s="3"/>
      <c r="I315" s="3"/>
    </row>
    <row r="316" spans="1:9" ht="25" customHeight="1" x14ac:dyDescent="0.15">
      <c r="A316" s="3"/>
      <c r="B316" s="3"/>
      <c r="C316" s="3"/>
      <c r="D316" s="3"/>
      <c r="E316" s="3"/>
      <c r="F316" s="3"/>
      <c r="G316" s="3"/>
      <c r="H316" s="3"/>
      <c r="I316" s="3"/>
    </row>
    <row r="317" spans="1:9" ht="25" customHeight="1" x14ac:dyDescent="0.15">
      <c r="A317" s="3"/>
      <c r="B317" s="3"/>
      <c r="C317" s="3"/>
      <c r="D317" s="3"/>
      <c r="E317" s="3"/>
      <c r="F317" s="3"/>
      <c r="G317" s="3"/>
      <c r="H317" s="3"/>
      <c r="I317" s="3"/>
    </row>
    <row r="318" spans="1:9" ht="25" customHeight="1" x14ac:dyDescent="0.15">
      <c r="A318" s="3"/>
      <c r="B318" s="3"/>
      <c r="C318" s="3"/>
      <c r="D318" s="3"/>
      <c r="E318" s="3"/>
      <c r="F318" s="3"/>
      <c r="G318" s="3"/>
      <c r="H318" s="3"/>
      <c r="I318" s="3"/>
    </row>
    <row r="319" spans="1:9" ht="25" customHeight="1" x14ac:dyDescent="0.15">
      <c r="A319" s="3"/>
      <c r="B319" s="3"/>
      <c r="C319" s="3"/>
      <c r="D319" s="3"/>
      <c r="E319" s="3"/>
      <c r="F319" s="3"/>
      <c r="G319" s="3"/>
      <c r="H319" s="3"/>
      <c r="I319" s="3"/>
    </row>
    <row r="320" spans="1:9" ht="25" customHeight="1" x14ac:dyDescent="0.15">
      <c r="A320" s="3"/>
      <c r="B320" s="3"/>
      <c r="C320" s="3"/>
      <c r="D320" s="3"/>
      <c r="E320" s="3"/>
      <c r="F320" s="3"/>
      <c r="G320" s="3"/>
      <c r="H320" s="3"/>
      <c r="I320" s="3"/>
    </row>
    <row r="321" spans="1:9" ht="25" customHeight="1" x14ac:dyDescent="0.15">
      <c r="A321" s="3"/>
      <c r="B321" s="3"/>
      <c r="C321" s="3"/>
      <c r="D321" s="3"/>
      <c r="E321" s="3"/>
      <c r="F321" s="3"/>
      <c r="G321" s="3"/>
      <c r="H321" s="3"/>
      <c r="I321" s="3"/>
    </row>
    <row r="322" spans="1:9" ht="25" customHeight="1" x14ac:dyDescent="0.15">
      <c r="A322" s="3"/>
      <c r="B322" s="3"/>
      <c r="C322" s="3"/>
      <c r="D322" s="3"/>
      <c r="E322" s="3"/>
      <c r="F322" s="3"/>
      <c r="G322" s="3"/>
      <c r="H322" s="3"/>
      <c r="I322" s="3"/>
    </row>
    <row r="323" spans="1:9" ht="25" customHeight="1" x14ac:dyDescent="0.15">
      <c r="A323" s="3"/>
      <c r="B323" s="3"/>
      <c r="C323" s="3"/>
      <c r="D323" s="3"/>
      <c r="E323" s="3"/>
      <c r="F323" s="3"/>
      <c r="G323" s="3"/>
      <c r="H323" s="3"/>
      <c r="I323" s="3"/>
    </row>
    <row r="324" spans="1:9" ht="25" customHeight="1" x14ac:dyDescent="0.15">
      <c r="A324" s="3"/>
      <c r="B324" s="3"/>
      <c r="C324" s="3"/>
      <c r="D324" s="3"/>
      <c r="E324" s="3"/>
      <c r="F324" s="3"/>
      <c r="G324" s="3"/>
      <c r="H324" s="3"/>
      <c r="I324" s="3"/>
    </row>
    <row r="325" spans="1:9" ht="25" customHeight="1" x14ac:dyDescent="0.15">
      <c r="A325" s="3"/>
      <c r="B325" s="3"/>
      <c r="C325" s="3"/>
      <c r="D325" s="3"/>
      <c r="E325" s="3"/>
      <c r="F325" s="3"/>
      <c r="G325" s="3"/>
      <c r="H325" s="3"/>
      <c r="I325" s="3"/>
    </row>
    <row r="326" spans="1:9" ht="25" customHeight="1" x14ac:dyDescent="0.15">
      <c r="A326" s="3"/>
      <c r="B326" s="3"/>
      <c r="C326" s="3"/>
      <c r="D326" s="3"/>
      <c r="E326" s="3"/>
      <c r="F326" s="3"/>
      <c r="G326" s="3"/>
      <c r="H326" s="3"/>
      <c r="I326" s="3"/>
    </row>
    <row r="327" spans="1:9" ht="25" customHeight="1" x14ac:dyDescent="0.15">
      <c r="A327" s="3"/>
      <c r="B327" s="3"/>
      <c r="C327" s="3"/>
      <c r="D327" s="3"/>
      <c r="E327" s="3"/>
      <c r="F327" s="3"/>
      <c r="G327" s="3"/>
      <c r="H327" s="3"/>
      <c r="I327" s="3"/>
    </row>
    <row r="328" spans="1:9" ht="25" customHeight="1" x14ac:dyDescent="0.15">
      <c r="A328" s="3"/>
      <c r="B328" s="3"/>
      <c r="C328" s="3"/>
      <c r="D328" s="3"/>
      <c r="E328" s="3"/>
      <c r="F328" s="3"/>
      <c r="G328" s="3"/>
      <c r="H328" s="3"/>
      <c r="I328" s="3"/>
    </row>
    <row r="329" spans="1:9" ht="25" customHeight="1" x14ac:dyDescent="0.15">
      <c r="A329" s="3"/>
      <c r="B329" s="3"/>
      <c r="C329" s="3"/>
      <c r="D329" s="3"/>
      <c r="E329" s="3"/>
      <c r="F329" s="3"/>
      <c r="G329" s="3"/>
      <c r="H329" s="3"/>
      <c r="I329" s="3"/>
    </row>
    <row r="330" spans="1:9" ht="25" customHeight="1" x14ac:dyDescent="0.15">
      <c r="A330" s="3"/>
      <c r="B330" s="3"/>
      <c r="C330" s="3"/>
      <c r="D330" s="3"/>
      <c r="E330" s="3"/>
      <c r="F330" s="3"/>
      <c r="G330" s="3"/>
      <c r="H330" s="3"/>
      <c r="I330" s="3"/>
    </row>
    <row r="331" spans="1:9" ht="25" customHeight="1" x14ac:dyDescent="0.15">
      <c r="A331" s="3"/>
      <c r="B331" s="3"/>
      <c r="C331" s="3"/>
      <c r="D331" s="3"/>
      <c r="E331" s="3"/>
      <c r="F331" s="3"/>
      <c r="G331" s="3"/>
      <c r="H331" s="3"/>
      <c r="I331" s="3"/>
    </row>
    <row r="332" spans="1:9" ht="25" customHeight="1" x14ac:dyDescent="0.15">
      <c r="A332" s="3"/>
      <c r="B332" s="3"/>
      <c r="C332" s="3"/>
      <c r="D332" s="3"/>
      <c r="E332" s="3"/>
      <c r="F332" s="3"/>
      <c r="G332" s="3"/>
      <c r="H332" s="3"/>
      <c r="I332" s="3"/>
    </row>
    <row r="333" spans="1:9" ht="25" customHeight="1" x14ac:dyDescent="0.15">
      <c r="A333" s="3"/>
      <c r="B333" s="3"/>
      <c r="C333" s="3"/>
      <c r="D333" s="3"/>
      <c r="E333" s="3"/>
      <c r="F333" s="3"/>
      <c r="G333" s="3"/>
      <c r="H333" s="3"/>
      <c r="I333" s="3"/>
    </row>
    <row r="334" spans="1:9" ht="25" customHeight="1" x14ac:dyDescent="0.15">
      <c r="A334" s="3"/>
      <c r="B334" s="3"/>
      <c r="C334" s="3"/>
      <c r="D334" s="3"/>
      <c r="E334" s="3"/>
      <c r="F334" s="3"/>
      <c r="G334" s="3"/>
      <c r="H334" s="3"/>
      <c r="I334" s="3"/>
    </row>
    <row r="335" spans="1:9" ht="25" customHeight="1" x14ac:dyDescent="0.15">
      <c r="A335" s="3"/>
      <c r="B335" s="3"/>
      <c r="C335" s="3"/>
      <c r="D335" s="3"/>
      <c r="E335" s="3"/>
      <c r="F335" s="3"/>
      <c r="G335" s="3"/>
      <c r="H335" s="3"/>
      <c r="I335" s="3"/>
    </row>
    <row r="336" spans="1:9" ht="25" customHeight="1" x14ac:dyDescent="0.15">
      <c r="A336" s="3"/>
      <c r="B336" s="3"/>
      <c r="C336" s="3"/>
      <c r="D336" s="3"/>
      <c r="E336" s="3"/>
      <c r="F336" s="3"/>
      <c r="G336" s="3"/>
      <c r="H336" s="3"/>
      <c r="I336" s="3"/>
    </row>
    <row r="337" spans="1:9" ht="25" customHeight="1" x14ac:dyDescent="0.15">
      <c r="A337" s="3"/>
      <c r="B337" s="3"/>
      <c r="C337" s="3"/>
      <c r="D337" s="3"/>
      <c r="E337" s="3"/>
      <c r="F337" s="3"/>
      <c r="G337" s="3"/>
      <c r="H337" s="3"/>
      <c r="I337" s="3"/>
    </row>
    <row r="338" spans="1:9" ht="25" customHeight="1" x14ac:dyDescent="0.15">
      <c r="A338" s="3"/>
      <c r="B338" s="3"/>
      <c r="C338" s="3"/>
      <c r="D338" s="3"/>
      <c r="E338" s="3"/>
      <c r="F338" s="3"/>
      <c r="G338" s="3"/>
      <c r="H338" s="3"/>
      <c r="I338" s="3"/>
    </row>
    <row r="339" spans="1:9" ht="25" customHeight="1" x14ac:dyDescent="0.15">
      <c r="A339" s="3"/>
      <c r="B339" s="3"/>
      <c r="C339" s="3"/>
      <c r="D339" s="3"/>
      <c r="E339" s="3"/>
      <c r="F339" s="3"/>
      <c r="G339" s="3"/>
      <c r="H339" s="3"/>
      <c r="I339" s="3"/>
    </row>
    <row r="340" spans="1:9" ht="25" customHeight="1" x14ac:dyDescent="0.15">
      <c r="A340" s="3"/>
      <c r="B340" s="3"/>
      <c r="C340" s="3"/>
      <c r="D340" s="3"/>
      <c r="E340" s="3"/>
      <c r="F340" s="3"/>
      <c r="G340" s="3"/>
      <c r="H340" s="3"/>
      <c r="I340" s="3"/>
    </row>
    <row r="341" spans="1:9" ht="25" customHeight="1" x14ac:dyDescent="0.15">
      <c r="A341" s="3"/>
      <c r="B341" s="3"/>
      <c r="C341" s="3"/>
      <c r="D341" s="3"/>
      <c r="E341" s="3"/>
      <c r="F341" s="3"/>
      <c r="G341" s="3"/>
      <c r="H341" s="3"/>
      <c r="I341" s="3"/>
    </row>
    <row r="342" spans="1:9" ht="25" customHeight="1" x14ac:dyDescent="0.15">
      <c r="A342" s="3"/>
      <c r="B342" s="3"/>
      <c r="C342" s="3"/>
      <c r="D342" s="3"/>
      <c r="E342" s="3"/>
      <c r="F342" s="3"/>
      <c r="G342" s="3"/>
      <c r="H342" s="3"/>
      <c r="I342" s="3"/>
    </row>
    <row r="343" spans="1:9" ht="25" customHeight="1" x14ac:dyDescent="0.15">
      <c r="A343" s="3"/>
      <c r="B343" s="3"/>
      <c r="C343" s="3"/>
      <c r="D343" s="3"/>
      <c r="E343" s="3"/>
      <c r="F343" s="3"/>
      <c r="G343" s="3"/>
      <c r="H343" s="3"/>
      <c r="I343" s="3"/>
    </row>
    <row r="344" spans="1:9" ht="25" customHeight="1" x14ac:dyDescent="0.15">
      <c r="A344" s="3"/>
      <c r="B344" s="3"/>
      <c r="C344" s="3"/>
      <c r="D344" s="3"/>
      <c r="E344" s="3"/>
      <c r="F344" s="3"/>
      <c r="G344" s="3"/>
      <c r="H344" s="3"/>
      <c r="I344" s="3"/>
    </row>
    <row r="345" spans="1:9" ht="25" customHeight="1" x14ac:dyDescent="0.15">
      <c r="A345" s="3"/>
      <c r="B345" s="3"/>
      <c r="C345" s="3"/>
      <c r="D345" s="3"/>
      <c r="E345" s="3"/>
      <c r="F345" s="3"/>
      <c r="G345" s="3"/>
      <c r="H345" s="3"/>
      <c r="I345" s="3"/>
    </row>
    <row r="346" spans="1:9" ht="25" customHeight="1" x14ac:dyDescent="0.15">
      <c r="A346" s="3"/>
      <c r="B346" s="3"/>
      <c r="C346" s="3"/>
      <c r="D346" s="3"/>
      <c r="E346" s="3"/>
      <c r="F346" s="3"/>
      <c r="G346" s="3"/>
      <c r="H346" s="3"/>
      <c r="I346" s="3"/>
    </row>
    <row r="347" spans="1:9" ht="25" customHeight="1" x14ac:dyDescent="0.15">
      <c r="A347" s="3"/>
      <c r="B347" s="3"/>
      <c r="C347" s="3"/>
      <c r="D347" s="3"/>
      <c r="E347" s="3"/>
      <c r="F347" s="3"/>
      <c r="G347" s="3"/>
      <c r="H347" s="3"/>
      <c r="I347" s="3"/>
    </row>
    <row r="348" spans="1:9" ht="25" customHeight="1" x14ac:dyDescent="0.15">
      <c r="A348" s="3"/>
      <c r="B348" s="3"/>
      <c r="C348" s="3"/>
      <c r="D348" s="3"/>
      <c r="E348" s="3"/>
      <c r="F348" s="3"/>
      <c r="G348" s="3"/>
      <c r="H348" s="3"/>
      <c r="I348" s="3"/>
    </row>
    <row r="349" spans="1:9" ht="25" customHeight="1" x14ac:dyDescent="0.15">
      <c r="A349" s="3"/>
      <c r="B349" s="3"/>
      <c r="C349" s="3"/>
      <c r="D349" s="3"/>
      <c r="E349" s="3"/>
      <c r="F349" s="3"/>
      <c r="G349" s="3"/>
      <c r="H349" s="3"/>
      <c r="I349" s="3"/>
    </row>
    <row r="350" spans="1:9" ht="25" customHeight="1" x14ac:dyDescent="0.15">
      <c r="A350" s="3"/>
      <c r="B350" s="3"/>
      <c r="C350" s="3"/>
      <c r="D350" s="3"/>
      <c r="E350" s="3"/>
      <c r="F350" s="3"/>
      <c r="G350" s="3"/>
      <c r="H350" s="3"/>
      <c r="I350" s="3"/>
    </row>
    <row r="351" spans="1:9" ht="25" customHeight="1" x14ac:dyDescent="0.15">
      <c r="A351" s="3"/>
      <c r="B351" s="3"/>
      <c r="C351" s="3"/>
      <c r="D351" s="3"/>
      <c r="E351" s="3"/>
      <c r="F351" s="3"/>
      <c r="G351" s="3"/>
      <c r="H351" s="3"/>
      <c r="I351" s="3"/>
    </row>
    <row r="352" spans="1:9" ht="25" customHeight="1" x14ac:dyDescent="0.15">
      <c r="A352" s="3"/>
      <c r="B352" s="3"/>
      <c r="C352" s="3"/>
      <c r="D352" s="3"/>
      <c r="E352" s="3"/>
      <c r="F352" s="3"/>
      <c r="G352" s="3"/>
      <c r="H352" s="3"/>
      <c r="I352" s="3"/>
    </row>
    <row r="353" spans="1:9" ht="25" customHeight="1" x14ac:dyDescent="0.15">
      <c r="A353" s="3"/>
      <c r="B353" s="3"/>
      <c r="C353" s="3"/>
      <c r="D353" s="3"/>
      <c r="E353" s="3"/>
      <c r="F353" s="3"/>
      <c r="G353" s="3"/>
      <c r="H353" s="3"/>
      <c r="I353" s="3"/>
    </row>
    <row r="354" spans="1:9" ht="25" customHeight="1" x14ac:dyDescent="0.15">
      <c r="A354" s="3"/>
      <c r="B354" s="3"/>
      <c r="C354" s="3"/>
      <c r="D354" s="3"/>
      <c r="E354" s="3"/>
      <c r="F354" s="3"/>
      <c r="G354" s="3"/>
      <c r="H354" s="3"/>
      <c r="I354" s="3"/>
    </row>
    <row r="355" spans="1:9" ht="25" customHeight="1" x14ac:dyDescent="0.15">
      <c r="A355" s="3"/>
      <c r="B355" s="3"/>
      <c r="C355" s="3"/>
      <c r="D355" s="3"/>
      <c r="E355" s="3"/>
      <c r="F355" s="3"/>
      <c r="G355" s="3"/>
      <c r="H355" s="3"/>
      <c r="I355" s="3"/>
    </row>
    <row r="356" spans="1:9" ht="25" customHeight="1" x14ac:dyDescent="0.15">
      <c r="A356" s="3"/>
      <c r="B356" s="3"/>
      <c r="C356" s="3"/>
      <c r="D356" s="3"/>
      <c r="E356" s="3"/>
      <c r="F356" s="3"/>
      <c r="G356" s="3"/>
      <c r="H356" s="3"/>
      <c r="I356" s="3"/>
    </row>
    <row r="357" spans="1:9" ht="25" customHeight="1" x14ac:dyDescent="0.15">
      <c r="A357" s="3"/>
      <c r="B357" s="3"/>
      <c r="C357" s="3"/>
      <c r="D357" s="3"/>
      <c r="E357" s="3"/>
      <c r="F357" s="3"/>
      <c r="G357" s="3"/>
      <c r="H357" s="3"/>
      <c r="I357" s="3"/>
    </row>
    <row r="358" spans="1:9" ht="25" customHeight="1" x14ac:dyDescent="0.15">
      <c r="A358" s="3"/>
      <c r="B358" s="3"/>
      <c r="C358" s="3"/>
      <c r="D358" s="3"/>
      <c r="E358" s="3"/>
      <c r="F358" s="3"/>
      <c r="G358" s="3"/>
      <c r="H358" s="3"/>
      <c r="I358" s="3"/>
    </row>
    <row r="359" spans="1:9" ht="25" customHeight="1" x14ac:dyDescent="0.15">
      <c r="A359" s="3"/>
      <c r="B359" s="3"/>
      <c r="C359" s="3"/>
      <c r="D359" s="3"/>
      <c r="E359" s="3"/>
      <c r="F359" s="3"/>
      <c r="G359" s="3"/>
      <c r="H359" s="3"/>
      <c r="I359" s="3"/>
    </row>
    <row r="360" spans="1:9" ht="25" customHeight="1" x14ac:dyDescent="0.15">
      <c r="A360" s="3"/>
      <c r="B360" s="3"/>
      <c r="C360" s="3"/>
      <c r="D360" s="3"/>
      <c r="E360" s="3"/>
      <c r="F360" s="3"/>
      <c r="G360" s="3"/>
      <c r="H360" s="3"/>
      <c r="I360" s="3"/>
    </row>
    <row r="361" spans="1:9" ht="25" customHeight="1" x14ac:dyDescent="0.15">
      <c r="A361" s="3"/>
      <c r="B361" s="3"/>
      <c r="C361" s="3"/>
      <c r="D361" s="3"/>
      <c r="E361" s="3"/>
      <c r="F361" s="3"/>
      <c r="G361" s="3"/>
      <c r="H361" s="3"/>
      <c r="I361" s="3"/>
    </row>
    <row r="362" spans="1:9" ht="25" customHeight="1" x14ac:dyDescent="0.15">
      <c r="A362" s="3"/>
      <c r="B362" s="3"/>
      <c r="C362" s="3"/>
      <c r="D362" s="3"/>
      <c r="E362" s="3"/>
      <c r="F362" s="3"/>
      <c r="G362" s="3"/>
      <c r="H362" s="3"/>
      <c r="I362" s="3"/>
    </row>
    <row r="363" spans="1:9" ht="25" customHeight="1" x14ac:dyDescent="0.15">
      <c r="A363" s="3"/>
      <c r="B363" s="3"/>
      <c r="C363" s="3"/>
      <c r="D363" s="3"/>
      <c r="E363" s="3"/>
      <c r="F363" s="3"/>
      <c r="G363" s="3"/>
      <c r="H363" s="3"/>
      <c r="I363" s="3"/>
    </row>
    <row r="364" spans="1:9" ht="25" customHeight="1" x14ac:dyDescent="0.15">
      <c r="A364" s="3"/>
      <c r="B364" s="3"/>
      <c r="C364" s="3"/>
      <c r="D364" s="3"/>
      <c r="E364" s="3"/>
      <c r="F364" s="3"/>
      <c r="G364" s="3"/>
      <c r="H364" s="3"/>
      <c r="I364" s="3"/>
    </row>
    <row r="365" spans="1:9" ht="25" customHeight="1" x14ac:dyDescent="0.15">
      <c r="A365" s="3"/>
      <c r="B365" s="3"/>
      <c r="C365" s="3"/>
      <c r="D365" s="3"/>
      <c r="E365" s="3"/>
      <c r="F365" s="3"/>
      <c r="G365" s="3"/>
      <c r="H365" s="3"/>
      <c r="I365" s="3"/>
    </row>
    <row r="366" spans="1:9" ht="25" customHeight="1" x14ac:dyDescent="0.15">
      <c r="A366" s="3"/>
      <c r="B366" s="3"/>
      <c r="C366" s="3"/>
      <c r="D366" s="3"/>
      <c r="E366" s="3"/>
      <c r="F366" s="3"/>
      <c r="G366" s="3"/>
      <c r="H366" s="3"/>
      <c r="I366" s="3"/>
    </row>
    <row r="367" spans="1:9" ht="25" customHeight="1" x14ac:dyDescent="0.15">
      <c r="A367" s="3"/>
      <c r="B367" s="3"/>
      <c r="C367" s="3"/>
      <c r="D367" s="3"/>
      <c r="E367" s="3"/>
      <c r="F367" s="3"/>
      <c r="G367" s="3"/>
      <c r="H367" s="3"/>
      <c r="I367" s="3"/>
    </row>
    <row r="368" spans="1:9" ht="25" customHeight="1" x14ac:dyDescent="0.15">
      <c r="A368" s="3"/>
      <c r="B368" s="3"/>
      <c r="C368" s="3"/>
      <c r="D368" s="3"/>
      <c r="E368" s="3"/>
      <c r="F368" s="3"/>
      <c r="G368" s="3"/>
      <c r="H368" s="3"/>
      <c r="I368" s="3"/>
    </row>
    <row r="369" spans="1:9" ht="25" customHeight="1" x14ac:dyDescent="0.15">
      <c r="A369" s="3"/>
      <c r="B369" s="3"/>
      <c r="C369" s="3"/>
      <c r="D369" s="3"/>
      <c r="E369" s="3"/>
      <c r="F369" s="3"/>
      <c r="G369" s="3"/>
      <c r="H369" s="3"/>
      <c r="I369" s="3"/>
    </row>
    <row r="370" spans="1:9" ht="25" customHeight="1" x14ac:dyDescent="0.15">
      <c r="A370" s="3"/>
      <c r="B370" s="3"/>
      <c r="C370" s="3"/>
      <c r="D370" s="3"/>
      <c r="E370" s="3"/>
      <c r="F370" s="3"/>
      <c r="G370" s="3"/>
      <c r="H370" s="3"/>
      <c r="I370" s="3"/>
    </row>
    <row r="371" spans="1:9" ht="25" customHeight="1" x14ac:dyDescent="0.15">
      <c r="A371" s="3"/>
      <c r="B371" s="3"/>
      <c r="C371" s="3"/>
      <c r="D371" s="3"/>
      <c r="E371" s="3"/>
      <c r="F371" s="3"/>
      <c r="G371" s="3"/>
      <c r="H371" s="3"/>
      <c r="I371" s="3"/>
    </row>
    <row r="372" spans="1:9" ht="25" customHeight="1" x14ac:dyDescent="0.15">
      <c r="A372" s="3"/>
      <c r="B372" s="3"/>
      <c r="C372" s="3"/>
      <c r="D372" s="3"/>
      <c r="E372" s="3"/>
      <c r="F372" s="3"/>
      <c r="G372" s="3"/>
      <c r="H372" s="3"/>
      <c r="I372" s="3"/>
    </row>
    <row r="373" spans="1:9" ht="25" customHeight="1" x14ac:dyDescent="0.15">
      <c r="A373" s="3"/>
      <c r="B373" s="3"/>
      <c r="C373" s="3"/>
      <c r="D373" s="3"/>
      <c r="E373" s="3"/>
      <c r="F373" s="3"/>
      <c r="G373" s="3"/>
      <c r="H373" s="3"/>
      <c r="I373" s="3"/>
    </row>
    <row r="374" spans="1:9" ht="25" customHeight="1" x14ac:dyDescent="0.15">
      <c r="A374" s="3"/>
      <c r="B374" s="3"/>
      <c r="C374" s="3"/>
      <c r="D374" s="3"/>
      <c r="E374" s="3"/>
      <c r="F374" s="3"/>
      <c r="G374" s="3"/>
      <c r="H374" s="3"/>
      <c r="I374" s="3"/>
    </row>
    <row r="375" spans="1:9" ht="25" customHeight="1" x14ac:dyDescent="0.15">
      <c r="A375" s="3"/>
      <c r="B375" s="3"/>
      <c r="C375" s="3"/>
      <c r="D375" s="3"/>
      <c r="E375" s="3"/>
      <c r="F375" s="3"/>
      <c r="G375" s="3"/>
      <c r="H375" s="3"/>
      <c r="I375" s="3"/>
    </row>
    <row r="376" spans="1:9" ht="25" customHeight="1" x14ac:dyDescent="0.15">
      <c r="A376" s="3"/>
      <c r="B376" s="3"/>
      <c r="C376" s="3"/>
      <c r="D376" s="3"/>
      <c r="E376" s="3"/>
      <c r="F376" s="3"/>
      <c r="G376" s="3"/>
      <c r="H376" s="3"/>
      <c r="I376" s="3"/>
    </row>
    <row r="377" spans="1:9" ht="25" customHeight="1" x14ac:dyDescent="0.15">
      <c r="A377" s="3"/>
      <c r="B377" s="3"/>
      <c r="C377" s="3"/>
      <c r="D377" s="3"/>
      <c r="E377" s="3"/>
      <c r="F377" s="3"/>
      <c r="G377" s="3"/>
      <c r="H377" s="3"/>
      <c r="I377" s="3"/>
    </row>
    <row r="378" spans="1:9" ht="25" customHeight="1" x14ac:dyDescent="0.15">
      <c r="A378" s="3"/>
      <c r="B378" s="3"/>
      <c r="C378" s="3"/>
      <c r="D378" s="3"/>
      <c r="E378" s="3"/>
      <c r="F378" s="3"/>
      <c r="G378" s="3"/>
      <c r="H378" s="3"/>
      <c r="I378" s="3"/>
    </row>
    <row r="379" spans="1:9" ht="25" customHeight="1" x14ac:dyDescent="0.15">
      <c r="A379" s="3"/>
      <c r="B379" s="3"/>
      <c r="C379" s="3"/>
      <c r="D379" s="3"/>
      <c r="E379" s="3"/>
      <c r="F379" s="3"/>
      <c r="G379" s="3"/>
      <c r="H379" s="3"/>
      <c r="I379" s="3"/>
    </row>
    <row r="380" spans="1:9" ht="25" customHeight="1" x14ac:dyDescent="0.15">
      <c r="A380" s="3"/>
      <c r="B380" s="3"/>
      <c r="C380" s="3"/>
      <c r="D380" s="3"/>
      <c r="E380" s="3"/>
      <c r="F380" s="3"/>
      <c r="G380" s="3"/>
      <c r="H380" s="3"/>
      <c r="I380" s="3"/>
    </row>
    <row r="381" spans="1:9" ht="25" customHeight="1" x14ac:dyDescent="0.15">
      <c r="A381" s="3"/>
      <c r="B381" s="3"/>
      <c r="C381" s="3"/>
      <c r="D381" s="3"/>
      <c r="E381" s="3"/>
      <c r="F381" s="3"/>
      <c r="G381" s="3"/>
      <c r="H381" s="3"/>
      <c r="I381" s="3"/>
    </row>
    <row r="382" spans="1:9" ht="25" customHeight="1" x14ac:dyDescent="0.15">
      <c r="A382" s="3"/>
      <c r="B382" s="3"/>
      <c r="C382" s="3"/>
      <c r="D382" s="3"/>
      <c r="E382" s="3"/>
      <c r="F382" s="3"/>
      <c r="G382" s="3"/>
      <c r="H382" s="3"/>
      <c r="I382" s="3"/>
    </row>
    <row r="383" spans="1:9" ht="25" customHeight="1" x14ac:dyDescent="0.15">
      <c r="A383" s="3"/>
      <c r="B383" s="3"/>
      <c r="C383" s="3"/>
      <c r="D383" s="3"/>
      <c r="E383" s="3"/>
      <c r="F383" s="3"/>
      <c r="G383" s="3"/>
      <c r="H383" s="3"/>
      <c r="I383" s="3"/>
    </row>
    <row r="384" spans="1:9" ht="25" customHeight="1" x14ac:dyDescent="0.15">
      <c r="A384" s="3"/>
      <c r="B384" s="3"/>
      <c r="C384" s="3"/>
      <c r="D384" s="3"/>
      <c r="E384" s="3"/>
      <c r="F384" s="3"/>
      <c r="G384" s="3"/>
      <c r="H384" s="3"/>
      <c r="I384" s="3"/>
    </row>
    <row r="385" spans="1:9" ht="25" customHeight="1" x14ac:dyDescent="0.15">
      <c r="A385" s="3"/>
      <c r="B385" s="3"/>
      <c r="C385" s="3"/>
      <c r="D385" s="3"/>
      <c r="E385" s="3"/>
      <c r="F385" s="3"/>
      <c r="G385" s="3"/>
      <c r="H385" s="3"/>
      <c r="I385" s="3"/>
    </row>
    <row r="386" spans="1:9" ht="25" customHeight="1" x14ac:dyDescent="0.15">
      <c r="A386" s="3"/>
      <c r="B386" s="3"/>
      <c r="C386" s="3"/>
      <c r="D386" s="3"/>
      <c r="E386" s="3"/>
      <c r="F386" s="3"/>
      <c r="G386" s="3"/>
      <c r="H386" s="3"/>
      <c r="I386" s="3"/>
    </row>
    <row r="387" spans="1:9" ht="25" customHeight="1" x14ac:dyDescent="0.15">
      <c r="A387" s="3"/>
      <c r="B387" s="3"/>
      <c r="C387" s="3"/>
      <c r="D387" s="3"/>
      <c r="E387" s="3"/>
      <c r="F387" s="3"/>
      <c r="G387" s="3"/>
      <c r="H387" s="3"/>
      <c r="I387" s="3"/>
    </row>
    <row r="388" spans="1:9" ht="25" customHeight="1" x14ac:dyDescent="0.15">
      <c r="A388" s="3"/>
      <c r="B388" s="3"/>
      <c r="C388" s="3"/>
      <c r="D388" s="3"/>
      <c r="E388" s="3"/>
      <c r="F388" s="3"/>
      <c r="G388" s="3"/>
      <c r="H388" s="3"/>
      <c r="I388" s="3"/>
    </row>
    <row r="389" spans="1:9" ht="25" customHeight="1" x14ac:dyDescent="0.15">
      <c r="A389" s="3"/>
      <c r="B389" s="3"/>
      <c r="C389" s="3"/>
      <c r="D389" s="3"/>
      <c r="E389" s="3"/>
      <c r="F389" s="3"/>
      <c r="G389" s="3"/>
      <c r="H389" s="3"/>
      <c r="I389" s="3"/>
    </row>
    <row r="390" spans="1:9" ht="25" customHeight="1" x14ac:dyDescent="0.15">
      <c r="A390" s="3"/>
      <c r="B390" s="3"/>
      <c r="C390" s="3"/>
      <c r="D390" s="3"/>
      <c r="E390" s="3"/>
      <c r="F390" s="3"/>
      <c r="G390" s="3"/>
      <c r="H390" s="3"/>
      <c r="I390" s="3"/>
    </row>
    <row r="391" spans="1:9" ht="25" customHeight="1" x14ac:dyDescent="0.15">
      <c r="A391" s="3"/>
      <c r="B391" s="3"/>
      <c r="C391" s="3"/>
      <c r="D391" s="3"/>
      <c r="E391" s="3"/>
      <c r="F391" s="3"/>
      <c r="G391" s="3"/>
      <c r="H391" s="3"/>
      <c r="I391" s="3"/>
    </row>
    <row r="392" spans="1:9" ht="25" customHeight="1" x14ac:dyDescent="0.15">
      <c r="A392" s="3"/>
      <c r="B392" s="3"/>
      <c r="C392" s="3"/>
      <c r="D392" s="3"/>
      <c r="E392" s="3"/>
      <c r="F392" s="3"/>
      <c r="G392" s="3"/>
      <c r="H392" s="3"/>
      <c r="I392" s="3"/>
    </row>
    <row r="393" spans="1:9" ht="25" customHeight="1" x14ac:dyDescent="0.15">
      <c r="A393" s="3"/>
      <c r="B393" s="3"/>
      <c r="C393" s="3"/>
      <c r="D393" s="3"/>
      <c r="E393" s="3"/>
      <c r="F393" s="3"/>
      <c r="G393" s="3"/>
      <c r="H393" s="3"/>
      <c r="I393" s="3"/>
    </row>
    <row r="394" spans="1:9" ht="25" customHeight="1" x14ac:dyDescent="0.15">
      <c r="A394" s="3"/>
      <c r="B394" s="3"/>
      <c r="C394" s="3"/>
      <c r="D394" s="3"/>
      <c r="E394" s="3"/>
      <c r="F394" s="3"/>
      <c r="G394" s="3"/>
      <c r="H394" s="3"/>
      <c r="I394" s="3"/>
    </row>
    <row r="395" spans="1:9" ht="25" customHeight="1" x14ac:dyDescent="0.15">
      <c r="A395" s="3"/>
      <c r="B395" s="3"/>
      <c r="C395" s="3"/>
      <c r="D395" s="3"/>
      <c r="E395" s="3"/>
      <c r="F395" s="3"/>
      <c r="G395" s="3"/>
      <c r="H395" s="3"/>
      <c r="I395" s="3"/>
    </row>
    <row r="396" spans="1:9" ht="25" customHeight="1" x14ac:dyDescent="0.15">
      <c r="A396" s="3"/>
      <c r="B396" s="3"/>
      <c r="C396" s="3"/>
      <c r="D396" s="3"/>
      <c r="E396" s="3"/>
      <c r="F396" s="3"/>
      <c r="G396" s="3"/>
      <c r="H396" s="3"/>
      <c r="I396" s="3"/>
    </row>
    <row r="397" spans="1:9" ht="25" customHeight="1" x14ac:dyDescent="0.15">
      <c r="A397" s="3"/>
      <c r="B397" s="3"/>
      <c r="C397" s="3"/>
      <c r="D397" s="3"/>
      <c r="E397" s="3"/>
      <c r="F397" s="3"/>
      <c r="G397" s="3"/>
      <c r="H397" s="3"/>
      <c r="I397" s="3"/>
    </row>
    <row r="398" spans="1:9" ht="25" customHeight="1" x14ac:dyDescent="0.15">
      <c r="A398" s="3"/>
      <c r="B398" s="3"/>
      <c r="C398" s="3"/>
      <c r="D398" s="3"/>
      <c r="E398" s="3"/>
      <c r="F398" s="3"/>
      <c r="G398" s="3"/>
      <c r="H398" s="3"/>
      <c r="I398" s="3"/>
    </row>
    <row r="399" spans="1:9" ht="25" customHeight="1" x14ac:dyDescent="0.15">
      <c r="A399" s="3"/>
      <c r="B399" s="3"/>
      <c r="C399" s="3"/>
      <c r="D399" s="3"/>
      <c r="E399" s="3"/>
      <c r="F399" s="3"/>
      <c r="G399" s="3"/>
      <c r="H399" s="3"/>
      <c r="I399" s="3"/>
    </row>
    <row r="400" spans="1:9" ht="25" customHeight="1" x14ac:dyDescent="0.15">
      <c r="A400" s="3"/>
      <c r="B400" s="3"/>
      <c r="C400" s="3"/>
      <c r="D400" s="3"/>
      <c r="E400" s="3"/>
      <c r="F400" s="3"/>
      <c r="G400" s="3"/>
      <c r="H400" s="3"/>
      <c r="I400" s="3"/>
    </row>
    <row r="401" spans="1:9" ht="25" customHeight="1" x14ac:dyDescent="0.15">
      <c r="A401" s="3"/>
      <c r="B401" s="3"/>
      <c r="C401" s="3"/>
      <c r="D401" s="3"/>
      <c r="E401" s="3"/>
      <c r="F401" s="3"/>
      <c r="G401" s="3"/>
      <c r="H401" s="3"/>
      <c r="I401" s="3"/>
    </row>
    <row r="402" spans="1:9" ht="25" customHeight="1" x14ac:dyDescent="0.15">
      <c r="A402" s="3"/>
      <c r="B402" s="3"/>
      <c r="C402" s="3"/>
      <c r="D402" s="3"/>
      <c r="E402" s="3"/>
      <c r="F402" s="3"/>
      <c r="G402" s="3"/>
      <c r="H402" s="3"/>
      <c r="I402" s="3"/>
    </row>
    <row r="403" spans="1:9" ht="25" customHeight="1" x14ac:dyDescent="0.15">
      <c r="A403" s="3"/>
      <c r="B403" s="3"/>
      <c r="C403" s="3"/>
      <c r="D403" s="3"/>
      <c r="E403" s="3"/>
      <c r="F403" s="3"/>
      <c r="G403" s="3"/>
      <c r="H403" s="3"/>
      <c r="I403" s="3"/>
    </row>
    <row r="404" spans="1:9" ht="25" customHeight="1" x14ac:dyDescent="0.15">
      <c r="A404" s="3"/>
      <c r="B404" s="3"/>
      <c r="C404" s="3"/>
      <c r="D404" s="3"/>
      <c r="E404" s="3"/>
      <c r="F404" s="3"/>
      <c r="G404" s="3"/>
      <c r="H404" s="3"/>
      <c r="I404" s="3"/>
    </row>
    <row r="405" spans="1:9" ht="25" customHeight="1" x14ac:dyDescent="0.15">
      <c r="A405" s="3"/>
      <c r="B405" s="3"/>
      <c r="C405" s="3"/>
      <c r="D405" s="3"/>
      <c r="E405" s="3"/>
      <c r="F405" s="3"/>
      <c r="G405" s="3"/>
      <c r="H405" s="3"/>
      <c r="I405" s="3"/>
    </row>
    <row r="406" spans="1:9" ht="25" customHeight="1" x14ac:dyDescent="0.15">
      <c r="A406" s="3"/>
      <c r="B406" s="3"/>
      <c r="C406" s="3"/>
      <c r="D406" s="3"/>
      <c r="E406" s="3"/>
      <c r="F406" s="3"/>
      <c r="G406" s="3"/>
      <c r="H406" s="3"/>
      <c r="I406" s="3"/>
    </row>
    <row r="407" spans="1:9" ht="25" customHeight="1" x14ac:dyDescent="0.15">
      <c r="A407" s="3"/>
      <c r="B407" s="3"/>
      <c r="C407" s="3"/>
      <c r="D407" s="3"/>
      <c r="E407" s="3"/>
      <c r="F407" s="3"/>
      <c r="G407" s="3"/>
      <c r="H407" s="3"/>
      <c r="I407" s="3"/>
    </row>
    <row r="408" spans="1:9" ht="25" customHeight="1" x14ac:dyDescent="0.15">
      <c r="A408" s="3"/>
      <c r="B408" s="3"/>
      <c r="C408" s="3"/>
      <c r="D408" s="3"/>
      <c r="E408" s="3"/>
      <c r="F408" s="3"/>
      <c r="G408" s="3"/>
      <c r="H408" s="3"/>
      <c r="I408" s="3"/>
    </row>
    <row r="409" spans="1:9" ht="25" customHeight="1" x14ac:dyDescent="0.15">
      <c r="A409" s="3"/>
      <c r="B409" s="3"/>
      <c r="C409" s="3"/>
      <c r="D409" s="3"/>
      <c r="E409" s="3"/>
      <c r="F409" s="3"/>
      <c r="G409" s="3"/>
      <c r="H409" s="3"/>
      <c r="I409" s="3"/>
    </row>
    <row r="410" spans="1:9" ht="25" customHeight="1" x14ac:dyDescent="0.15">
      <c r="A410" s="3"/>
      <c r="B410" s="3"/>
      <c r="C410" s="3"/>
      <c r="D410" s="3"/>
      <c r="E410" s="3"/>
      <c r="F410" s="3"/>
      <c r="G410" s="3"/>
      <c r="H410" s="3"/>
      <c r="I410" s="3"/>
    </row>
    <row r="411" spans="1:9" ht="25" customHeight="1" x14ac:dyDescent="0.15">
      <c r="A411" s="3"/>
      <c r="B411" s="3"/>
      <c r="C411" s="3"/>
      <c r="D411" s="3"/>
      <c r="E411" s="3"/>
      <c r="F411" s="3"/>
      <c r="G411" s="3"/>
      <c r="H411" s="3"/>
      <c r="I411" s="3"/>
    </row>
    <row r="412" spans="1:9" ht="25" customHeight="1" x14ac:dyDescent="0.15">
      <c r="A412" s="3"/>
      <c r="B412" s="3"/>
      <c r="C412" s="3"/>
      <c r="D412" s="3"/>
      <c r="E412" s="3"/>
      <c r="F412" s="3"/>
      <c r="G412" s="3"/>
      <c r="H412" s="3"/>
      <c r="I412" s="3"/>
    </row>
    <row r="413" spans="1:9" ht="25" customHeight="1" x14ac:dyDescent="0.15">
      <c r="A413" s="3"/>
      <c r="B413" s="3"/>
      <c r="C413" s="3"/>
      <c r="D413" s="3"/>
      <c r="E413" s="3"/>
      <c r="F413" s="3"/>
      <c r="G413" s="3"/>
      <c r="H413" s="3"/>
      <c r="I413" s="3"/>
    </row>
    <row r="414" spans="1:9" ht="25" customHeight="1" x14ac:dyDescent="0.15">
      <c r="A414" s="3"/>
      <c r="B414" s="3"/>
      <c r="C414" s="3"/>
      <c r="D414" s="3"/>
      <c r="E414" s="3"/>
      <c r="F414" s="3"/>
      <c r="G414" s="3"/>
      <c r="H414" s="3"/>
      <c r="I414" s="3"/>
    </row>
    <row r="415" spans="1:9" ht="25" customHeight="1" x14ac:dyDescent="0.15">
      <c r="A415" s="3"/>
      <c r="B415" s="3"/>
      <c r="C415" s="3"/>
      <c r="D415" s="3"/>
      <c r="E415" s="3"/>
      <c r="F415" s="3"/>
      <c r="G415" s="3"/>
      <c r="H415" s="3"/>
      <c r="I415" s="3"/>
    </row>
    <row r="416" spans="1:9" ht="25" customHeight="1" x14ac:dyDescent="0.15">
      <c r="A416" s="3"/>
      <c r="B416" s="3"/>
      <c r="C416" s="3"/>
      <c r="D416" s="3"/>
      <c r="E416" s="3"/>
      <c r="F416" s="3"/>
      <c r="G416" s="3"/>
      <c r="H416" s="3"/>
      <c r="I416" s="3"/>
    </row>
    <row r="417" spans="1:9" ht="25" customHeight="1" x14ac:dyDescent="0.15">
      <c r="A417" s="3"/>
      <c r="B417" s="3"/>
      <c r="C417" s="3"/>
      <c r="D417" s="3"/>
      <c r="E417" s="3"/>
      <c r="F417" s="3"/>
      <c r="G417" s="3"/>
      <c r="H417" s="3"/>
      <c r="I417" s="3"/>
    </row>
    <row r="418" spans="1:9" ht="25" customHeight="1" x14ac:dyDescent="0.15">
      <c r="A418" s="3"/>
      <c r="B418" s="3"/>
      <c r="C418" s="3"/>
      <c r="D418" s="3"/>
      <c r="E418" s="3"/>
      <c r="F418" s="3"/>
      <c r="G418" s="3"/>
      <c r="H418" s="3"/>
      <c r="I418" s="3"/>
    </row>
    <row r="419" spans="1:9" ht="25" customHeight="1" x14ac:dyDescent="0.15">
      <c r="A419" s="3"/>
      <c r="B419" s="3"/>
      <c r="C419" s="3"/>
      <c r="D419" s="3"/>
      <c r="E419" s="3"/>
      <c r="F419" s="3"/>
      <c r="G419" s="3"/>
      <c r="H419" s="3"/>
      <c r="I419" s="3"/>
    </row>
    <row r="420" spans="1:9" ht="25" customHeight="1" x14ac:dyDescent="0.15">
      <c r="A420" s="3"/>
      <c r="B420" s="3"/>
      <c r="C420" s="3"/>
      <c r="D420" s="3"/>
      <c r="E420" s="3"/>
      <c r="F420" s="3"/>
      <c r="G420" s="3"/>
      <c r="H420" s="3"/>
      <c r="I420" s="3"/>
    </row>
    <row r="421" spans="1:9" ht="25" customHeight="1" x14ac:dyDescent="0.15">
      <c r="A421" s="3"/>
      <c r="B421" s="3"/>
      <c r="C421" s="3"/>
      <c r="D421" s="3"/>
      <c r="E421" s="3"/>
      <c r="F421" s="3"/>
      <c r="G421" s="3"/>
      <c r="H421" s="3"/>
      <c r="I421" s="3"/>
    </row>
    <row r="422" spans="1:9" ht="25" customHeight="1" x14ac:dyDescent="0.15">
      <c r="A422" s="3"/>
      <c r="B422" s="3"/>
      <c r="C422" s="3"/>
      <c r="D422" s="3"/>
      <c r="E422" s="3"/>
      <c r="F422" s="3"/>
      <c r="G422" s="3"/>
      <c r="H422" s="3"/>
      <c r="I422" s="3"/>
    </row>
    <row r="423" spans="1:9" ht="25" customHeight="1" x14ac:dyDescent="0.15">
      <c r="A423" s="3"/>
      <c r="B423" s="3"/>
      <c r="C423" s="3"/>
      <c r="D423" s="3"/>
      <c r="E423" s="3"/>
      <c r="F423" s="3"/>
      <c r="G423" s="3"/>
      <c r="H423" s="3"/>
      <c r="I423" s="3"/>
    </row>
    <row r="424" spans="1:9" ht="25" customHeight="1" x14ac:dyDescent="0.15">
      <c r="A424" s="3"/>
      <c r="B424" s="3"/>
      <c r="C424" s="3"/>
      <c r="D424" s="3"/>
      <c r="E424" s="3"/>
      <c r="F424" s="3"/>
      <c r="G424" s="3"/>
      <c r="H424" s="3"/>
      <c r="I424" s="3"/>
    </row>
    <row r="425" spans="1:9" ht="25" customHeight="1" x14ac:dyDescent="0.15">
      <c r="A425" s="3"/>
      <c r="B425" s="3"/>
      <c r="C425" s="3"/>
      <c r="D425" s="3"/>
      <c r="E425" s="3"/>
      <c r="F425" s="3"/>
      <c r="G425" s="3"/>
      <c r="H425" s="3"/>
      <c r="I425" s="3"/>
    </row>
    <row r="426" spans="1:9" ht="25" customHeight="1" x14ac:dyDescent="0.15">
      <c r="A426" s="3"/>
      <c r="B426" s="3"/>
      <c r="C426" s="3"/>
      <c r="D426" s="3"/>
      <c r="E426" s="3"/>
      <c r="F426" s="3"/>
      <c r="G426" s="3"/>
      <c r="H426" s="3"/>
      <c r="I426" s="3"/>
    </row>
    <row r="427" spans="1:9" ht="25" customHeight="1" x14ac:dyDescent="0.15">
      <c r="A427" s="3"/>
      <c r="B427" s="3"/>
      <c r="C427" s="3"/>
      <c r="D427" s="3"/>
      <c r="E427" s="3"/>
      <c r="F427" s="3"/>
      <c r="G427" s="3"/>
      <c r="H427" s="3"/>
      <c r="I427" s="3"/>
    </row>
    <row r="428" spans="1:9" ht="25" customHeight="1" x14ac:dyDescent="0.15">
      <c r="A428" s="3"/>
      <c r="B428" s="3"/>
      <c r="C428" s="3"/>
      <c r="D428" s="3"/>
      <c r="E428" s="3"/>
      <c r="F428" s="3"/>
      <c r="G428" s="3"/>
      <c r="H428" s="3"/>
      <c r="I428" s="3"/>
    </row>
    <row r="429" spans="1:9" ht="25" customHeight="1" x14ac:dyDescent="0.15">
      <c r="A429" s="3"/>
      <c r="B429" s="3"/>
      <c r="C429" s="3"/>
      <c r="D429" s="3"/>
      <c r="E429" s="3"/>
      <c r="F429" s="3"/>
      <c r="G429" s="3"/>
      <c r="H429" s="3"/>
      <c r="I429" s="3"/>
    </row>
    <row r="430" spans="1:9" ht="25" customHeight="1" x14ac:dyDescent="0.15">
      <c r="A430" s="3"/>
      <c r="B430" s="3"/>
      <c r="C430" s="3"/>
      <c r="D430" s="3"/>
      <c r="E430" s="3"/>
      <c r="F430" s="3"/>
      <c r="G430" s="3"/>
      <c r="H430" s="3"/>
      <c r="I430" s="3"/>
    </row>
    <row r="431" spans="1:9" ht="25" customHeight="1" x14ac:dyDescent="0.15">
      <c r="A431" s="3"/>
      <c r="B431" s="3"/>
      <c r="C431" s="3"/>
      <c r="D431" s="3"/>
      <c r="E431" s="3"/>
      <c r="F431" s="3"/>
      <c r="G431" s="3"/>
      <c r="H431" s="3"/>
      <c r="I431" s="3"/>
    </row>
    <row r="432" spans="1:9" ht="25" customHeight="1" x14ac:dyDescent="0.15">
      <c r="A432" s="3"/>
      <c r="B432" s="3"/>
      <c r="C432" s="3"/>
      <c r="D432" s="3"/>
      <c r="E432" s="3"/>
      <c r="F432" s="3"/>
      <c r="G432" s="3"/>
      <c r="H432" s="3"/>
      <c r="I432" s="3"/>
    </row>
    <row r="433" spans="1:9" ht="25" customHeight="1" x14ac:dyDescent="0.15">
      <c r="A433" s="3"/>
      <c r="B433" s="3"/>
      <c r="C433" s="3"/>
      <c r="D433" s="3"/>
      <c r="E433" s="3"/>
      <c r="F433" s="3"/>
      <c r="G433" s="3"/>
      <c r="H433" s="3"/>
      <c r="I433" s="3"/>
    </row>
    <row r="434" spans="1:9" ht="25" customHeight="1" x14ac:dyDescent="0.15">
      <c r="A434" s="3"/>
      <c r="B434" s="3"/>
      <c r="C434" s="3"/>
      <c r="D434" s="3"/>
      <c r="E434" s="3"/>
      <c r="F434" s="3"/>
      <c r="G434" s="3"/>
      <c r="H434" s="3"/>
      <c r="I434" s="3"/>
    </row>
    <row r="435" spans="1:9" ht="25" customHeight="1" x14ac:dyDescent="0.15">
      <c r="A435" s="3"/>
      <c r="B435" s="3"/>
      <c r="C435" s="3"/>
      <c r="D435" s="3"/>
      <c r="E435" s="3"/>
      <c r="F435" s="3"/>
      <c r="G435" s="3"/>
      <c r="H435" s="3"/>
      <c r="I435" s="3"/>
    </row>
    <row r="436" spans="1:9" ht="25" customHeight="1" x14ac:dyDescent="0.15">
      <c r="A436" s="3"/>
      <c r="B436" s="3"/>
      <c r="C436" s="3"/>
      <c r="D436" s="3"/>
      <c r="E436" s="3"/>
      <c r="F436" s="3"/>
      <c r="G436" s="3"/>
      <c r="H436" s="3"/>
      <c r="I436" s="3"/>
    </row>
    <row r="437" spans="1:9" ht="25" customHeight="1" x14ac:dyDescent="0.15">
      <c r="A437" s="3"/>
      <c r="B437" s="3"/>
      <c r="C437" s="3"/>
      <c r="D437" s="3"/>
      <c r="E437" s="3"/>
      <c r="F437" s="3"/>
      <c r="G437" s="3"/>
      <c r="H437" s="3"/>
      <c r="I437" s="3"/>
    </row>
    <row r="438" spans="1:9" ht="25" customHeight="1" x14ac:dyDescent="0.15">
      <c r="A438" s="3"/>
      <c r="B438" s="3"/>
      <c r="C438" s="3"/>
      <c r="D438" s="3"/>
      <c r="E438" s="3"/>
      <c r="F438" s="3"/>
      <c r="G438" s="3"/>
      <c r="H438" s="3"/>
      <c r="I438" s="3"/>
    </row>
    <row r="439" spans="1:9" ht="25" customHeight="1" x14ac:dyDescent="0.15">
      <c r="A439" s="3"/>
      <c r="B439" s="3"/>
      <c r="C439" s="3"/>
      <c r="D439" s="3"/>
      <c r="E439" s="3"/>
      <c r="F439" s="3"/>
      <c r="G439" s="3"/>
      <c r="H439" s="3"/>
      <c r="I439" s="3"/>
    </row>
    <row r="440" spans="1:9" ht="25" customHeight="1" x14ac:dyDescent="0.15">
      <c r="A440" s="3"/>
      <c r="B440" s="3"/>
      <c r="C440" s="3"/>
      <c r="D440" s="3"/>
      <c r="E440" s="3"/>
      <c r="F440" s="3"/>
      <c r="G440" s="3"/>
      <c r="H440" s="3"/>
      <c r="I440" s="3"/>
    </row>
    <row r="441" spans="1:9" ht="25" customHeight="1" x14ac:dyDescent="0.15">
      <c r="A441" s="3"/>
      <c r="B441" s="3"/>
      <c r="C441" s="3"/>
      <c r="D441" s="3"/>
      <c r="E441" s="3"/>
      <c r="F441" s="3"/>
      <c r="G441" s="3"/>
      <c r="H441" s="3"/>
      <c r="I441" s="3"/>
    </row>
    <row r="442" spans="1:9" ht="25" customHeight="1" x14ac:dyDescent="0.15">
      <c r="A442" s="3"/>
      <c r="B442" s="3"/>
      <c r="C442" s="3"/>
      <c r="D442" s="3"/>
      <c r="E442" s="3"/>
      <c r="F442" s="3"/>
      <c r="G442" s="3"/>
      <c r="H442" s="3"/>
      <c r="I442" s="3"/>
    </row>
    <row r="443" spans="1:9" ht="25" customHeight="1" x14ac:dyDescent="0.15">
      <c r="A443" s="3"/>
      <c r="B443" s="3"/>
      <c r="C443" s="3"/>
      <c r="D443" s="3"/>
      <c r="E443" s="3"/>
      <c r="F443" s="3"/>
      <c r="G443" s="3"/>
      <c r="H443" s="3"/>
      <c r="I443" s="3"/>
    </row>
    <row r="444" spans="1:9" ht="25" customHeight="1" x14ac:dyDescent="0.15">
      <c r="A444" s="3"/>
      <c r="B444" s="3"/>
      <c r="C444" s="3"/>
      <c r="D444" s="3"/>
      <c r="E444" s="3"/>
      <c r="F444" s="3"/>
      <c r="G444" s="3"/>
      <c r="H444" s="3"/>
      <c r="I444" s="3"/>
    </row>
    <row r="445" spans="1:9" ht="25" customHeight="1" x14ac:dyDescent="0.15">
      <c r="A445" s="3"/>
      <c r="B445" s="3"/>
      <c r="C445" s="3"/>
      <c r="D445" s="3"/>
      <c r="E445" s="3"/>
      <c r="F445" s="3"/>
      <c r="G445" s="3"/>
      <c r="H445" s="3"/>
      <c r="I445" s="3"/>
    </row>
    <row r="446" spans="1:9" ht="25" customHeight="1" x14ac:dyDescent="0.15">
      <c r="A446" s="3"/>
      <c r="B446" s="3"/>
      <c r="C446" s="3"/>
      <c r="D446" s="3"/>
      <c r="E446" s="3"/>
      <c r="F446" s="3"/>
      <c r="G446" s="3"/>
      <c r="H446" s="3"/>
      <c r="I446" s="3"/>
    </row>
    <row r="447" spans="1:9" ht="25" customHeight="1" x14ac:dyDescent="0.15">
      <c r="A447" s="3"/>
      <c r="B447" s="3"/>
      <c r="C447" s="3"/>
      <c r="D447" s="3"/>
      <c r="E447" s="3"/>
      <c r="F447" s="3"/>
      <c r="G447" s="3"/>
      <c r="H447" s="3"/>
      <c r="I447" s="3"/>
    </row>
    <row r="448" spans="1:9" ht="25" customHeight="1" x14ac:dyDescent="0.15">
      <c r="A448" s="3"/>
      <c r="B448" s="3"/>
      <c r="C448" s="3"/>
      <c r="D448" s="3"/>
      <c r="E448" s="3"/>
      <c r="F448" s="3"/>
      <c r="G448" s="3"/>
      <c r="H448" s="3"/>
      <c r="I448" s="3"/>
    </row>
    <row r="449" spans="1:9" ht="25" customHeight="1" x14ac:dyDescent="0.15">
      <c r="A449" s="3"/>
      <c r="B449" s="3"/>
      <c r="C449" s="3"/>
      <c r="D449" s="3"/>
      <c r="E449" s="3"/>
      <c r="F449" s="3"/>
      <c r="G449" s="3"/>
      <c r="H449" s="3"/>
      <c r="I449" s="3"/>
    </row>
    <row r="450" spans="1:9" ht="25" customHeight="1" x14ac:dyDescent="0.15">
      <c r="A450" s="3"/>
      <c r="B450" s="3"/>
      <c r="C450" s="3"/>
      <c r="D450" s="3"/>
      <c r="E450" s="3"/>
      <c r="F450" s="3"/>
      <c r="G450" s="3"/>
      <c r="H450" s="3"/>
      <c r="I450" s="3"/>
    </row>
    <row r="451" spans="1:9" ht="25" customHeight="1" x14ac:dyDescent="0.15">
      <c r="A451" s="3"/>
      <c r="B451" s="3"/>
      <c r="C451" s="3"/>
      <c r="D451" s="3"/>
      <c r="E451" s="3"/>
      <c r="F451" s="3"/>
      <c r="G451" s="3"/>
      <c r="H451" s="3"/>
      <c r="I451" s="3"/>
    </row>
    <row r="452" spans="1:9" ht="25" customHeight="1" x14ac:dyDescent="0.15">
      <c r="A452" s="3"/>
      <c r="B452" s="3"/>
      <c r="C452" s="3"/>
      <c r="D452" s="3"/>
      <c r="E452" s="3"/>
      <c r="F452" s="3"/>
      <c r="G452" s="3"/>
      <c r="H452" s="3"/>
      <c r="I452" s="3"/>
    </row>
    <row r="453" spans="1:9" ht="25" customHeight="1" x14ac:dyDescent="0.15">
      <c r="A453" s="3"/>
      <c r="B453" s="3"/>
      <c r="C453" s="3"/>
      <c r="D453" s="3"/>
      <c r="E453" s="3"/>
      <c r="F453" s="3"/>
      <c r="G453" s="3"/>
      <c r="H453" s="3"/>
      <c r="I453" s="3"/>
    </row>
    <row r="454" spans="1:9" ht="25" customHeight="1" x14ac:dyDescent="0.15">
      <c r="A454" s="3"/>
      <c r="B454" s="3"/>
      <c r="C454" s="3"/>
      <c r="D454" s="3"/>
      <c r="E454" s="3"/>
      <c r="F454" s="3"/>
      <c r="G454" s="3"/>
      <c r="H454" s="3"/>
      <c r="I454" s="3"/>
    </row>
    <row r="455" spans="1:9" ht="25" customHeight="1" x14ac:dyDescent="0.15">
      <c r="A455" s="3"/>
      <c r="B455" s="3"/>
      <c r="C455" s="3"/>
      <c r="D455" s="3"/>
      <c r="E455" s="3"/>
      <c r="F455" s="3"/>
      <c r="G455" s="3"/>
      <c r="H455" s="3"/>
      <c r="I455" s="3"/>
    </row>
    <row r="456" spans="1:9" ht="25" customHeight="1" x14ac:dyDescent="0.15">
      <c r="A456" s="3"/>
      <c r="B456" s="3"/>
      <c r="C456" s="3"/>
      <c r="D456" s="3"/>
      <c r="E456" s="3"/>
      <c r="F456" s="3"/>
      <c r="G456" s="3"/>
      <c r="H456" s="3"/>
      <c r="I456" s="3"/>
    </row>
    <row r="457" spans="1:9" ht="25" customHeight="1" x14ac:dyDescent="0.15">
      <c r="A457" s="3"/>
      <c r="B457" s="3"/>
      <c r="C457" s="3"/>
      <c r="D457" s="3"/>
      <c r="E457" s="3"/>
      <c r="F457" s="3"/>
      <c r="G457" s="3"/>
      <c r="H457" s="3"/>
      <c r="I457" s="3"/>
    </row>
    <row r="458" spans="1:9" ht="25" customHeight="1" x14ac:dyDescent="0.15">
      <c r="A458" s="3"/>
      <c r="B458" s="3"/>
      <c r="C458" s="3"/>
      <c r="D458" s="3"/>
      <c r="E458" s="3"/>
      <c r="F458" s="3"/>
      <c r="G458" s="3"/>
      <c r="H458" s="3"/>
      <c r="I458" s="3"/>
    </row>
    <row r="459" spans="1:9" ht="25" customHeight="1" x14ac:dyDescent="0.15">
      <c r="A459" s="3"/>
      <c r="B459" s="3"/>
      <c r="C459" s="3"/>
      <c r="D459" s="3"/>
      <c r="E459" s="3"/>
      <c r="F459" s="3"/>
      <c r="G459" s="3"/>
      <c r="H459" s="3"/>
      <c r="I459" s="3"/>
    </row>
    <row r="460" spans="1:9" ht="25" customHeight="1" x14ac:dyDescent="0.15">
      <c r="A460" s="3"/>
      <c r="B460" s="3"/>
      <c r="C460" s="3"/>
      <c r="D460" s="3"/>
      <c r="E460" s="3"/>
      <c r="F460" s="3"/>
      <c r="G460" s="3"/>
      <c r="H460" s="3"/>
      <c r="I460" s="3"/>
    </row>
    <row r="461" spans="1:9" ht="25" customHeight="1" x14ac:dyDescent="0.15">
      <c r="A461" s="3"/>
      <c r="B461" s="3"/>
      <c r="C461" s="3"/>
      <c r="D461" s="3"/>
      <c r="E461" s="3"/>
      <c r="F461" s="3"/>
      <c r="G461" s="3"/>
      <c r="H461" s="3"/>
      <c r="I461" s="3"/>
    </row>
    <row r="462" spans="1:9" ht="25" customHeight="1" x14ac:dyDescent="0.15">
      <c r="A462" s="3"/>
      <c r="B462" s="3"/>
      <c r="C462" s="3"/>
      <c r="D462" s="3"/>
      <c r="E462" s="3"/>
      <c r="F462" s="3"/>
      <c r="G462" s="3"/>
      <c r="H462" s="3"/>
      <c r="I462" s="3"/>
    </row>
    <row r="463" spans="1:9" ht="25" customHeight="1" x14ac:dyDescent="0.15">
      <c r="A463" s="3"/>
      <c r="B463" s="3"/>
      <c r="C463" s="3"/>
      <c r="D463" s="3"/>
      <c r="E463" s="3"/>
      <c r="F463" s="3"/>
      <c r="G463" s="3"/>
      <c r="H463" s="3"/>
      <c r="I463" s="3"/>
    </row>
    <row r="464" spans="1:9" ht="25" customHeight="1" x14ac:dyDescent="0.15">
      <c r="A464" s="3"/>
      <c r="B464" s="3"/>
      <c r="C464" s="3"/>
      <c r="D464" s="3"/>
      <c r="E464" s="3"/>
      <c r="F464" s="3"/>
      <c r="G464" s="3"/>
      <c r="H464" s="3"/>
      <c r="I464" s="3"/>
    </row>
    <row r="465" spans="1:9" ht="25" customHeight="1" x14ac:dyDescent="0.15">
      <c r="A465" s="3"/>
      <c r="B465" s="3"/>
      <c r="C465" s="3"/>
      <c r="D465" s="3"/>
      <c r="E465" s="3"/>
      <c r="F465" s="3"/>
      <c r="G465" s="3"/>
      <c r="H465" s="3"/>
      <c r="I465" s="3"/>
    </row>
    <row r="466" spans="1:9" ht="25" customHeight="1" x14ac:dyDescent="0.15">
      <c r="A466" s="3"/>
      <c r="B466" s="3"/>
      <c r="C466" s="3"/>
      <c r="D466" s="3"/>
      <c r="E466" s="3"/>
      <c r="F466" s="3"/>
      <c r="G466" s="3"/>
      <c r="H466" s="3"/>
      <c r="I466" s="3"/>
    </row>
    <row r="467" spans="1:9" ht="25" customHeight="1" x14ac:dyDescent="0.15">
      <c r="A467" s="3"/>
      <c r="B467" s="3"/>
      <c r="C467" s="3"/>
      <c r="D467" s="3"/>
      <c r="E467" s="3"/>
      <c r="F467" s="3"/>
      <c r="G467" s="3"/>
      <c r="H467" s="3"/>
      <c r="I467" s="3"/>
    </row>
    <row r="468" spans="1:9" ht="25" customHeight="1" x14ac:dyDescent="0.15">
      <c r="A468" s="3"/>
      <c r="B468" s="3"/>
      <c r="C468" s="3"/>
      <c r="D468" s="3"/>
      <c r="E468" s="3"/>
      <c r="F468" s="3"/>
      <c r="G468" s="3"/>
      <c r="H468" s="3"/>
      <c r="I468" s="3"/>
    </row>
    <row r="469" spans="1:9" ht="25" customHeight="1" x14ac:dyDescent="0.15">
      <c r="A469" s="3"/>
      <c r="B469" s="3"/>
      <c r="C469" s="3"/>
      <c r="D469" s="3"/>
      <c r="E469" s="3"/>
      <c r="F469" s="3"/>
      <c r="G469" s="3"/>
      <c r="H469" s="3"/>
      <c r="I469" s="3"/>
    </row>
    <row r="470" spans="1:9" ht="25" customHeight="1" x14ac:dyDescent="0.15">
      <c r="A470" s="3"/>
      <c r="B470" s="3"/>
      <c r="C470" s="3"/>
      <c r="D470" s="3"/>
      <c r="E470" s="3"/>
      <c r="F470" s="3"/>
      <c r="G470" s="3"/>
      <c r="H470" s="3"/>
      <c r="I470" s="3"/>
    </row>
    <row r="471" spans="1:9" ht="25" customHeight="1" x14ac:dyDescent="0.15">
      <c r="A471" s="3"/>
      <c r="B471" s="3"/>
      <c r="C471" s="3"/>
      <c r="D471" s="3"/>
      <c r="E471" s="3"/>
      <c r="F471" s="3"/>
      <c r="G471" s="3"/>
      <c r="H471" s="3"/>
      <c r="I471" s="3"/>
    </row>
    <row r="472" spans="1:9" ht="25" customHeight="1" x14ac:dyDescent="0.15">
      <c r="A472" s="3"/>
      <c r="B472" s="3"/>
      <c r="C472" s="3"/>
      <c r="D472" s="3"/>
      <c r="E472" s="3"/>
      <c r="F472" s="3"/>
      <c r="G472" s="3"/>
      <c r="H472" s="3"/>
      <c r="I472" s="3"/>
    </row>
    <row r="473" spans="1:9" ht="25" customHeight="1" x14ac:dyDescent="0.15">
      <c r="A473" s="3"/>
      <c r="B473" s="3"/>
      <c r="C473" s="3"/>
      <c r="D473" s="3"/>
      <c r="E473" s="3"/>
      <c r="F473" s="3"/>
      <c r="G473" s="3"/>
      <c r="H473" s="3"/>
      <c r="I473" s="3"/>
    </row>
    <row r="474" spans="1:9" ht="25" customHeight="1" x14ac:dyDescent="0.15">
      <c r="A474" s="3"/>
      <c r="B474" s="3"/>
      <c r="C474" s="3"/>
      <c r="D474" s="3"/>
      <c r="E474" s="3"/>
      <c r="F474" s="3"/>
      <c r="G474" s="3"/>
      <c r="H474" s="3"/>
      <c r="I474" s="3"/>
    </row>
    <row r="475" spans="1:9" ht="25" customHeight="1" x14ac:dyDescent="0.15">
      <c r="A475" s="3"/>
      <c r="B475" s="3"/>
      <c r="C475" s="3"/>
      <c r="D475" s="3"/>
      <c r="E475" s="3"/>
      <c r="F475" s="3"/>
      <c r="G475" s="3"/>
      <c r="H475" s="3"/>
      <c r="I475" s="3"/>
    </row>
    <row r="476" spans="1:9" ht="25" customHeight="1" x14ac:dyDescent="0.15">
      <c r="A476" s="3"/>
      <c r="B476" s="3"/>
      <c r="C476" s="3"/>
      <c r="D476" s="3"/>
      <c r="E476" s="3"/>
      <c r="F476" s="3"/>
      <c r="G476" s="3"/>
      <c r="H476" s="3"/>
      <c r="I476" s="3"/>
    </row>
    <row r="477" spans="1:9" ht="25" customHeight="1" x14ac:dyDescent="0.15">
      <c r="A477" s="3"/>
      <c r="B477" s="3"/>
      <c r="C477" s="3"/>
      <c r="D477" s="3"/>
      <c r="E477" s="3"/>
      <c r="F477" s="3"/>
      <c r="G477" s="3"/>
      <c r="H477" s="3"/>
      <c r="I477" s="3"/>
    </row>
    <row r="478" spans="1:9" ht="25" customHeight="1" x14ac:dyDescent="0.15">
      <c r="A478" s="3"/>
      <c r="B478" s="3"/>
      <c r="C478" s="3"/>
      <c r="D478" s="3"/>
      <c r="E478" s="3"/>
      <c r="F478" s="3"/>
      <c r="G478" s="3"/>
      <c r="H478" s="3"/>
      <c r="I478" s="3"/>
    </row>
    <row r="479" spans="1:9" ht="25" customHeight="1" x14ac:dyDescent="0.15">
      <c r="A479" s="3"/>
      <c r="B479" s="3"/>
      <c r="C479" s="3"/>
      <c r="D479" s="3"/>
      <c r="E479" s="3"/>
      <c r="F479" s="3"/>
      <c r="G479" s="3"/>
      <c r="H479" s="3"/>
      <c r="I479" s="3"/>
    </row>
    <row r="480" spans="1:9" ht="25" customHeight="1" x14ac:dyDescent="0.15">
      <c r="A480" s="3"/>
      <c r="B480" s="3"/>
      <c r="C480" s="3"/>
      <c r="D480" s="3"/>
      <c r="E480" s="3"/>
      <c r="F480" s="3"/>
      <c r="G480" s="3"/>
      <c r="H480" s="3"/>
      <c r="I480" s="3"/>
    </row>
    <row r="481" spans="1:9" ht="25" customHeight="1" x14ac:dyDescent="0.15">
      <c r="A481" s="3"/>
      <c r="B481" s="3"/>
      <c r="C481" s="3"/>
      <c r="D481" s="3"/>
      <c r="E481" s="3"/>
      <c r="F481" s="3"/>
      <c r="G481" s="3"/>
      <c r="H481" s="3"/>
      <c r="I481" s="3"/>
    </row>
    <row r="482" spans="1:9" ht="25" customHeight="1" x14ac:dyDescent="0.15">
      <c r="A482" s="3"/>
      <c r="B482" s="3"/>
      <c r="C482" s="3"/>
      <c r="D482" s="3"/>
      <c r="E482" s="3"/>
      <c r="F482" s="3"/>
      <c r="G482" s="3"/>
      <c r="H482" s="3"/>
      <c r="I482" s="3"/>
    </row>
    <row r="483" spans="1:9" ht="25" customHeight="1" x14ac:dyDescent="0.15">
      <c r="A483" s="3"/>
      <c r="B483" s="3"/>
      <c r="C483" s="3"/>
      <c r="D483" s="3"/>
      <c r="E483" s="3"/>
      <c r="F483" s="3"/>
      <c r="G483" s="3"/>
      <c r="H483" s="3"/>
      <c r="I483" s="3"/>
    </row>
    <row r="484" spans="1:9" ht="25" customHeight="1" x14ac:dyDescent="0.15">
      <c r="A484" s="3"/>
      <c r="B484" s="3"/>
      <c r="C484" s="3"/>
      <c r="D484" s="3"/>
      <c r="E484" s="3"/>
      <c r="F484" s="3"/>
      <c r="G484" s="3"/>
      <c r="H484" s="3"/>
      <c r="I484" s="3"/>
    </row>
    <row r="485" spans="1:9" ht="25" customHeight="1" x14ac:dyDescent="0.15">
      <c r="A485" s="3"/>
      <c r="B485" s="3"/>
      <c r="C485" s="3"/>
      <c r="D485" s="3"/>
      <c r="E485" s="3"/>
      <c r="F485" s="3"/>
      <c r="G485" s="3"/>
      <c r="H485" s="3"/>
      <c r="I485" s="3"/>
    </row>
    <row r="486" spans="1:9" ht="25" customHeight="1" x14ac:dyDescent="0.15">
      <c r="A486" s="3"/>
      <c r="B486" s="3"/>
      <c r="C486" s="3"/>
      <c r="D486" s="3"/>
      <c r="E486" s="3"/>
      <c r="F486" s="3"/>
      <c r="G486" s="3"/>
      <c r="H486" s="3"/>
      <c r="I486" s="3"/>
    </row>
    <row r="487" spans="1:9" ht="25" customHeight="1" x14ac:dyDescent="0.15">
      <c r="A487" s="3"/>
      <c r="B487" s="3"/>
      <c r="C487" s="3"/>
      <c r="D487" s="3"/>
      <c r="E487" s="3"/>
      <c r="F487" s="3"/>
      <c r="G487" s="3"/>
      <c r="H487" s="3"/>
      <c r="I487" s="3"/>
    </row>
    <row r="488" spans="1:9" ht="25" customHeight="1" x14ac:dyDescent="0.15">
      <c r="A488" s="3"/>
      <c r="B488" s="3"/>
      <c r="C488" s="3"/>
      <c r="D488" s="3"/>
      <c r="E488" s="3"/>
      <c r="F488" s="3"/>
      <c r="G488" s="3"/>
      <c r="H488" s="3"/>
      <c r="I488" s="3"/>
    </row>
    <row r="489" spans="1:9" ht="25" customHeight="1" x14ac:dyDescent="0.15">
      <c r="A489" s="3"/>
      <c r="B489" s="3"/>
      <c r="C489" s="3"/>
      <c r="D489" s="3"/>
      <c r="E489" s="3"/>
      <c r="F489" s="3"/>
      <c r="G489" s="3"/>
      <c r="H489" s="3"/>
      <c r="I489" s="3"/>
    </row>
    <row r="490" spans="1:9" ht="25" customHeight="1" x14ac:dyDescent="0.15">
      <c r="A490" s="3"/>
      <c r="B490" s="3"/>
      <c r="C490" s="3"/>
      <c r="D490" s="3"/>
      <c r="E490" s="3"/>
      <c r="F490" s="3"/>
      <c r="G490" s="3"/>
      <c r="H490" s="3"/>
      <c r="I490" s="3"/>
    </row>
    <row r="491" spans="1:9" ht="25" customHeight="1" x14ac:dyDescent="0.15">
      <c r="A491" s="3"/>
      <c r="B491" s="3"/>
      <c r="C491" s="3"/>
      <c r="D491" s="3"/>
      <c r="E491" s="3"/>
      <c r="F491" s="3"/>
      <c r="G491" s="3"/>
      <c r="H491" s="3"/>
      <c r="I491" s="3"/>
    </row>
    <row r="492" spans="1:9" ht="25" customHeight="1" x14ac:dyDescent="0.15">
      <c r="A492" s="3"/>
      <c r="B492" s="3"/>
      <c r="C492" s="3"/>
      <c r="D492" s="3"/>
      <c r="E492" s="3"/>
      <c r="F492" s="3"/>
      <c r="G492" s="3"/>
      <c r="H492" s="3"/>
      <c r="I492" s="3"/>
    </row>
    <row r="493" spans="1:9" ht="25" customHeight="1" x14ac:dyDescent="0.15">
      <c r="A493" s="3"/>
      <c r="B493" s="3"/>
      <c r="C493" s="3"/>
      <c r="D493" s="3"/>
      <c r="E493" s="3"/>
      <c r="F493" s="3"/>
      <c r="G493" s="3"/>
      <c r="H493" s="3"/>
      <c r="I493" s="3"/>
    </row>
    <row r="494" spans="1:9" ht="25" customHeight="1" x14ac:dyDescent="0.15">
      <c r="A494" s="3"/>
      <c r="B494" s="3"/>
      <c r="C494" s="3"/>
      <c r="D494" s="3"/>
      <c r="E494" s="3"/>
      <c r="F494" s="3"/>
      <c r="G494" s="3"/>
      <c r="H494" s="3"/>
      <c r="I494" s="3"/>
    </row>
    <row r="495" spans="1:9" ht="25" customHeight="1" x14ac:dyDescent="0.15">
      <c r="A495" s="3"/>
      <c r="B495" s="3"/>
      <c r="C495" s="3"/>
      <c r="D495" s="3"/>
      <c r="E495" s="3"/>
      <c r="F495" s="3"/>
      <c r="G495" s="3"/>
      <c r="H495" s="3"/>
      <c r="I495" s="3"/>
    </row>
    <row r="496" spans="1:9" ht="25" customHeight="1" x14ac:dyDescent="0.15">
      <c r="A496" s="3"/>
      <c r="B496" s="3"/>
      <c r="C496" s="3"/>
      <c r="D496" s="3"/>
      <c r="E496" s="3"/>
      <c r="F496" s="3"/>
      <c r="G496" s="3"/>
      <c r="H496" s="3"/>
      <c r="I496" s="3"/>
    </row>
    <row r="497" spans="1:9" ht="25" customHeight="1" x14ac:dyDescent="0.15">
      <c r="A497" s="3"/>
      <c r="B497" s="3"/>
      <c r="C497" s="3"/>
      <c r="D497" s="3"/>
      <c r="E497" s="3"/>
      <c r="F497" s="3"/>
      <c r="G497" s="3"/>
      <c r="H497" s="3"/>
      <c r="I497" s="3"/>
    </row>
    <row r="498" spans="1:9" ht="25" customHeight="1" x14ac:dyDescent="0.15">
      <c r="A498" s="3"/>
      <c r="B498" s="3"/>
      <c r="C498" s="3"/>
      <c r="D498" s="3"/>
      <c r="E498" s="3"/>
      <c r="F498" s="3"/>
      <c r="G498" s="3"/>
      <c r="H498" s="3"/>
      <c r="I498" s="3"/>
    </row>
    <row r="499" spans="1:9" ht="25" customHeight="1" x14ac:dyDescent="0.15">
      <c r="A499" s="3"/>
      <c r="B499" s="3"/>
      <c r="C499" s="3"/>
      <c r="D499" s="3"/>
      <c r="E499" s="3"/>
      <c r="F499" s="3"/>
      <c r="G499" s="3"/>
      <c r="H499" s="3"/>
      <c r="I499" s="3"/>
    </row>
    <row r="500" spans="1:9" ht="25" customHeight="1" x14ac:dyDescent="0.15">
      <c r="A500" s="3"/>
      <c r="B500" s="3"/>
      <c r="C500" s="3"/>
      <c r="D500" s="3"/>
      <c r="E500" s="3"/>
      <c r="F500" s="3"/>
      <c r="G500" s="3"/>
      <c r="H500" s="3"/>
      <c r="I500" s="3"/>
    </row>
    <row r="501" spans="1:9" ht="25" customHeight="1" x14ac:dyDescent="0.15">
      <c r="A501" s="3"/>
      <c r="B501" s="3"/>
      <c r="C501" s="3"/>
      <c r="D501" s="3"/>
      <c r="E501" s="3"/>
      <c r="F501" s="3"/>
      <c r="G501" s="3"/>
      <c r="H501" s="3"/>
      <c r="I501" s="3"/>
    </row>
    <row r="502" spans="1:9" ht="25" customHeight="1" x14ac:dyDescent="0.15">
      <c r="A502" s="3"/>
      <c r="B502" s="3"/>
      <c r="C502" s="3"/>
      <c r="D502" s="3"/>
      <c r="E502" s="3"/>
      <c r="F502" s="3"/>
      <c r="G502" s="3"/>
      <c r="H502" s="3"/>
      <c r="I502" s="3"/>
    </row>
    <row r="503" spans="1:9" ht="25" customHeight="1" x14ac:dyDescent="0.15">
      <c r="A503" s="3"/>
      <c r="B503" s="3"/>
      <c r="C503" s="3"/>
      <c r="D503" s="3"/>
      <c r="E503" s="3"/>
      <c r="F503" s="3"/>
      <c r="G503" s="3"/>
      <c r="H503" s="3"/>
      <c r="I503" s="3"/>
    </row>
    <row r="504" spans="1:9" ht="25" customHeight="1" x14ac:dyDescent="0.15">
      <c r="A504" s="3"/>
      <c r="B504" s="3"/>
      <c r="C504" s="3"/>
      <c r="D504" s="3"/>
      <c r="E504" s="3"/>
      <c r="F504" s="3"/>
      <c r="G504" s="3"/>
      <c r="H504" s="3"/>
      <c r="I504" s="3"/>
    </row>
    <row r="505" spans="1:9" ht="25" customHeight="1" x14ac:dyDescent="0.15">
      <c r="A505" s="3"/>
      <c r="B505" s="3"/>
      <c r="C505" s="3"/>
      <c r="D505" s="3"/>
      <c r="E505" s="3"/>
      <c r="F505" s="3"/>
      <c r="G505" s="3"/>
      <c r="H505" s="3"/>
      <c r="I505" s="3"/>
    </row>
    <row r="506" spans="1:9" ht="25" customHeight="1" x14ac:dyDescent="0.15">
      <c r="A506" s="3"/>
      <c r="B506" s="3"/>
      <c r="C506" s="3"/>
      <c r="D506" s="3"/>
      <c r="E506" s="3"/>
      <c r="F506" s="3"/>
      <c r="G506" s="3"/>
      <c r="H506" s="3"/>
      <c r="I506" s="3"/>
    </row>
    <row r="507" spans="1:9" ht="25" customHeight="1" x14ac:dyDescent="0.15">
      <c r="A507" s="3"/>
      <c r="B507" s="3"/>
      <c r="C507" s="3"/>
      <c r="D507" s="3"/>
      <c r="E507" s="3"/>
      <c r="F507" s="3"/>
      <c r="G507" s="3"/>
      <c r="H507" s="3"/>
      <c r="I507" s="3"/>
    </row>
    <row r="508" spans="1:9" ht="25" customHeight="1" x14ac:dyDescent="0.15">
      <c r="A508" s="3"/>
      <c r="B508" s="3"/>
      <c r="C508" s="3"/>
      <c r="D508" s="3"/>
      <c r="E508" s="3"/>
      <c r="F508" s="3"/>
      <c r="G508" s="3"/>
      <c r="H508" s="3"/>
      <c r="I508" s="3"/>
    </row>
    <row r="509" spans="1:9" ht="25" customHeight="1" x14ac:dyDescent="0.15">
      <c r="A509" s="3"/>
      <c r="B509" s="3"/>
      <c r="C509" s="3"/>
      <c r="D509" s="3"/>
      <c r="E509" s="3"/>
      <c r="F509" s="3"/>
      <c r="G509" s="3"/>
      <c r="H509" s="3"/>
      <c r="I509" s="3"/>
    </row>
    <row r="510" spans="1:9" ht="25" customHeight="1" x14ac:dyDescent="0.15">
      <c r="A510" s="3"/>
      <c r="B510" s="3"/>
      <c r="C510" s="3"/>
      <c r="D510" s="3"/>
      <c r="E510" s="3"/>
      <c r="F510" s="3"/>
      <c r="G510" s="3"/>
      <c r="H510" s="3"/>
      <c r="I510" s="3"/>
    </row>
    <row r="511" spans="1:9" ht="25" customHeight="1" x14ac:dyDescent="0.15">
      <c r="A511" s="3"/>
      <c r="B511" s="3"/>
      <c r="C511" s="3"/>
      <c r="D511" s="3"/>
      <c r="E511" s="3"/>
      <c r="F511" s="3"/>
      <c r="G511" s="3"/>
      <c r="H511" s="3"/>
      <c r="I511" s="3"/>
    </row>
    <row r="512" spans="1:9" ht="25" customHeight="1" x14ac:dyDescent="0.15">
      <c r="A512" s="3"/>
      <c r="B512" s="3"/>
      <c r="C512" s="3"/>
      <c r="D512" s="3"/>
      <c r="E512" s="3"/>
      <c r="F512" s="3"/>
      <c r="G512" s="3"/>
      <c r="H512" s="3"/>
      <c r="I512" s="3"/>
    </row>
    <row r="513" spans="1:9" ht="25" customHeight="1" x14ac:dyDescent="0.15">
      <c r="A513" s="3"/>
      <c r="B513" s="3"/>
      <c r="C513" s="3"/>
      <c r="D513" s="3"/>
      <c r="E513" s="3"/>
      <c r="F513" s="3"/>
      <c r="G513" s="3"/>
      <c r="H513" s="3"/>
      <c r="I513" s="3"/>
    </row>
    <row r="514" spans="1:9" ht="25" customHeight="1" x14ac:dyDescent="0.15">
      <c r="A514" s="3"/>
      <c r="B514" s="3"/>
      <c r="C514" s="3"/>
      <c r="D514" s="3"/>
      <c r="E514" s="3"/>
      <c r="F514" s="3"/>
      <c r="G514" s="3"/>
      <c r="H514" s="3"/>
      <c r="I514" s="3"/>
    </row>
    <row r="515" spans="1:9" ht="25" customHeight="1" x14ac:dyDescent="0.15">
      <c r="A515" s="3"/>
      <c r="B515" s="3"/>
      <c r="C515" s="3"/>
      <c r="D515" s="3"/>
      <c r="E515" s="3"/>
      <c r="F515" s="3"/>
      <c r="G515" s="3"/>
      <c r="H515" s="3"/>
      <c r="I515" s="3"/>
    </row>
    <row r="516" spans="1:9" ht="25" customHeight="1" x14ac:dyDescent="0.15">
      <c r="A516" s="3"/>
      <c r="B516" s="3"/>
      <c r="C516" s="3"/>
      <c r="D516" s="3"/>
      <c r="E516" s="3"/>
      <c r="F516" s="3"/>
      <c r="G516" s="3"/>
      <c r="H516" s="3"/>
      <c r="I516" s="3"/>
    </row>
    <row r="517" spans="1:9" ht="25" customHeight="1" x14ac:dyDescent="0.15">
      <c r="A517" s="3"/>
      <c r="B517" s="3"/>
      <c r="C517" s="3"/>
      <c r="D517" s="3"/>
      <c r="E517" s="3"/>
      <c r="F517" s="3"/>
      <c r="G517" s="3"/>
      <c r="H517" s="3"/>
      <c r="I517" s="3"/>
    </row>
    <row r="518" spans="1:9" ht="25" customHeight="1" x14ac:dyDescent="0.15">
      <c r="A518" s="3"/>
      <c r="B518" s="3"/>
      <c r="C518" s="3"/>
      <c r="D518" s="3"/>
      <c r="E518" s="3"/>
      <c r="F518" s="3"/>
      <c r="G518" s="3"/>
      <c r="H518" s="3"/>
      <c r="I518" s="3"/>
    </row>
    <row r="519" spans="1:9" ht="25" customHeight="1" x14ac:dyDescent="0.15">
      <c r="A519" s="3"/>
      <c r="B519" s="3"/>
      <c r="C519" s="3"/>
      <c r="D519" s="3"/>
      <c r="E519" s="3"/>
      <c r="F519" s="3"/>
      <c r="G519" s="3"/>
      <c r="H519" s="3"/>
      <c r="I519" s="3"/>
    </row>
    <row r="520" spans="1:9" ht="25" customHeight="1" x14ac:dyDescent="0.15">
      <c r="A520" s="3"/>
      <c r="B520" s="3"/>
      <c r="C520" s="3"/>
      <c r="D520" s="3"/>
      <c r="E520" s="3"/>
      <c r="F520" s="3"/>
      <c r="G520" s="3"/>
      <c r="H520" s="3"/>
      <c r="I520" s="3"/>
    </row>
    <row r="521" spans="1:9" ht="25" customHeight="1" x14ac:dyDescent="0.15">
      <c r="A521" s="3"/>
      <c r="B521" s="3"/>
      <c r="C521" s="3"/>
      <c r="D521" s="3"/>
      <c r="E521" s="3"/>
      <c r="F521" s="3"/>
      <c r="G521" s="3"/>
      <c r="H521" s="3"/>
      <c r="I521" s="3"/>
    </row>
    <row r="522" spans="1:9" ht="25" customHeight="1" x14ac:dyDescent="0.15">
      <c r="A522" s="3"/>
      <c r="B522" s="3"/>
      <c r="C522" s="3"/>
      <c r="D522" s="3"/>
      <c r="E522" s="3"/>
      <c r="F522" s="3"/>
      <c r="G522" s="3"/>
      <c r="H522" s="3"/>
      <c r="I522" s="3"/>
    </row>
    <row r="523" spans="1:9" ht="25" customHeight="1" x14ac:dyDescent="0.15">
      <c r="A523" s="3"/>
      <c r="B523" s="3"/>
      <c r="C523" s="3"/>
      <c r="D523" s="3"/>
      <c r="E523" s="3"/>
      <c r="F523" s="3"/>
      <c r="G523" s="3"/>
      <c r="H523" s="3"/>
      <c r="I523" s="3"/>
    </row>
    <row r="524" spans="1:9" ht="25" customHeight="1" x14ac:dyDescent="0.15">
      <c r="A524" s="3"/>
      <c r="B524" s="3"/>
      <c r="C524" s="3"/>
      <c r="D524" s="3"/>
      <c r="E524" s="3"/>
      <c r="F524" s="3"/>
      <c r="G524" s="3"/>
      <c r="H524" s="3"/>
      <c r="I524" s="3"/>
    </row>
    <row r="525" spans="1:9" ht="25" customHeight="1" x14ac:dyDescent="0.15">
      <c r="A525" s="3"/>
      <c r="B525" s="3"/>
      <c r="C525" s="3"/>
      <c r="D525" s="3"/>
      <c r="E525" s="3"/>
      <c r="F525" s="3"/>
      <c r="G525" s="3"/>
      <c r="H525" s="3"/>
      <c r="I525" s="3"/>
    </row>
    <row r="526" spans="1:9" ht="25" customHeight="1" x14ac:dyDescent="0.15">
      <c r="A526" s="3"/>
      <c r="B526" s="3"/>
      <c r="C526" s="3"/>
      <c r="D526" s="3"/>
      <c r="E526" s="3"/>
      <c r="F526" s="3"/>
      <c r="G526" s="3"/>
      <c r="H526" s="3"/>
      <c r="I526" s="3"/>
    </row>
    <row r="527" spans="1:9" ht="25" customHeight="1" x14ac:dyDescent="0.15">
      <c r="A527" s="3"/>
      <c r="B527" s="3"/>
      <c r="C527" s="3"/>
      <c r="D527" s="3"/>
      <c r="E527" s="3"/>
      <c r="F527" s="3"/>
      <c r="G527" s="3"/>
      <c r="H527" s="3"/>
      <c r="I527" s="3"/>
    </row>
    <row r="528" spans="1:9" ht="25" customHeight="1" x14ac:dyDescent="0.15">
      <c r="A528" s="3"/>
      <c r="B528" s="3"/>
      <c r="C528" s="3"/>
      <c r="D528" s="3"/>
      <c r="E528" s="3"/>
      <c r="F528" s="3"/>
      <c r="G528" s="3"/>
      <c r="H528" s="3"/>
      <c r="I528" s="3"/>
    </row>
    <row r="529" spans="1:9" ht="25" customHeight="1" x14ac:dyDescent="0.15">
      <c r="A529" s="3"/>
      <c r="B529" s="3"/>
      <c r="C529" s="3"/>
      <c r="D529" s="3"/>
      <c r="E529" s="3"/>
      <c r="F529" s="3"/>
      <c r="G529" s="3"/>
      <c r="H529" s="3"/>
      <c r="I529" s="3"/>
    </row>
    <row r="530" spans="1:9" ht="25" customHeight="1" x14ac:dyDescent="0.15">
      <c r="A530" s="3"/>
      <c r="B530" s="3"/>
      <c r="C530" s="3"/>
      <c r="D530" s="3"/>
      <c r="E530" s="3"/>
      <c r="F530" s="3"/>
      <c r="G530" s="3"/>
      <c r="H530" s="3"/>
      <c r="I530" s="3"/>
    </row>
    <row r="531" spans="1:9" ht="25" customHeight="1" x14ac:dyDescent="0.15">
      <c r="A531" s="3"/>
      <c r="B531" s="3"/>
      <c r="C531" s="3"/>
      <c r="D531" s="3"/>
      <c r="E531" s="3"/>
      <c r="F531" s="3"/>
      <c r="G531" s="3"/>
      <c r="H531" s="3"/>
      <c r="I531" s="3"/>
    </row>
    <row r="532" spans="1:9" ht="25" customHeight="1" x14ac:dyDescent="0.15">
      <c r="A532" s="3"/>
      <c r="B532" s="3"/>
      <c r="C532" s="3"/>
      <c r="D532" s="3"/>
      <c r="E532" s="3"/>
      <c r="F532" s="3"/>
      <c r="G532" s="3"/>
      <c r="H532" s="3"/>
      <c r="I532" s="3"/>
    </row>
    <row r="533" spans="1:9" ht="25" customHeight="1" x14ac:dyDescent="0.15">
      <c r="A533" s="3"/>
      <c r="B533" s="3"/>
      <c r="C533" s="3"/>
      <c r="D533" s="3"/>
      <c r="E533" s="3"/>
      <c r="F533" s="3"/>
      <c r="G533" s="3"/>
      <c r="H533" s="3"/>
      <c r="I533" s="3"/>
    </row>
    <row r="534" spans="1:9" ht="25" customHeight="1" x14ac:dyDescent="0.15">
      <c r="A534" s="3"/>
      <c r="B534" s="3"/>
      <c r="C534" s="3"/>
      <c r="D534" s="3"/>
      <c r="E534" s="3"/>
      <c r="F534" s="3"/>
      <c r="G534" s="3"/>
      <c r="H534" s="3"/>
      <c r="I534" s="3"/>
    </row>
    <row r="535" spans="1:9" ht="25" customHeight="1" x14ac:dyDescent="0.15">
      <c r="A535" s="3"/>
      <c r="B535" s="3"/>
      <c r="C535" s="3"/>
      <c r="D535" s="3"/>
      <c r="E535" s="3"/>
      <c r="F535" s="3"/>
      <c r="G535" s="3"/>
      <c r="H535" s="3"/>
      <c r="I535" s="3"/>
    </row>
    <row r="536" spans="1:9" ht="25" customHeight="1" x14ac:dyDescent="0.15">
      <c r="A536" s="3"/>
      <c r="B536" s="3"/>
      <c r="C536" s="3"/>
      <c r="D536" s="3"/>
      <c r="E536" s="3"/>
      <c r="F536" s="3"/>
      <c r="G536" s="3"/>
      <c r="H536" s="3"/>
      <c r="I536" s="3"/>
    </row>
    <row r="537" spans="1:9" ht="25" customHeight="1" x14ac:dyDescent="0.15">
      <c r="A537" s="3"/>
      <c r="B537" s="3"/>
      <c r="C537" s="3"/>
      <c r="D537" s="3"/>
      <c r="E537" s="3"/>
      <c r="F537" s="3"/>
      <c r="G537" s="3"/>
      <c r="H537" s="3"/>
      <c r="I537" s="3"/>
    </row>
    <row r="538" spans="1:9" ht="25" customHeight="1" x14ac:dyDescent="0.15">
      <c r="A538" s="3"/>
      <c r="B538" s="3"/>
      <c r="C538" s="3"/>
      <c r="D538" s="3"/>
      <c r="E538" s="3"/>
      <c r="F538" s="3"/>
      <c r="G538" s="3"/>
      <c r="H538" s="3"/>
      <c r="I538" s="3"/>
    </row>
    <row r="539" spans="1:9" ht="25" customHeight="1" x14ac:dyDescent="0.15">
      <c r="A539" s="3"/>
      <c r="B539" s="3"/>
      <c r="C539" s="3"/>
      <c r="D539" s="3"/>
      <c r="E539" s="3"/>
      <c r="F539" s="3"/>
      <c r="G539" s="3"/>
      <c r="H539" s="3"/>
      <c r="I539" s="3"/>
    </row>
    <row r="540" spans="1:9" ht="25" customHeight="1" x14ac:dyDescent="0.15">
      <c r="A540" s="3"/>
      <c r="B540" s="3"/>
      <c r="C540" s="3"/>
      <c r="D540" s="3"/>
      <c r="E540" s="3"/>
      <c r="F540" s="3"/>
      <c r="G540" s="3"/>
      <c r="H540" s="3"/>
      <c r="I540" s="3"/>
    </row>
    <row r="541" spans="1:9" ht="25" customHeight="1" x14ac:dyDescent="0.15">
      <c r="A541" s="3"/>
      <c r="B541" s="3"/>
      <c r="C541" s="3"/>
      <c r="D541" s="3"/>
      <c r="E541" s="3"/>
      <c r="F541" s="3"/>
      <c r="G541" s="3"/>
      <c r="H541" s="3"/>
      <c r="I541" s="3"/>
    </row>
    <row r="542" spans="1:9" ht="25" customHeight="1" x14ac:dyDescent="0.15">
      <c r="A542" s="3"/>
      <c r="B542" s="3"/>
      <c r="C542" s="3"/>
      <c r="D542" s="3"/>
      <c r="E542" s="3"/>
      <c r="F542" s="3"/>
      <c r="G542" s="3"/>
      <c r="H542" s="3"/>
      <c r="I542" s="3"/>
    </row>
    <row r="543" spans="1:9" ht="25" customHeight="1" x14ac:dyDescent="0.15">
      <c r="A543" s="3"/>
      <c r="B543" s="3"/>
      <c r="C543" s="3"/>
      <c r="D543" s="3"/>
      <c r="E543" s="3"/>
      <c r="F543" s="3"/>
      <c r="G543" s="3"/>
      <c r="H543" s="3"/>
      <c r="I543" s="3"/>
    </row>
    <row r="544" spans="1:9" ht="25" customHeight="1" x14ac:dyDescent="0.15">
      <c r="A544" s="3"/>
      <c r="B544" s="3"/>
      <c r="C544" s="3"/>
      <c r="D544" s="3"/>
      <c r="E544" s="3"/>
      <c r="F544" s="3"/>
      <c r="G544" s="3"/>
      <c r="H544" s="3"/>
      <c r="I544" s="3"/>
    </row>
    <row r="545" spans="1:9" ht="25" customHeight="1" x14ac:dyDescent="0.15">
      <c r="A545" s="3"/>
      <c r="B545" s="3"/>
      <c r="C545" s="3"/>
      <c r="D545" s="3"/>
      <c r="E545" s="3"/>
      <c r="F545" s="3"/>
      <c r="G545" s="3"/>
      <c r="H545" s="3"/>
      <c r="I545" s="3"/>
    </row>
    <row r="546" spans="1:9" ht="25" customHeight="1" x14ac:dyDescent="0.15">
      <c r="A546" s="3"/>
      <c r="B546" s="3"/>
      <c r="C546" s="3"/>
      <c r="D546" s="3"/>
      <c r="E546" s="3"/>
      <c r="F546" s="3"/>
      <c r="G546" s="3"/>
      <c r="H546" s="3"/>
      <c r="I546" s="3"/>
    </row>
    <row r="547" spans="1:9" ht="25" customHeight="1" x14ac:dyDescent="0.15">
      <c r="A547" s="3"/>
      <c r="B547" s="3"/>
      <c r="C547" s="3"/>
      <c r="D547" s="3"/>
      <c r="E547" s="3"/>
      <c r="F547" s="3"/>
      <c r="G547" s="3"/>
      <c r="H547" s="3"/>
      <c r="I547" s="3"/>
    </row>
    <row r="548" spans="1:9" ht="25" customHeight="1" x14ac:dyDescent="0.15">
      <c r="A548" s="3"/>
      <c r="B548" s="3"/>
      <c r="C548" s="3"/>
      <c r="D548" s="3"/>
      <c r="E548" s="3"/>
      <c r="F548" s="3"/>
      <c r="G548" s="3"/>
      <c r="H548" s="3"/>
      <c r="I548" s="3"/>
    </row>
    <row r="549" spans="1:9" ht="25" customHeight="1" x14ac:dyDescent="0.15">
      <c r="A549" s="3"/>
      <c r="B549" s="3"/>
      <c r="C549" s="3"/>
      <c r="D549" s="3"/>
      <c r="E549" s="3"/>
      <c r="F549" s="3"/>
      <c r="G549" s="3"/>
      <c r="H549" s="3"/>
      <c r="I549" s="3"/>
    </row>
    <row r="550" spans="1:9" ht="25" customHeight="1" x14ac:dyDescent="0.15">
      <c r="A550" s="3"/>
      <c r="B550" s="3"/>
      <c r="C550" s="3"/>
      <c r="D550" s="3"/>
      <c r="E550" s="3"/>
      <c r="F550" s="3"/>
      <c r="G550" s="3"/>
      <c r="H550" s="3"/>
      <c r="I550" s="3"/>
    </row>
    <row r="551" spans="1:9" ht="25" customHeight="1" x14ac:dyDescent="0.15">
      <c r="A551" s="3"/>
      <c r="B551" s="3"/>
      <c r="C551" s="3"/>
      <c r="D551" s="3"/>
      <c r="E551" s="3"/>
      <c r="F551" s="3"/>
      <c r="G551" s="3"/>
      <c r="H551" s="3"/>
      <c r="I551" s="3"/>
    </row>
    <row r="552" spans="1:9" ht="25" customHeight="1" x14ac:dyDescent="0.15">
      <c r="A552" s="3"/>
      <c r="B552" s="3"/>
      <c r="C552" s="3"/>
      <c r="D552" s="3"/>
      <c r="E552" s="3"/>
      <c r="F552" s="3"/>
      <c r="G552" s="3"/>
      <c r="H552" s="3"/>
      <c r="I552" s="3"/>
    </row>
    <row r="553" spans="1:9" ht="25" customHeight="1" x14ac:dyDescent="0.15">
      <c r="A553" s="3"/>
      <c r="B553" s="3"/>
      <c r="C553" s="3"/>
      <c r="D553" s="3"/>
      <c r="E553" s="3"/>
      <c r="F553" s="3"/>
      <c r="G553" s="3"/>
      <c r="H553" s="3"/>
      <c r="I553" s="3"/>
    </row>
    <row r="554" spans="1:9" ht="25" customHeight="1" x14ac:dyDescent="0.15">
      <c r="A554" s="3"/>
      <c r="B554" s="3"/>
      <c r="C554" s="3"/>
      <c r="D554" s="3"/>
      <c r="E554" s="3"/>
      <c r="F554" s="3"/>
      <c r="G554" s="3"/>
      <c r="H554" s="3"/>
      <c r="I554" s="3"/>
    </row>
    <row r="555" spans="1:9" ht="25" customHeight="1" x14ac:dyDescent="0.15">
      <c r="A555" s="3"/>
      <c r="B555" s="3"/>
      <c r="C555" s="3"/>
      <c r="D555" s="3"/>
      <c r="E555" s="3"/>
      <c r="F555" s="3"/>
      <c r="G555" s="3"/>
      <c r="H555" s="3"/>
      <c r="I555" s="3"/>
    </row>
    <row r="556" spans="1:9" ht="25" customHeight="1" x14ac:dyDescent="0.15">
      <c r="A556" s="3"/>
      <c r="B556" s="3"/>
      <c r="C556" s="3"/>
      <c r="D556" s="3"/>
      <c r="E556" s="3"/>
      <c r="F556" s="3"/>
      <c r="G556" s="3"/>
      <c r="H556" s="3"/>
      <c r="I556" s="3"/>
    </row>
    <row r="557" spans="1:9" ht="25" customHeight="1" x14ac:dyDescent="0.15">
      <c r="A557" s="3"/>
      <c r="B557" s="3"/>
      <c r="C557" s="3"/>
      <c r="D557" s="3"/>
      <c r="E557" s="3"/>
      <c r="F557" s="3"/>
      <c r="G557" s="3"/>
      <c r="H557" s="3"/>
      <c r="I557" s="3"/>
    </row>
    <row r="558" spans="1:9" ht="25" customHeight="1" x14ac:dyDescent="0.15">
      <c r="A558" s="3"/>
      <c r="B558" s="3"/>
      <c r="C558" s="3"/>
      <c r="D558" s="3"/>
      <c r="E558" s="3"/>
      <c r="F558" s="3"/>
      <c r="G558" s="3"/>
      <c r="H558" s="3"/>
      <c r="I558" s="3"/>
    </row>
    <row r="559" spans="1:9" ht="25" customHeight="1" x14ac:dyDescent="0.15">
      <c r="A559" s="3"/>
      <c r="B559" s="3"/>
      <c r="C559" s="3"/>
      <c r="D559" s="3"/>
      <c r="E559" s="3"/>
      <c r="F559" s="3"/>
      <c r="G559" s="3"/>
      <c r="H559" s="3"/>
      <c r="I559" s="3"/>
    </row>
    <row r="560" spans="1:9" ht="25" customHeight="1" x14ac:dyDescent="0.15">
      <c r="A560" s="3"/>
      <c r="B560" s="3"/>
      <c r="C560" s="3"/>
      <c r="D560" s="3"/>
      <c r="E560" s="3"/>
      <c r="F560" s="3"/>
      <c r="G560" s="3"/>
      <c r="H560" s="3"/>
      <c r="I560" s="3"/>
    </row>
    <row r="561" spans="1:9" ht="25" customHeight="1" x14ac:dyDescent="0.15">
      <c r="A561" s="3"/>
      <c r="B561" s="3"/>
      <c r="C561" s="3"/>
      <c r="D561" s="3"/>
      <c r="E561" s="3"/>
      <c r="F561" s="3"/>
      <c r="G561" s="3"/>
      <c r="H561" s="3"/>
      <c r="I561" s="3"/>
    </row>
    <row r="562" spans="1:9" ht="25" customHeight="1" x14ac:dyDescent="0.15">
      <c r="A562" s="3"/>
      <c r="B562" s="3"/>
      <c r="C562" s="3"/>
      <c r="D562" s="3"/>
      <c r="E562" s="3"/>
      <c r="F562" s="3"/>
      <c r="G562" s="3"/>
      <c r="H562" s="3"/>
      <c r="I562" s="3"/>
    </row>
    <row r="563" spans="1:9" ht="25" customHeight="1" x14ac:dyDescent="0.15">
      <c r="A563" s="3"/>
      <c r="B563" s="3"/>
      <c r="C563" s="3"/>
      <c r="D563" s="3"/>
      <c r="E563" s="3"/>
      <c r="F563" s="3"/>
      <c r="G563" s="3"/>
      <c r="H563" s="3"/>
      <c r="I563" s="3"/>
    </row>
    <row r="564" spans="1:9" ht="25" customHeight="1" x14ac:dyDescent="0.15">
      <c r="A564" s="3"/>
      <c r="B564" s="3"/>
      <c r="C564" s="3"/>
      <c r="D564" s="3"/>
      <c r="E564" s="3"/>
      <c r="F564" s="3"/>
      <c r="G564" s="3"/>
      <c r="H564" s="3"/>
      <c r="I564" s="3"/>
    </row>
    <row r="565" spans="1:9" ht="25" customHeight="1" x14ac:dyDescent="0.15">
      <c r="A565" s="3"/>
      <c r="B565" s="3"/>
      <c r="C565" s="3"/>
      <c r="D565" s="3"/>
      <c r="E565" s="3"/>
      <c r="F565" s="3"/>
      <c r="G565" s="3"/>
      <c r="H565" s="3"/>
      <c r="I565" s="3"/>
    </row>
    <row r="566" spans="1:9" ht="25" customHeight="1" x14ac:dyDescent="0.15">
      <c r="A566" s="3"/>
      <c r="B566" s="3"/>
      <c r="C566" s="3"/>
      <c r="D566" s="3"/>
      <c r="E566" s="3"/>
      <c r="F566" s="3"/>
      <c r="G566" s="3"/>
      <c r="H566" s="3"/>
      <c r="I566" s="3"/>
    </row>
    <row r="567" spans="1:9" ht="25" customHeight="1" x14ac:dyDescent="0.15">
      <c r="A567" s="3"/>
      <c r="B567" s="3"/>
      <c r="C567" s="3"/>
      <c r="D567" s="3"/>
      <c r="E567" s="3"/>
      <c r="F567" s="3"/>
      <c r="G567" s="3"/>
      <c r="H567" s="3"/>
      <c r="I567" s="3"/>
    </row>
    <row r="568" spans="1:9" ht="25" customHeight="1" x14ac:dyDescent="0.15">
      <c r="A568" s="3"/>
      <c r="B568" s="3"/>
      <c r="C568" s="3"/>
      <c r="D568" s="3"/>
      <c r="E568" s="3"/>
      <c r="F568" s="3"/>
      <c r="G568" s="3"/>
      <c r="H568" s="3"/>
      <c r="I568" s="3"/>
    </row>
    <row r="569" spans="1:9" ht="25" customHeight="1" x14ac:dyDescent="0.15">
      <c r="A569" s="3"/>
      <c r="B569" s="3"/>
      <c r="C569" s="3"/>
      <c r="D569" s="3"/>
      <c r="E569" s="3"/>
      <c r="F569" s="3"/>
      <c r="G569" s="3"/>
      <c r="H569" s="3"/>
      <c r="I569" s="3"/>
    </row>
    <row r="570" spans="1:9" ht="25" customHeight="1" x14ac:dyDescent="0.15">
      <c r="A570" s="3"/>
      <c r="B570" s="3"/>
      <c r="C570" s="3"/>
      <c r="D570" s="3"/>
      <c r="E570" s="3"/>
      <c r="F570" s="3"/>
      <c r="G570" s="3"/>
      <c r="H570" s="3"/>
      <c r="I570" s="3"/>
    </row>
    <row r="571" spans="1:9" ht="25" customHeight="1" x14ac:dyDescent="0.15">
      <c r="A571" s="3"/>
      <c r="B571" s="3"/>
      <c r="C571" s="3"/>
      <c r="D571" s="3"/>
      <c r="E571" s="3"/>
      <c r="F571" s="3"/>
      <c r="G571" s="3"/>
      <c r="H571" s="3"/>
      <c r="I571" s="3"/>
    </row>
    <row r="572" spans="1:9" ht="25" customHeight="1" x14ac:dyDescent="0.15">
      <c r="A572" s="3"/>
      <c r="B572" s="3"/>
      <c r="C572" s="3"/>
      <c r="D572" s="3"/>
      <c r="E572" s="3"/>
      <c r="F572" s="3"/>
      <c r="G572" s="3"/>
      <c r="H572" s="3"/>
      <c r="I572" s="3"/>
    </row>
    <row r="573" spans="1:9" ht="25" customHeight="1" x14ac:dyDescent="0.15">
      <c r="A573" s="3"/>
      <c r="B573" s="3"/>
      <c r="C573" s="3"/>
      <c r="D573" s="3"/>
      <c r="E573" s="3"/>
      <c r="F573" s="3"/>
      <c r="G573" s="3"/>
      <c r="H573" s="3"/>
      <c r="I573" s="3"/>
    </row>
    <row r="574" spans="1:9" ht="25" customHeight="1" x14ac:dyDescent="0.15">
      <c r="A574" s="3"/>
      <c r="B574" s="3"/>
      <c r="C574" s="3"/>
      <c r="D574" s="3"/>
      <c r="E574" s="3"/>
      <c r="F574" s="3"/>
      <c r="G574" s="3"/>
      <c r="H574" s="3"/>
      <c r="I574" s="3"/>
    </row>
    <row r="575" spans="1:9" ht="25" customHeight="1" x14ac:dyDescent="0.15">
      <c r="A575" s="3"/>
      <c r="B575" s="3"/>
      <c r="C575" s="3"/>
      <c r="D575" s="3"/>
      <c r="E575" s="3"/>
      <c r="F575" s="3"/>
      <c r="G575" s="3"/>
      <c r="H575" s="3"/>
      <c r="I575" s="3"/>
    </row>
    <row r="576" spans="1:9" ht="25" customHeight="1" x14ac:dyDescent="0.15">
      <c r="A576" s="3"/>
      <c r="B576" s="3"/>
      <c r="C576" s="3"/>
      <c r="D576" s="3"/>
      <c r="E576" s="3"/>
      <c r="F576" s="3"/>
      <c r="G576" s="3"/>
      <c r="H576" s="3"/>
      <c r="I576" s="3"/>
    </row>
    <row r="577" spans="1:9" ht="25" customHeight="1" x14ac:dyDescent="0.15">
      <c r="A577" s="3"/>
      <c r="B577" s="3"/>
      <c r="C577" s="3"/>
      <c r="D577" s="3"/>
      <c r="E577" s="3"/>
      <c r="F577" s="3"/>
      <c r="G577" s="3"/>
      <c r="H577" s="3"/>
      <c r="I577" s="3"/>
    </row>
    <row r="578" spans="1:9" ht="25" customHeight="1" x14ac:dyDescent="0.15">
      <c r="A578" s="3"/>
      <c r="B578" s="3"/>
      <c r="C578" s="3"/>
      <c r="D578" s="3"/>
      <c r="E578" s="3"/>
      <c r="F578" s="3"/>
      <c r="G578" s="3"/>
      <c r="H578" s="3"/>
      <c r="I578" s="3"/>
    </row>
    <row r="579" spans="1:9" ht="25" customHeight="1" x14ac:dyDescent="0.15">
      <c r="A579" s="3"/>
      <c r="B579" s="3"/>
      <c r="C579" s="3"/>
      <c r="D579" s="3"/>
      <c r="E579" s="3"/>
      <c r="F579" s="3"/>
      <c r="G579" s="3"/>
      <c r="H579" s="3"/>
      <c r="I579" s="3"/>
    </row>
    <row r="580" spans="1:9" ht="25" customHeight="1" x14ac:dyDescent="0.15">
      <c r="A580" s="3"/>
      <c r="B580" s="3"/>
      <c r="C580" s="3"/>
      <c r="D580" s="3"/>
      <c r="E580" s="3"/>
      <c r="F580" s="3"/>
      <c r="G580" s="3"/>
      <c r="H580" s="3"/>
      <c r="I580" s="3"/>
    </row>
    <row r="581" spans="1:9" ht="25" customHeight="1" x14ac:dyDescent="0.15">
      <c r="A581" s="3"/>
      <c r="B581" s="3"/>
      <c r="C581" s="3"/>
      <c r="D581" s="3"/>
      <c r="E581" s="3"/>
      <c r="F581" s="3"/>
      <c r="G581" s="3"/>
      <c r="H581" s="3"/>
      <c r="I581" s="3"/>
    </row>
    <row r="582" spans="1:9" ht="25" customHeight="1" x14ac:dyDescent="0.15">
      <c r="A582" s="3"/>
      <c r="B582" s="3"/>
      <c r="C582" s="3"/>
      <c r="D582" s="3"/>
      <c r="E582" s="3"/>
      <c r="F582" s="3"/>
      <c r="G582" s="3"/>
      <c r="H582" s="3"/>
      <c r="I582" s="3"/>
    </row>
    <row r="583" spans="1:9" ht="25" customHeight="1" x14ac:dyDescent="0.15">
      <c r="A583" s="3"/>
      <c r="B583" s="3"/>
      <c r="C583" s="3"/>
      <c r="D583" s="3"/>
      <c r="E583" s="3"/>
      <c r="F583" s="3"/>
      <c r="G583" s="3"/>
      <c r="H583" s="3"/>
      <c r="I583" s="3"/>
    </row>
    <row r="584" spans="1:9" ht="25" customHeight="1" x14ac:dyDescent="0.15">
      <c r="A584" s="3"/>
      <c r="B584" s="3"/>
      <c r="C584" s="3"/>
      <c r="D584" s="3"/>
      <c r="E584" s="3"/>
      <c r="F584" s="3"/>
      <c r="G584" s="3"/>
      <c r="H584" s="3"/>
      <c r="I584" s="3"/>
    </row>
    <row r="585" spans="1:9" ht="25" customHeight="1" x14ac:dyDescent="0.15">
      <c r="A585" s="3"/>
      <c r="B585" s="3"/>
      <c r="C585" s="3"/>
      <c r="D585" s="3"/>
      <c r="E585" s="3"/>
      <c r="F585" s="3"/>
      <c r="G585" s="3"/>
      <c r="H585" s="3"/>
      <c r="I585" s="3"/>
    </row>
    <row r="586" spans="1:9" ht="25" customHeight="1" x14ac:dyDescent="0.15">
      <c r="A586" s="3"/>
      <c r="B586" s="3"/>
      <c r="C586" s="3"/>
      <c r="D586" s="3"/>
      <c r="E586" s="3"/>
      <c r="F586" s="3"/>
      <c r="G586" s="3"/>
      <c r="H586" s="3"/>
      <c r="I586" s="3"/>
    </row>
    <row r="587" spans="1:9" ht="25" customHeight="1" x14ac:dyDescent="0.15">
      <c r="A587" s="3"/>
      <c r="B587" s="3"/>
      <c r="C587" s="3"/>
      <c r="D587" s="3"/>
      <c r="E587" s="3"/>
      <c r="F587" s="3"/>
      <c r="G587" s="3"/>
      <c r="H587" s="3"/>
      <c r="I587" s="3"/>
    </row>
    <row r="588" spans="1:9" ht="25" customHeight="1" x14ac:dyDescent="0.15">
      <c r="A588" s="3"/>
      <c r="B588" s="3"/>
      <c r="C588" s="3"/>
      <c r="D588" s="3"/>
      <c r="E588" s="3"/>
      <c r="F588" s="3"/>
      <c r="G588" s="3"/>
      <c r="H588" s="3"/>
      <c r="I588" s="3"/>
    </row>
    <row r="589" spans="1:9" ht="25" customHeight="1" x14ac:dyDescent="0.15">
      <c r="A589" s="3"/>
      <c r="B589" s="3"/>
      <c r="C589" s="3"/>
      <c r="D589" s="3"/>
      <c r="E589" s="3"/>
      <c r="F589" s="3"/>
      <c r="G589" s="3"/>
      <c r="H589" s="3"/>
      <c r="I589" s="3"/>
    </row>
    <row r="590" spans="1:9" ht="25" customHeight="1" x14ac:dyDescent="0.15">
      <c r="A590" s="3"/>
      <c r="B590" s="3"/>
      <c r="C590" s="3"/>
      <c r="D590" s="3"/>
      <c r="E590" s="3"/>
      <c r="F590" s="3"/>
      <c r="G590" s="3"/>
      <c r="H590" s="3"/>
      <c r="I590" s="3"/>
    </row>
    <row r="591" spans="1:9" ht="25" customHeight="1" x14ac:dyDescent="0.15">
      <c r="A591" s="3"/>
      <c r="B591" s="3"/>
      <c r="C591" s="3"/>
      <c r="D591" s="3"/>
      <c r="E591" s="3"/>
      <c r="F591" s="3"/>
      <c r="G591" s="3"/>
      <c r="H591" s="3"/>
      <c r="I591" s="3"/>
    </row>
    <row r="592" spans="1:9" ht="25" customHeight="1" x14ac:dyDescent="0.15">
      <c r="A592" s="3"/>
      <c r="B592" s="3"/>
      <c r="C592" s="3"/>
      <c r="D592" s="3"/>
      <c r="E592" s="3"/>
      <c r="F592" s="3"/>
      <c r="G592" s="3"/>
      <c r="H592" s="3"/>
      <c r="I592" s="3"/>
    </row>
    <row r="593" spans="1:9" ht="25" customHeight="1" x14ac:dyDescent="0.15">
      <c r="A593" s="3"/>
      <c r="B593" s="3"/>
      <c r="C593" s="3"/>
      <c r="D593" s="3"/>
      <c r="E593" s="3"/>
      <c r="F593" s="3"/>
      <c r="G593" s="3"/>
      <c r="H593" s="3"/>
      <c r="I593" s="3"/>
    </row>
    <row r="594" spans="1:9" ht="25" customHeight="1" x14ac:dyDescent="0.15">
      <c r="A594" s="3"/>
      <c r="B594" s="3"/>
      <c r="C594" s="3"/>
      <c r="D594" s="3"/>
      <c r="E594" s="3"/>
      <c r="F594" s="3"/>
      <c r="G594" s="3"/>
      <c r="H594" s="3"/>
      <c r="I594" s="3"/>
    </row>
    <row r="595" spans="1:9" ht="25" customHeight="1" x14ac:dyDescent="0.15">
      <c r="A595" s="3"/>
      <c r="B595" s="3"/>
      <c r="C595" s="3"/>
      <c r="D595" s="3"/>
      <c r="E595" s="3"/>
      <c r="F595" s="3"/>
      <c r="G595" s="3"/>
      <c r="H595" s="3"/>
      <c r="I595" s="3"/>
    </row>
    <row r="596" spans="1:9" ht="25" customHeight="1" x14ac:dyDescent="0.15">
      <c r="A596" s="3"/>
      <c r="B596" s="3"/>
      <c r="C596" s="3"/>
      <c r="D596" s="3"/>
      <c r="E596" s="3"/>
      <c r="F596" s="3"/>
      <c r="G596" s="3"/>
      <c r="H596" s="3"/>
      <c r="I596" s="3"/>
    </row>
    <row r="597" spans="1:9" ht="25" customHeight="1" x14ac:dyDescent="0.15">
      <c r="A597" s="3"/>
      <c r="B597" s="3"/>
      <c r="C597" s="3"/>
      <c r="D597" s="3"/>
      <c r="E597" s="3"/>
      <c r="F597" s="3"/>
      <c r="G597" s="3"/>
      <c r="H597" s="3"/>
      <c r="I597" s="3"/>
    </row>
    <row r="598" spans="1:9" ht="25" customHeight="1" x14ac:dyDescent="0.15">
      <c r="A598" s="3"/>
      <c r="B598" s="3"/>
      <c r="C598" s="3"/>
      <c r="D598" s="3"/>
      <c r="E598" s="3"/>
      <c r="F598" s="3"/>
      <c r="G598" s="3"/>
      <c r="H598" s="3"/>
      <c r="I598" s="3"/>
    </row>
    <row r="599" spans="1:9" ht="25" customHeight="1" x14ac:dyDescent="0.15">
      <c r="A599" s="3"/>
      <c r="B599" s="3"/>
      <c r="C599" s="3"/>
      <c r="D599" s="3"/>
      <c r="E599" s="3"/>
      <c r="F599" s="3"/>
      <c r="G599" s="3"/>
      <c r="H599" s="3"/>
      <c r="I599" s="3"/>
    </row>
    <row r="600" spans="1:9" ht="25" customHeight="1" x14ac:dyDescent="0.15">
      <c r="A600" s="3"/>
      <c r="B600" s="3"/>
      <c r="C600" s="3"/>
      <c r="D600" s="3"/>
      <c r="E600" s="3"/>
      <c r="F600" s="3"/>
      <c r="G600" s="3"/>
      <c r="H600" s="3"/>
      <c r="I600" s="3"/>
    </row>
    <row r="601" spans="1:9" ht="25" customHeight="1" x14ac:dyDescent="0.15">
      <c r="A601" s="3"/>
      <c r="B601" s="3"/>
      <c r="C601" s="3"/>
      <c r="D601" s="3"/>
      <c r="E601" s="3"/>
      <c r="F601" s="3"/>
      <c r="G601" s="3"/>
      <c r="H601" s="3"/>
      <c r="I601" s="3"/>
    </row>
    <row r="602" spans="1:9" ht="25" customHeight="1" x14ac:dyDescent="0.15">
      <c r="A602" s="3"/>
      <c r="B602" s="3"/>
      <c r="C602" s="3"/>
      <c r="D602" s="3"/>
      <c r="E602" s="3"/>
      <c r="F602" s="3"/>
      <c r="G602" s="3"/>
      <c r="H602" s="3"/>
      <c r="I602" s="3"/>
    </row>
    <row r="603" spans="1:9" ht="25" customHeight="1" x14ac:dyDescent="0.15">
      <c r="A603" s="3"/>
      <c r="B603" s="3"/>
      <c r="C603" s="3"/>
      <c r="D603" s="3"/>
      <c r="E603" s="3"/>
      <c r="F603" s="3"/>
      <c r="G603" s="3"/>
      <c r="H603" s="3"/>
      <c r="I603" s="3"/>
    </row>
    <row r="604" spans="1:9" ht="25" customHeight="1" x14ac:dyDescent="0.15">
      <c r="A604" s="3"/>
      <c r="B604" s="3"/>
      <c r="C604" s="3"/>
      <c r="D604" s="3"/>
      <c r="E604" s="3"/>
      <c r="F604" s="3"/>
      <c r="G604" s="3"/>
      <c r="H604" s="3"/>
      <c r="I604" s="3"/>
    </row>
    <row r="605" spans="1:9" ht="25" customHeight="1" x14ac:dyDescent="0.15">
      <c r="A605" s="3"/>
      <c r="B605" s="3"/>
      <c r="C605" s="3"/>
      <c r="D605" s="3"/>
      <c r="E605" s="3"/>
      <c r="F605" s="3"/>
      <c r="G605" s="3"/>
      <c r="H605" s="3"/>
      <c r="I605" s="3"/>
    </row>
    <row r="606" spans="1:9" ht="25" customHeight="1" x14ac:dyDescent="0.15">
      <c r="A606" s="3"/>
      <c r="B606" s="3"/>
      <c r="C606" s="3"/>
      <c r="D606" s="3"/>
      <c r="E606" s="3"/>
      <c r="F606" s="3"/>
      <c r="G606" s="3"/>
      <c r="H606" s="3"/>
      <c r="I606" s="3"/>
    </row>
    <row r="607" spans="1:9" ht="25" customHeight="1" x14ac:dyDescent="0.15">
      <c r="A607" s="3"/>
      <c r="B607" s="3"/>
      <c r="C607" s="3"/>
      <c r="D607" s="3"/>
      <c r="E607" s="3"/>
      <c r="F607" s="3"/>
      <c r="G607" s="3"/>
      <c r="H607" s="3"/>
      <c r="I607" s="3"/>
    </row>
    <row r="608" spans="1:9" ht="25" customHeight="1" x14ac:dyDescent="0.15">
      <c r="A608" s="3"/>
      <c r="B608" s="3"/>
      <c r="C608" s="3"/>
      <c r="D608" s="3"/>
      <c r="E608" s="3"/>
      <c r="F608" s="3"/>
      <c r="G608" s="3"/>
      <c r="H608" s="3"/>
      <c r="I608" s="3"/>
    </row>
    <row r="609" spans="1:9" ht="25" customHeight="1" x14ac:dyDescent="0.15">
      <c r="A609" s="3"/>
      <c r="B609" s="3"/>
      <c r="C609" s="3"/>
      <c r="D609" s="3"/>
      <c r="E609" s="3"/>
      <c r="F609" s="3"/>
      <c r="G609" s="3"/>
      <c r="H609" s="3"/>
      <c r="I609" s="3"/>
    </row>
    <row r="610" spans="1:9" ht="25" customHeight="1" x14ac:dyDescent="0.15">
      <c r="A610" s="3"/>
      <c r="B610" s="3"/>
      <c r="C610" s="3"/>
      <c r="D610" s="3"/>
      <c r="E610" s="3"/>
      <c r="F610" s="3"/>
      <c r="G610" s="3"/>
      <c r="H610" s="3"/>
      <c r="I610" s="3"/>
    </row>
    <row r="611" spans="1:9" ht="25" customHeight="1" x14ac:dyDescent="0.15">
      <c r="A611" s="3"/>
      <c r="B611" s="3"/>
      <c r="C611" s="3"/>
      <c r="D611" s="3"/>
      <c r="E611" s="3"/>
      <c r="F611" s="3"/>
      <c r="G611" s="3"/>
      <c r="H611" s="3"/>
      <c r="I611" s="3"/>
    </row>
    <row r="612" spans="1:9" ht="25" customHeight="1" x14ac:dyDescent="0.15">
      <c r="A612" s="3"/>
      <c r="B612" s="3"/>
      <c r="C612" s="3"/>
      <c r="D612" s="3"/>
      <c r="E612" s="3"/>
      <c r="F612" s="3"/>
      <c r="G612" s="3"/>
      <c r="H612" s="3"/>
      <c r="I612" s="3"/>
    </row>
    <row r="613" spans="1:9" ht="25" customHeight="1" x14ac:dyDescent="0.15">
      <c r="A613" s="3"/>
      <c r="B613" s="3"/>
      <c r="C613" s="3"/>
      <c r="D613" s="3"/>
      <c r="E613" s="3"/>
      <c r="F613" s="3"/>
      <c r="G613" s="3"/>
      <c r="H613" s="3"/>
      <c r="I613" s="3"/>
    </row>
    <row r="614" spans="1:9" ht="25" customHeight="1" x14ac:dyDescent="0.15">
      <c r="A614" s="3"/>
      <c r="B614" s="3"/>
      <c r="C614" s="3"/>
      <c r="D614" s="3"/>
      <c r="E614" s="3"/>
      <c r="F614" s="3"/>
      <c r="G614" s="3"/>
      <c r="H614" s="3"/>
      <c r="I614" s="3"/>
    </row>
    <row r="615" spans="1:9" ht="25" customHeight="1" x14ac:dyDescent="0.15">
      <c r="A615" s="3"/>
      <c r="B615" s="3"/>
      <c r="C615" s="3"/>
      <c r="D615" s="3"/>
      <c r="E615" s="3"/>
      <c r="F615" s="3"/>
      <c r="G615" s="3"/>
      <c r="H615" s="3"/>
      <c r="I615" s="3"/>
    </row>
    <row r="616" spans="1:9" ht="25" customHeight="1" x14ac:dyDescent="0.15">
      <c r="A616" s="3"/>
      <c r="B616" s="3"/>
      <c r="C616" s="3"/>
      <c r="D616" s="3"/>
      <c r="E616" s="3"/>
      <c r="F616" s="3"/>
      <c r="G616" s="3"/>
      <c r="H616" s="3"/>
      <c r="I616" s="3"/>
    </row>
    <row r="617" spans="1:9" ht="25" customHeight="1" x14ac:dyDescent="0.15">
      <c r="A617" s="3"/>
      <c r="B617" s="3"/>
      <c r="C617" s="3"/>
      <c r="D617" s="3"/>
      <c r="E617" s="3"/>
      <c r="F617" s="3"/>
      <c r="G617" s="3"/>
      <c r="H617" s="3"/>
      <c r="I617" s="3"/>
    </row>
    <row r="618" spans="1:9" ht="25" customHeight="1" x14ac:dyDescent="0.15">
      <c r="A618" s="3"/>
      <c r="B618" s="3"/>
      <c r="C618" s="3"/>
      <c r="D618" s="3"/>
      <c r="E618" s="3"/>
      <c r="F618" s="3"/>
      <c r="G618" s="3"/>
      <c r="H618" s="3"/>
      <c r="I618" s="3"/>
    </row>
    <row r="619" spans="1:9" ht="25" customHeight="1" x14ac:dyDescent="0.15">
      <c r="A619" s="3"/>
      <c r="B619" s="3"/>
      <c r="C619" s="3"/>
      <c r="D619" s="3"/>
      <c r="E619" s="3"/>
      <c r="F619" s="3"/>
      <c r="G619" s="3"/>
      <c r="H619" s="3"/>
      <c r="I619" s="3"/>
    </row>
    <row r="620" spans="1:9" ht="25" customHeight="1" x14ac:dyDescent="0.15">
      <c r="A620" s="3"/>
      <c r="B620" s="3"/>
      <c r="C620" s="3"/>
      <c r="D620" s="3"/>
      <c r="E620" s="3"/>
      <c r="F620" s="3"/>
      <c r="G620" s="3"/>
      <c r="H620" s="3"/>
      <c r="I620" s="3"/>
    </row>
    <row r="621" spans="1:9" ht="25" customHeight="1" x14ac:dyDescent="0.15">
      <c r="A621" s="3"/>
      <c r="B621" s="3"/>
      <c r="C621" s="3"/>
      <c r="D621" s="3"/>
      <c r="E621" s="3"/>
      <c r="F621" s="3"/>
      <c r="G621" s="3"/>
      <c r="H621" s="3"/>
      <c r="I621" s="3"/>
    </row>
    <row r="622" spans="1:9" ht="25" customHeight="1" x14ac:dyDescent="0.15">
      <c r="A622" s="3"/>
      <c r="B622" s="3"/>
      <c r="C622" s="3"/>
      <c r="D622" s="3"/>
      <c r="E622" s="3"/>
      <c r="F622" s="3"/>
      <c r="G622" s="3"/>
      <c r="H622" s="3"/>
      <c r="I622" s="3"/>
    </row>
    <row r="623" spans="1:9" ht="25" customHeight="1" x14ac:dyDescent="0.15">
      <c r="A623" s="3"/>
      <c r="B623" s="3"/>
      <c r="C623" s="3"/>
      <c r="D623" s="3"/>
      <c r="E623" s="3"/>
      <c r="F623" s="3"/>
      <c r="G623" s="3"/>
      <c r="H623" s="3"/>
      <c r="I623" s="3"/>
    </row>
    <row r="624" spans="1:9" ht="25" customHeight="1" x14ac:dyDescent="0.15">
      <c r="A624" s="3"/>
      <c r="B624" s="3"/>
      <c r="C624" s="3"/>
      <c r="D624" s="3"/>
      <c r="E624" s="3"/>
      <c r="F624" s="3"/>
      <c r="G624" s="3"/>
      <c r="H624" s="3"/>
      <c r="I624" s="3"/>
    </row>
    <row r="625" spans="1:9" ht="25" customHeight="1" x14ac:dyDescent="0.15">
      <c r="A625" s="3"/>
      <c r="B625" s="3"/>
      <c r="C625" s="3"/>
      <c r="D625" s="3"/>
      <c r="E625" s="3"/>
      <c r="F625" s="3"/>
      <c r="G625" s="3"/>
      <c r="H625" s="3"/>
      <c r="I625" s="3"/>
    </row>
    <row r="626" spans="1:9" ht="25" customHeight="1" x14ac:dyDescent="0.15">
      <c r="A626" s="3"/>
      <c r="B626" s="3"/>
      <c r="C626" s="3"/>
      <c r="D626" s="3"/>
      <c r="E626" s="3"/>
      <c r="F626" s="3"/>
      <c r="G626" s="3"/>
      <c r="H626" s="3"/>
      <c r="I626" s="3"/>
    </row>
    <row r="627" spans="1:9" ht="25" customHeight="1" x14ac:dyDescent="0.15">
      <c r="A627" s="3"/>
      <c r="B627" s="3"/>
      <c r="C627" s="3"/>
      <c r="D627" s="3"/>
      <c r="E627" s="3"/>
      <c r="F627" s="3"/>
      <c r="G627" s="3"/>
      <c r="H627" s="3"/>
      <c r="I627" s="3"/>
    </row>
    <row r="628" spans="1:9" ht="25" customHeight="1" x14ac:dyDescent="0.15">
      <c r="A628" s="3"/>
      <c r="B628" s="3"/>
      <c r="C628" s="3"/>
      <c r="D628" s="3"/>
      <c r="E628" s="3"/>
      <c r="F628" s="3"/>
      <c r="G628" s="3"/>
      <c r="H628" s="3"/>
      <c r="I628" s="3"/>
    </row>
    <row r="629" spans="1:9" ht="25" customHeight="1" x14ac:dyDescent="0.15">
      <c r="A629" s="3"/>
      <c r="B629" s="3"/>
      <c r="C629" s="3"/>
      <c r="D629" s="3"/>
      <c r="E629" s="3"/>
      <c r="F629" s="3"/>
      <c r="G629" s="3"/>
      <c r="H629" s="3"/>
      <c r="I629" s="3"/>
    </row>
    <row r="630" spans="1:9" ht="25" customHeight="1" x14ac:dyDescent="0.15">
      <c r="A630" s="3"/>
      <c r="B630" s="3"/>
      <c r="C630" s="3"/>
      <c r="D630" s="3"/>
      <c r="E630" s="3"/>
      <c r="F630" s="3"/>
      <c r="G630" s="3"/>
      <c r="H630" s="3"/>
      <c r="I630" s="3"/>
    </row>
    <row r="631" spans="1:9" ht="25" customHeight="1" x14ac:dyDescent="0.15">
      <c r="A631" s="3"/>
      <c r="B631" s="3"/>
      <c r="C631" s="3"/>
      <c r="D631" s="3"/>
      <c r="E631" s="3"/>
      <c r="F631" s="3"/>
      <c r="G631" s="3"/>
      <c r="H631" s="3"/>
      <c r="I631" s="3"/>
    </row>
    <row r="632" spans="1:9" ht="25" customHeight="1" x14ac:dyDescent="0.15">
      <c r="A632" s="3"/>
      <c r="B632" s="3"/>
      <c r="C632" s="3"/>
      <c r="D632" s="3"/>
      <c r="E632" s="3"/>
      <c r="F632" s="3"/>
      <c r="G632" s="3"/>
      <c r="H632" s="3"/>
      <c r="I632" s="3"/>
    </row>
    <row r="633" spans="1:9" ht="25" customHeight="1" x14ac:dyDescent="0.15">
      <c r="A633" s="3"/>
      <c r="B633" s="3"/>
      <c r="C633" s="3"/>
      <c r="D633" s="3"/>
      <c r="E633" s="3"/>
      <c r="F633" s="3"/>
      <c r="G633" s="3"/>
      <c r="H633" s="3"/>
      <c r="I633" s="3"/>
    </row>
    <row r="634" spans="1:9" ht="25" customHeight="1" x14ac:dyDescent="0.15">
      <c r="A634" s="3"/>
      <c r="B634" s="3"/>
      <c r="C634" s="3"/>
      <c r="D634" s="3"/>
      <c r="E634" s="3"/>
      <c r="F634" s="3"/>
      <c r="G634" s="3"/>
      <c r="H634" s="3"/>
      <c r="I634" s="3"/>
    </row>
    <row r="635" spans="1:9" ht="25" customHeight="1" x14ac:dyDescent="0.15">
      <c r="A635" s="3"/>
      <c r="B635" s="3"/>
      <c r="C635" s="3"/>
      <c r="D635" s="3"/>
      <c r="E635" s="3"/>
      <c r="F635" s="3"/>
      <c r="G635" s="3"/>
      <c r="H635" s="3"/>
      <c r="I635" s="3"/>
    </row>
    <row r="636" spans="1:9" ht="25" customHeight="1" x14ac:dyDescent="0.15">
      <c r="A636" s="3"/>
      <c r="B636" s="3"/>
      <c r="C636" s="3"/>
      <c r="D636" s="3"/>
      <c r="E636" s="3"/>
      <c r="F636" s="3"/>
      <c r="G636" s="3"/>
      <c r="H636" s="3"/>
      <c r="I636" s="3"/>
    </row>
    <row r="637" spans="1:9" ht="25" customHeight="1" x14ac:dyDescent="0.15">
      <c r="A637" s="3"/>
      <c r="B637" s="3"/>
      <c r="C637" s="3"/>
      <c r="D637" s="3"/>
      <c r="E637" s="3"/>
      <c r="F637" s="3"/>
      <c r="G637" s="3"/>
      <c r="H637" s="3"/>
      <c r="I637" s="3"/>
    </row>
    <row r="638" spans="1:9" ht="25" customHeight="1" x14ac:dyDescent="0.15">
      <c r="A638" s="3"/>
      <c r="B638" s="3"/>
      <c r="C638" s="3"/>
      <c r="D638" s="3"/>
      <c r="E638" s="3"/>
      <c r="F638" s="3"/>
      <c r="G638" s="3"/>
      <c r="H638" s="3"/>
      <c r="I638" s="3"/>
    </row>
    <row r="639" spans="1:9" ht="25" customHeight="1" x14ac:dyDescent="0.15">
      <c r="A639" s="3"/>
      <c r="B639" s="3"/>
      <c r="C639" s="3"/>
      <c r="D639" s="3"/>
      <c r="E639" s="3"/>
      <c r="F639" s="3"/>
      <c r="G639" s="3"/>
      <c r="H639" s="3"/>
      <c r="I639" s="3"/>
    </row>
    <row r="640" spans="1:9" ht="25" customHeight="1" x14ac:dyDescent="0.15">
      <c r="A640" s="3"/>
      <c r="B640" s="3"/>
      <c r="C640" s="3"/>
      <c r="D640" s="3"/>
      <c r="E640" s="3"/>
      <c r="F640" s="3"/>
      <c r="G640" s="3"/>
      <c r="H640" s="3"/>
      <c r="I640" s="3"/>
    </row>
    <row r="641" spans="1:9" ht="25" customHeight="1" x14ac:dyDescent="0.15">
      <c r="A641" s="3"/>
      <c r="B641" s="3"/>
      <c r="C641" s="3"/>
      <c r="D641" s="3"/>
      <c r="E641" s="3"/>
      <c r="F641" s="3"/>
      <c r="G641" s="3"/>
      <c r="H641" s="3"/>
      <c r="I641" s="3"/>
    </row>
    <row r="642" spans="1:9" ht="25" customHeight="1" x14ac:dyDescent="0.15">
      <c r="A642" s="3"/>
      <c r="B642" s="3"/>
      <c r="C642" s="3"/>
      <c r="D642" s="3"/>
      <c r="E642" s="3"/>
      <c r="F642" s="3"/>
      <c r="G642" s="3"/>
      <c r="H642" s="3"/>
      <c r="I642" s="3"/>
    </row>
    <row r="643" spans="1:9" ht="25" customHeight="1" x14ac:dyDescent="0.15">
      <c r="A643" s="3"/>
      <c r="B643" s="3"/>
      <c r="C643" s="3"/>
      <c r="D643" s="3"/>
      <c r="E643" s="3"/>
      <c r="F643" s="3"/>
      <c r="G643" s="3"/>
      <c r="H643" s="3"/>
      <c r="I643" s="3"/>
    </row>
    <row r="644" spans="1:9" ht="25" customHeight="1" x14ac:dyDescent="0.15">
      <c r="A644" s="3"/>
      <c r="B644" s="3"/>
      <c r="C644" s="3"/>
      <c r="D644" s="3"/>
      <c r="E644" s="3"/>
      <c r="F644" s="3"/>
      <c r="G644" s="3"/>
      <c r="H644" s="3"/>
      <c r="I644" s="3"/>
    </row>
    <row r="645" spans="1:9" ht="25" customHeight="1" x14ac:dyDescent="0.15">
      <c r="A645" s="3"/>
      <c r="B645" s="3"/>
      <c r="C645" s="3"/>
      <c r="D645" s="3"/>
      <c r="E645" s="3"/>
      <c r="F645" s="3"/>
      <c r="G645" s="3"/>
      <c r="H645" s="3"/>
      <c r="I645" s="3"/>
    </row>
    <row r="646" spans="1:9" ht="25" customHeight="1" x14ac:dyDescent="0.15">
      <c r="A646" s="3"/>
      <c r="B646" s="3"/>
      <c r="C646" s="3"/>
      <c r="D646" s="3"/>
      <c r="E646" s="3"/>
      <c r="F646" s="3"/>
      <c r="G646" s="3"/>
      <c r="H646" s="3"/>
      <c r="I646" s="3"/>
    </row>
    <row r="647" spans="1:9" ht="25" customHeight="1" x14ac:dyDescent="0.15">
      <c r="A647" s="3"/>
      <c r="B647" s="3"/>
      <c r="C647" s="3"/>
      <c r="D647" s="3"/>
      <c r="E647" s="3"/>
      <c r="F647" s="3"/>
      <c r="G647" s="3"/>
      <c r="H647" s="3"/>
      <c r="I647" s="3"/>
    </row>
    <row r="648" spans="1:9" ht="25" customHeight="1" x14ac:dyDescent="0.15">
      <c r="A648" s="3"/>
      <c r="B648" s="3"/>
      <c r="C648" s="3"/>
      <c r="D648" s="3"/>
      <c r="E648" s="3"/>
      <c r="F648" s="3"/>
      <c r="G648" s="3"/>
      <c r="H648" s="3"/>
      <c r="I648" s="3"/>
    </row>
    <row r="649" spans="1:9" ht="25" customHeight="1" x14ac:dyDescent="0.15">
      <c r="A649" s="3"/>
      <c r="B649" s="3"/>
      <c r="C649" s="3"/>
      <c r="D649" s="3"/>
      <c r="E649" s="3"/>
      <c r="F649" s="3"/>
      <c r="G649" s="3"/>
      <c r="H649" s="3"/>
      <c r="I649" s="3"/>
    </row>
    <row r="650" spans="1:9" ht="25" customHeight="1" x14ac:dyDescent="0.15">
      <c r="A650" s="3"/>
      <c r="B650" s="3"/>
      <c r="C650" s="3"/>
      <c r="D650" s="3"/>
      <c r="E650" s="3"/>
      <c r="F650" s="3"/>
      <c r="G650" s="3"/>
      <c r="H650" s="3"/>
      <c r="I650" s="3"/>
    </row>
    <row r="651" spans="1:9" ht="25" customHeight="1" x14ac:dyDescent="0.15">
      <c r="A651" s="3"/>
      <c r="B651" s="3"/>
      <c r="C651" s="3"/>
      <c r="D651" s="3"/>
      <c r="E651" s="3"/>
      <c r="F651" s="3"/>
      <c r="G651" s="3"/>
      <c r="H651" s="3"/>
      <c r="I651" s="3"/>
    </row>
    <row r="652" spans="1:9" ht="25" customHeight="1" x14ac:dyDescent="0.15">
      <c r="A652" s="3"/>
      <c r="B652" s="3"/>
      <c r="C652" s="3"/>
      <c r="D652" s="3"/>
      <c r="E652" s="3"/>
      <c r="F652" s="3"/>
      <c r="G652" s="3"/>
      <c r="H652" s="3"/>
      <c r="I652" s="3"/>
    </row>
    <row r="653" spans="1:9" ht="25" customHeight="1" x14ac:dyDescent="0.15">
      <c r="A653" s="3"/>
      <c r="B653" s="3"/>
      <c r="C653" s="3"/>
      <c r="D653" s="3"/>
      <c r="E653" s="3"/>
      <c r="F653" s="3"/>
      <c r="G653" s="3"/>
      <c r="H653" s="3"/>
      <c r="I653" s="3"/>
    </row>
    <row r="654" spans="1:9" ht="25" customHeight="1" x14ac:dyDescent="0.15">
      <c r="A654" s="3"/>
      <c r="B654" s="3"/>
      <c r="C654" s="3"/>
      <c r="D654" s="3"/>
      <c r="E654" s="3"/>
      <c r="F654" s="3"/>
      <c r="G654" s="3"/>
      <c r="H654" s="3"/>
      <c r="I654" s="3"/>
    </row>
    <row r="655" spans="1:9" ht="25" customHeight="1" x14ac:dyDescent="0.15">
      <c r="A655" s="3"/>
      <c r="B655" s="3"/>
      <c r="C655" s="3"/>
      <c r="D655" s="3"/>
      <c r="E655" s="3"/>
      <c r="F655" s="3"/>
      <c r="G655" s="3"/>
      <c r="H655" s="3"/>
      <c r="I655" s="3"/>
    </row>
    <row r="656" spans="1:9" ht="25" customHeight="1" x14ac:dyDescent="0.15">
      <c r="A656" s="3"/>
      <c r="B656" s="3"/>
      <c r="C656" s="3"/>
      <c r="D656" s="3"/>
      <c r="E656" s="3"/>
      <c r="F656" s="3"/>
      <c r="G656" s="3"/>
      <c r="H656" s="3"/>
      <c r="I656" s="3"/>
    </row>
    <row r="657" spans="1:9" ht="25" customHeight="1" x14ac:dyDescent="0.15">
      <c r="A657" s="3"/>
      <c r="B657" s="3"/>
      <c r="C657" s="3"/>
      <c r="D657" s="3"/>
      <c r="E657" s="3"/>
      <c r="F657" s="3"/>
      <c r="G657" s="3"/>
      <c r="H657" s="3"/>
      <c r="I657" s="3"/>
    </row>
    <row r="658" spans="1:9" ht="25" customHeight="1" x14ac:dyDescent="0.15">
      <c r="A658" s="3"/>
      <c r="B658" s="3"/>
      <c r="C658" s="3"/>
      <c r="D658" s="3"/>
      <c r="E658" s="3"/>
      <c r="F658" s="3"/>
      <c r="G658" s="3"/>
      <c r="H658" s="3"/>
      <c r="I658" s="3"/>
    </row>
    <row r="659" spans="1:9" ht="25" customHeight="1" x14ac:dyDescent="0.15">
      <c r="A659" s="3"/>
      <c r="B659" s="3"/>
      <c r="C659" s="3"/>
      <c r="D659" s="3"/>
      <c r="E659" s="3"/>
      <c r="F659" s="3"/>
      <c r="G659" s="3"/>
      <c r="H659" s="3"/>
      <c r="I659" s="3"/>
    </row>
    <row r="660" spans="1:9" ht="25" customHeight="1" x14ac:dyDescent="0.15">
      <c r="A660" s="3"/>
      <c r="B660" s="3"/>
      <c r="C660" s="3"/>
      <c r="D660" s="3"/>
      <c r="E660" s="3"/>
      <c r="F660" s="3"/>
      <c r="G660" s="3"/>
      <c r="H660" s="3"/>
      <c r="I660" s="3"/>
    </row>
    <row r="661" spans="1:9" ht="25" customHeight="1" x14ac:dyDescent="0.15">
      <c r="A661" s="3"/>
      <c r="B661" s="3"/>
      <c r="C661" s="3"/>
      <c r="D661" s="3"/>
      <c r="E661" s="3"/>
      <c r="F661" s="3"/>
      <c r="G661" s="3"/>
      <c r="H661" s="3"/>
      <c r="I661" s="3"/>
    </row>
    <row r="662" spans="1:9" ht="25" customHeight="1" x14ac:dyDescent="0.15">
      <c r="A662" s="3"/>
      <c r="B662" s="3"/>
      <c r="C662" s="3"/>
      <c r="D662" s="3"/>
      <c r="E662" s="3"/>
      <c r="F662" s="3"/>
      <c r="G662" s="3"/>
      <c r="H662" s="3"/>
      <c r="I662" s="3"/>
    </row>
    <row r="663" spans="1:9" ht="25" customHeight="1" x14ac:dyDescent="0.15">
      <c r="A663" s="3"/>
      <c r="B663" s="3"/>
      <c r="C663" s="3"/>
      <c r="D663" s="3"/>
      <c r="E663" s="3"/>
      <c r="F663" s="3"/>
      <c r="G663" s="3"/>
      <c r="H663" s="3"/>
      <c r="I663" s="3"/>
    </row>
    <row r="664" spans="1:9" ht="25" customHeight="1" x14ac:dyDescent="0.15">
      <c r="A664" s="3"/>
      <c r="B664" s="3"/>
      <c r="C664" s="3"/>
      <c r="D664" s="3"/>
      <c r="E664" s="3"/>
      <c r="F664" s="3"/>
      <c r="G664" s="3"/>
      <c r="H664" s="3"/>
      <c r="I664" s="3"/>
    </row>
    <row r="665" spans="1:9" ht="25" customHeight="1" x14ac:dyDescent="0.15">
      <c r="A665" s="3"/>
      <c r="B665" s="3"/>
      <c r="C665" s="3"/>
      <c r="D665" s="3"/>
      <c r="E665" s="3"/>
      <c r="F665" s="3"/>
      <c r="G665" s="3"/>
      <c r="H665" s="3"/>
      <c r="I665" s="3"/>
    </row>
    <row r="666" spans="1:9" ht="25" customHeight="1" x14ac:dyDescent="0.15">
      <c r="A666" s="3"/>
      <c r="B666" s="3"/>
      <c r="C666" s="3"/>
      <c r="D666" s="3"/>
      <c r="E666" s="3"/>
      <c r="F666" s="3"/>
      <c r="G666" s="3"/>
      <c r="H666" s="3"/>
      <c r="I666" s="3"/>
    </row>
    <row r="667" spans="1:9" ht="25" customHeight="1" x14ac:dyDescent="0.15">
      <c r="A667" s="3"/>
      <c r="B667" s="3"/>
      <c r="C667" s="3"/>
      <c r="D667" s="3"/>
      <c r="E667" s="3"/>
      <c r="F667" s="3"/>
      <c r="G667" s="3"/>
      <c r="H667" s="3"/>
      <c r="I667" s="3"/>
    </row>
    <row r="668" spans="1:9" ht="25" customHeight="1" x14ac:dyDescent="0.15">
      <c r="A668" s="3"/>
      <c r="B668" s="3"/>
      <c r="C668" s="3"/>
      <c r="D668" s="3"/>
      <c r="E668" s="3"/>
      <c r="F668" s="3"/>
      <c r="G668" s="3"/>
      <c r="H668" s="3"/>
      <c r="I668" s="3"/>
    </row>
    <row r="669" spans="1:9" ht="25" customHeight="1" x14ac:dyDescent="0.15">
      <c r="A669" s="3"/>
      <c r="B669" s="3"/>
      <c r="C669" s="3"/>
      <c r="D669" s="3"/>
      <c r="E669" s="3"/>
      <c r="F669" s="3"/>
      <c r="G669" s="3"/>
      <c r="H669" s="3"/>
      <c r="I669" s="3"/>
    </row>
    <row r="670" spans="1:9" ht="25" customHeight="1" x14ac:dyDescent="0.15">
      <c r="A670" s="3"/>
      <c r="B670" s="3"/>
      <c r="C670" s="3"/>
      <c r="D670" s="3"/>
      <c r="E670" s="3"/>
      <c r="F670" s="3"/>
      <c r="G670" s="3"/>
      <c r="H670" s="3"/>
      <c r="I670" s="3"/>
    </row>
    <row r="671" spans="1:9" ht="25" customHeight="1" x14ac:dyDescent="0.15">
      <c r="A671" s="3"/>
      <c r="B671" s="3"/>
      <c r="C671" s="3"/>
      <c r="D671" s="3"/>
      <c r="E671" s="3"/>
      <c r="F671" s="3"/>
      <c r="G671" s="3"/>
      <c r="H671" s="3"/>
      <c r="I671" s="3"/>
    </row>
    <row r="672" spans="1:9" ht="25" customHeight="1" x14ac:dyDescent="0.15">
      <c r="A672" s="3"/>
      <c r="B672" s="3"/>
      <c r="C672" s="3"/>
      <c r="D672" s="3"/>
      <c r="E672" s="3"/>
      <c r="F672" s="3"/>
      <c r="G672" s="3"/>
      <c r="H672" s="3"/>
      <c r="I672" s="3"/>
    </row>
    <row r="673" spans="1:9" ht="25" customHeight="1" x14ac:dyDescent="0.15">
      <c r="A673" s="3"/>
      <c r="B673" s="3"/>
      <c r="C673" s="3"/>
      <c r="D673" s="3"/>
      <c r="E673" s="3"/>
      <c r="F673" s="3"/>
      <c r="G673" s="3"/>
      <c r="H673" s="3"/>
      <c r="I673" s="3"/>
    </row>
    <row r="674" spans="1:9" ht="25" customHeight="1" x14ac:dyDescent="0.15">
      <c r="A674" s="3"/>
      <c r="B674" s="3"/>
      <c r="C674" s="3"/>
      <c r="D674" s="3"/>
      <c r="E674" s="3"/>
      <c r="F674" s="3"/>
      <c r="G674" s="3"/>
      <c r="H674" s="3"/>
      <c r="I674" s="3"/>
    </row>
    <row r="675" spans="1:9" ht="25" customHeight="1" x14ac:dyDescent="0.15">
      <c r="A675" s="3"/>
      <c r="B675" s="3"/>
      <c r="C675" s="3"/>
      <c r="D675" s="3"/>
      <c r="E675" s="3"/>
      <c r="F675" s="3"/>
      <c r="G675" s="3"/>
      <c r="H675" s="3"/>
      <c r="I675" s="3"/>
    </row>
    <row r="676" spans="1:9" ht="25" customHeight="1" x14ac:dyDescent="0.15">
      <c r="A676" s="3"/>
      <c r="B676" s="3"/>
      <c r="C676" s="3"/>
      <c r="D676" s="3"/>
      <c r="E676" s="3"/>
      <c r="F676" s="3"/>
      <c r="G676" s="3"/>
      <c r="H676" s="3"/>
      <c r="I676" s="3"/>
    </row>
    <row r="677" spans="1:9" ht="25" customHeight="1" x14ac:dyDescent="0.15">
      <c r="A677" s="3"/>
      <c r="B677" s="3"/>
      <c r="C677" s="3"/>
      <c r="D677" s="3"/>
      <c r="E677" s="3"/>
      <c r="F677" s="3"/>
      <c r="G677" s="3"/>
      <c r="H677" s="3"/>
      <c r="I677" s="3"/>
    </row>
    <row r="678" spans="1:9" ht="25" customHeight="1" x14ac:dyDescent="0.15">
      <c r="A678" s="3"/>
      <c r="B678" s="3"/>
      <c r="C678" s="3"/>
      <c r="D678" s="3"/>
      <c r="E678" s="3"/>
      <c r="F678" s="3"/>
      <c r="G678" s="3"/>
      <c r="H678" s="3"/>
      <c r="I678" s="3"/>
    </row>
    <row r="679" spans="1:9" ht="25" customHeight="1" x14ac:dyDescent="0.15">
      <c r="A679" s="3"/>
      <c r="B679" s="3"/>
      <c r="C679" s="3"/>
      <c r="D679" s="3"/>
      <c r="E679" s="3"/>
      <c r="F679" s="3"/>
      <c r="G679" s="3"/>
      <c r="H679" s="3"/>
      <c r="I679" s="3"/>
    </row>
    <row r="680" spans="1:9" ht="25" customHeight="1" x14ac:dyDescent="0.15">
      <c r="A680" s="3"/>
      <c r="B680" s="3"/>
      <c r="C680" s="3"/>
      <c r="D680" s="3"/>
      <c r="E680" s="3"/>
      <c r="F680" s="3"/>
      <c r="G680" s="3"/>
      <c r="H680" s="3"/>
      <c r="I680" s="3"/>
    </row>
    <row r="681" spans="1:9" ht="25" customHeight="1" x14ac:dyDescent="0.15">
      <c r="A681" s="3"/>
      <c r="B681" s="3"/>
      <c r="C681" s="3"/>
      <c r="D681" s="3"/>
      <c r="E681" s="3"/>
      <c r="F681" s="3"/>
      <c r="G681" s="3"/>
      <c r="H681" s="3"/>
      <c r="I681" s="3"/>
    </row>
    <row r="682" spans="1:9" ht="25" customHeight="1" x14ac:dyDescent="0.15">
      <c r="A682" s="3"/>
      <c r="B682" s="3"/>
      <c r="C682" s="3"/>
      <c r="D682" s="3"/>
      <c r="E682" s="3"/>
      <c r="F682" s="3"/>
      <c r="G682" s="3"/>
      <c r="H682" s="3"/>
      <c r="I682" s="3"/>
    </row>
    <row r="683" spans="1:9" ht="25" customHeight="1" x14ac:dyDescent="0.15">
      <c r="A683" s="3"/>
      <c r="B683" s="3"/>
      <c r="C683" s="3"/>
      <c r="D683" s="3"/>
      <c r="E683" s="3"/>
      <c r="F683" s="3"/>
      <c r="G683" s="3"/>
      <c r="H683" s="3"/>
      <c r="I683" s="3"/>
    </row>
    <row r="684" spans="1:9" ht="25" customHeight="1" x14ac:dyDescent="0.15">
      <c r="A684" s="3"/>
      <c r="B684" s="3"/>
      <c r="C684" s="3"/>
      <c r="D684" s="3"/>
      <c r="E684" s="3"/>
      <c r="F684" s="3"/>
      <c r="G684" s="3"/>
      <c r="H684" s="3"/>
      <c r="I684" s="3"/>
    </row>
    <row r="685" spans="1:9" ht="25" customHeight="1" x14ac:dyDescent="0.15">
      <c r="A685" s="3"/>
      <c r="B685" s="3"/>
      <c r="C685" s="3"/>
      <c r="D685" s="3"/>
      <c r="E685" s="3"/>
      <c r="F685" s="3"/>
      <c r="G685" s="3"/>
      <c r="H685" s="3"/>
      <c r="I685" s="3"/>
    </row>
    <row r="686" spans="1:9" ht="25" customHeight="1" x14ac:dyDescent="0.15">
      <c r="A686" s="3"/>
      <c r="B686" s="3"/>
      <c r="C686" s="3"/>
      <c r="D686" s="3"/>
      <c r="E686" s="3"/>
      <c r="F686" s="3"/>
      <c r="G686" s="3"/>
      <c r="H686" s="3"/>
      <c r="I686" s="3"/>
    </row>
    <row r="687" spans="1:9" ht="25" customHeight="1" x14ac:dyDescent="0.15">
      <c r="A687" s="3"/>
      <c r="B687" s="3"/>
      <c r="C687" s="3"/>
      <c r="D687" s="3"/>
      <c r="E687" s="3"/>
      <c r="F687" s="3"/>
      <c r="G687" s="3"/>
      <c r="H687" s="3"/>
      <c r="I687" s="3"/>
    </row>
    <row r="688" spans="1:9" ht="25" customHeight="1" x14ac:dyDescent="0.15">
      <c r="A688" s="3"/>
      <c r="B688" s="3"/>
      <c r="C688" s="3"/>
      <c r="D688" s="3"/>
      <c r="E688" s="3"/>
      <c r="F688" s="3"/>
      <c r="G688" s="3"/>
      <c r="H688" s="3"/>
      <c r="I688" s="3"/>
    </row>
    <row r="689" spans="1:9" ht="25" customHeight="1" x14ac:dyDescent="0.15">
      <c r="A689" s="3"/>
      <c r="B689" s="3"/>
      <c r="C689" s="3"/>
      <c r="D689" s="3"/>
      <c r="E689" s="3"/>
      <c r="F689" s="3"/>
      <c r="G689" s="3"/>
      <c r="H689" s="3"/>
      <c r="I689" s="3"/>
    </row>
    <row r="690" spans="1:9" ht="25" customHeight="1" x14ac:dyDescent="0.15">
      <c r="A690" s="3"/>
      <c r="B690" s="3"/>
      <c r="C690" s="3"/>
      <c r="D690" s="3"/>
      <c r="E690" s="3"/>
      <c r="F690" s="3"/>
      <c r="G690" s="3"/>
      <c r="H690" s="3"/>
      <c r="I690" s="3"/>
    </row>
    <row r="691" spans="1:9" ht="25" customHeight="1" x14ac:dyDescent="0.15">
      <c r="A691" s="3"/>
      <c r="B691" s="3"/>
      <c r="C691" s="3"/>
      <c r="D691" s="3"/>
      <c r="E691" s="3"/>
      <c r="F691" s="3"/>
      <c r="G691" s="3"/>
      <c r="H691" s="3"/>
      <c r="I691" s="3"/>
    </row>
    <row r="692" spans="1:9" ht="25" customHeight="1" x14ac:dyDescent="0.15">
      <c r="A692" s="3"/>
      <c r="B692" s="3"/>
      <c r="C692" s="3"/>
      <c r="D692" s="3"/>
      <c r="E692" s="3"/>
      <c r="F692" s="3"/>
      <c r="G692" s="3"/>
      <c r="H692" s="3"/>
      <c r="I692" s="3"/>
    </row>
    <row r="693" spans="1:9" ht="25" customHeight="1" x14ac:dyDescent="0.15">
      <c r="A693" s="3"/>
      <c r="B693" s="3"/>
      <c r="C693" s="3"/>
      <c r="D693" s="3"/>
      <c r="E693" s="3"/>
      <c r="F693" s="3"/>
      <c r="G693" s="3"/>
      <c r="H693" s="3"/>
      <c r="I693" s="3"/>
    </row>
    <row r="694" spans="1:9" ht="25" customHeight="1" x14ac:dyDescent="0.15">
      <c r="A694" s="3"/>
      <c r="B694" s="3"/>
      <c r="C694" s="3"/>
      <c r="D694" s="3"/>
      <c r="E694" s="3"/>
      <c r="F694" s="3"/>
      <c r="G694" s="3"/>
      <c r="H694" s="3"/>
      <c r="I694" s="3"/>
    </row>
    <row r="695" spans="1:9" ht="25" customHeight="1" x14ac:dyDescent="0.15">
      <c r="A695" s="3"/>
      <c r="B695" s="3"/>
      <c r="C695" s="3"/>
      <c r="D695" s="3"/>
      <c r="E695" s="3"/>
      <c r="F695" s="3"/>
      <c r="G695" s="3"/>
      <c r="H695" s="3"/>
      <c r="I695" s="3"/>
    </row>
    <row r="696" spans="1:9" ht="25" customHeight="1" x14ac:dyDescent="0.15">
      <c r="A696" s="3"/>
      <c r="B696" s="3"/>
      <c r="C696" s="3"/>
      <c r="D696" s="3"/>
      <c r="E696" s="3"/>
      <c r="F696" s="3"/>
      <c r="G696" s="3"/>
      <c r="H696" s="3"/>
      <c r="I696" s="3"/>
    </row>
    <row r="697" spans="1:9" ht="25" customHeight="1" x14ac:dyDescent="0.15">
      <c r="A697" s="3"/>
      <c r="B697" s="3"/>
      <c r="C697" s="3"/>
      <c r="D697" s="3"/>
      <c r="E697" s="3"/>
      <c r="F697" s="3"/>
      <c r="G697" s="3"/>
      <c r="H697" s="3"/>
      <c r="I697" s="3"/>
    </row>
    <row r="698" spans="1:9" ht="25" customHeight="1" x14ac:dyDescent="0.15">
      <c r="A698" s="3"/>
      <c r="B698" s="3"/>
      <c r="C698" s="3"/>
      <c r="D698" s="3"/>
      <c r="E698" s="3"/>
      <c r="F698" s="3"/>
      <c r="G698" s="3"/>
      <c r="H698" s="3"/>
      <c r="I698" s="3"/>
    </row>
    <row r="699" spans="1:9" ht="25" customHeight="1" x14ac:dyDescent="0.15">
      <c r="A699" s="3"/>
      <c r="B699" s="3"/>
      <c r="C699" s="3"/>
      <c r="D699" s="3"/>
      <c r="E699" s="3"/>
      <c r="F699" s="3"/>
      <c r="G699" s="3"/>
      <c r="H699" s="3"/>
      <c r="I699" s="3"/>
    </row>
    <row r="700" spans="1:9" ht="25" customHeight="1" x14ac:dyDescent="0.15">
      <c r="A700" s="3"/>
      <c r="B700" s="3"/>
      <c r="C700" s="3"/>
      <c r="D700" s="3"/>
      <c r="E700" s="3"/>
      <c r="F700" s="3"/>
      <c r="G700" s="3"/>
      <c r="H700" s="3"/>
      <c r="I700" s="3"/>
    </row>
    <row r="701" spans="1:9" ht="25" customHeight="1" x14ac:dyDescent="0.15">
      <c r="A701" s="3"/>
      <c r="B701" s="3"/>
      <c r="C701" s="3"/>
      <c r="D701" s="3"/>
      <c r="E701" s="3"/>
      <c r="F701" s="3"/>
      <c r="G701" s="3"/>
      <c r="H701" s="3"/>
      <c r="I701" s="3"/>
    </row>
    <row r="702" spans="1:9" ht="25" customHeight="1" x14ac:dyDescent="0.15">
      <c r="A702" s="3"/>
      <c r="B702" s="3"/>
      <c r="C702" s="3"/>
      <c r="D702" s="3"/>
      <c r="E702" s="3"/>
      <c r="F702" s="3"/>
      <c r="G702" s="3"/>
      <c r="H702" s="3"/>
      <c r="I702" s="3"/>
    </row>
    <row r="703" spans="1:9" ht="25" customHeight="1" x14ac:dyDescent="0.15">
      <c r="A703" s="3"/>
      <c r="B703" s="3"/>
      <c r="C703" s="3"/>
      <c r="D703" s="3"/>
      <c r="E703" s="3"/>
      <c r="F703" s="3"/>
      <c r="G703" s="3"/>
      <c r="H703" s="3"/>
      <c r="I703" s="3"/>
    </row>
    <row r="704" spans="1:9" ht="25" customHeight="1" x14ac:dyDescent="0.15">
      <c r="A704" s="3"/>
      <c r="B704" s="3"/>
      <c r="C704" s="3"/>
      <c r="D704" s="3"/>
      <c r="E704" s="3"/>
      <c r="F704" s="3"/>
      <c r="G704" s="3"/>
      <c r="H704" s="3"/>
      <c r="I704" s="3"/>
    </row>
    <row r="705" spans="1:9" ht="25" customHeight="1" x14ac:dyDescent="0.15">
      <c r="A705" s="3"/>
      <c r="B705" s="3"/>
      <c r="C705" s="3"/>
      <c r="D705" s="3"/>
      <c r="E705" s="3"/>
      <c r="F705" s="3"/>
      <c r="G705" s="3"/>
      <c r="H705" s="3"/>
      <c r="I705" s="3"/>
    </row>
    <row r="706" spans="1:9" ht="25" customHeight="1" x14ac:dyDescent="0.15">
      <c r="A706" s="3"/>
      <c r="B706" s="3"/>
      <c r="C706" s="3"/>
      <c r="D706" s="3"/>
      <c r="E706" s="3"/>
      <c r="F706" s="3"/>
      <c r="G706" s="3"/>
      <c r="H706" s="3"/>
      <c r="I706" s="3"/>
    </row>
    <row r="707" spans="1:9" ht="25" customHeight="1" x14ac:dyDescent="0.15">
      <c r="A707" s="3"/>
      <c r="B707" s="3"/>
      <c r="C707" s="3"/>
      <c r="D707" s="3"/>
      <c r="E707" s="3"/>
      <c r="F707" s="3"/>
      <c r="G707" s="3"/>
      <c r="H707" s="3"/>
      <c r="I707" s="3"/>
    </row>
    <row r="708" spans="1:9" ht="25" customHeight="1" x14ac:dyDescent="0.15">
      <c r="A708" s="3"/>
      <c r="B708" s="3"/>
      <c r="C708" s="3"/>
      <c r="D708" s="3"/>
      <c r="E708" s="3"/>
      <c r="F708" s="3"/>
      <c r="G708" s="3"/>
      <c r="H708" s="3"/>
      <c r="I708" s="3"/>
    </row>
    <row r="709" spans="1:9" ht="25" customHeight="1" x14ac:dyDescent="0.15">
      <c r="A709" s="3"/>
      <c r="B709" s="3"/>
      <c r="C709" s="3"/>
      <c r="D709" s="3"/>
      <c r="E709" s="3"/>
      <c r="F709" s="3"/>
      <c r="G709" s="3"/>
      <c r="H709" s="3"/>
      <c r="I709" s="3"/>
    </row>
    <row r="710" spans="1:9" ht="25" customHeight="1" x14ac:dyDescent="0.15">
      <c r="A710" s="3"/>
      <c r="B710" s="3"/>
      <c r="C710" s="3"/>
      <c r="D710" s="3"/>
      <c r="E710" s="3"/>
      <c r="F710" s="3"/>
      <c r="G710" s="3"/>
      <c r="H710" s="3"/>
      <c r="I710" s="3"/>
    </row>
    <row r="711" spans="1:9" ht="25" customHeight="1" x14ac:dyDescent="0.15">
      <c r="A711" s="3"/>
      <c r="B711" s="3"/>
      <c r="C711" s="3"/>
      <c r="D711" s="3"/>
      <c r="E711" s="3"/>
      <c r="F711" s="3"/>
      <c r="G711" s="3"/>
      <c r="H711" s="3"/>
      <c r="I711" s="3"/>
    </row>
    <row r="712" spans="1:9" ht="25" customHeight="1" x14ac:dyDescent="0.15">
      <c r="A712" s="3"/>
      <c r="B712" s="3"/>
      <c r="C712" s="3"/>
      <c r="D712" s="3"/>
      <c r="E712" s="3"/>
      <c r="F712" s="3"/>
      <c r="G712" s="3"/>
      <c r="H712" s="3"/>
      <c r="I712" s="3"/>
    </row>
    <row r="713" spans="1:9" ht="25" customHeight="1" x14ac:dyDescent="0.15">
      <c r="A713" s="3"/>
      <c r="B713" s="3"/>
      <c r="C713" s="3"/>
      <c r="D713" s="3"/>
      <c r="E713" s="3"/>
      <c r="F713" s="3"/>
      <c r="G713" s="3"/>
      <c r="H713" s="3"/>
      <c r="I713" s="3"/>
    </row>
    <row r="714" spans="1:9" ht="25" customHeight="1" x14ac:dyDescent="0.15">
      <c r="A714" s="3"/>
      <c r="B714" s="3"/>
      <c r="C714" s="3"/>
      <c r="D714" s="3"/>
      <c r="E714" s="3"/>
      <c r="F714" s="3"/>
      <c r="G714" s="3"/>
      <c r="H714" s="3"/>
      <c r="I714" s="3"/>
    </row>
    <row r="715" spans="1:9" ht="25" customHeight="1" x14ac:dyDescent="0.15">
      <c r="A715" s="3"/>
      <c r="B715" s="3"/>
      <c r="C715" s="3"/>
      <c r="D715" s="3"/>
      <c r="E715" s="3"/>
      <c r="F715" s="3"/>
      <c r="G715" s="3"/>
      <c r="H715" s="3"/>
      <c r="I715" s="3"/>
    </row>
    <row r="716" spans="1:9" ht="25" customHeight="1" x14ac:dyDescent="0.15">
      <c r="A716" s="3"/>
      <c r="B716" s="3"/>
      <c r="C716" s="3"/>
      <c r="D716" s="3"/>
      <c r="E716" s="3"/>
      <c r="F716" s="3"/>
      <c r="G716" s="3"/>
      <c r="H716" s="3"/>
      <c r="I716" s="3"/>
    </row>
    <row r="717" spans="1:9" ht="25" customHeight="1" x14ac:dyDescent="0.15">
      <c r="A717" s="3"/>
      <c r="B717" s="3"/>
      <c r="C717" s="3"/>
      <c r="D717" s="3"/>
      <c r="E717" s="3"/>
      <c r="F717" s="3"/>
      <c r="G717" s="3"/>
      <c r="H717" s="3"/>
      <c r="I717" s="3"/>
    </row>
    <row r="718" spans="1:9" ht="25" customHeight="1" x14ac:dyDescent="0.15">
      <c r="A718" s="3"/>
      <c r="B718" s="3"/>
      <c r="C718" s="3"/>
      <c r="D718" s="3"/>
      <c r="E718" s="3"/>
      <c r="F718" s="3"/>
      <c r="G718" s="3"/>
      <c r="H718" s="3"/>
      <c r="I718" s="3"/>
    </row>
    <row r="719" spans="1:9" ht="25" customHeight="1" x14ac:dyDescent="0.15">
      <c r="A719" s="3"/>
      <c r="B719" s="3"/>
      <c r="C719" s="3"/>
      <c r="D719" s="3"/>
      <c r="E719" s="3"/>
      <c r="F719" s="3"/>
      <c r="G719" s="3"/>
      <c r="H719" s="3"/>
      <c r="I719" s="3"/>
    </row>
    <row r="720" spans="1:9" ht="25" customHeight="1" x14ac:dyDescent="0.15">
      <c r="A720" s="3"/>
      <c r="B720" s="3"/>
      <c r="C720" s="3"/>
      <c r="D720" s="3"/>
      <c r="E720" s="3"/>
      <c r="F720" s="3"/>
      <c r="G720" s="3"/>
      <c r="H720" s="3"/>
      <c r="I720" s="3"/>
    </row>
    <row r="721" spans="1:9" ht="25" customHeight="1" x14ac:dyDescent="0.15">
      <c r="A721" s="3"/>
      <c r="B721" s="3"/>
      <c r="C721" s="3"/>
      <c r="D721" s="3"/>
      <c r="E721" s="3"/>
      <c r="F721" s="3"/>
      <c r="G721" s="3"/>
      <c r="H721" s="3"/>
      <c r="I721" s="3"/>
    </row>
    <row r="722" spans="1:9" ht="25" customHeight="1" x14ac:dyDescent="0.15">
      <c r="A722" s="3"/>
      <c r="B722" s="3"/>
      <c r="C722" s="3"/>
      <c r="D722" s="3"/>
      <c r="E722" s="3"/>
      <c r="F722" s="3"/>
      <c r="G722" s="3"/>
      <c r="H722" s="3"/>
      <c r="I722" s="3"/>
    </row>
    <row r="723" spans="1:9" ht="25" customHeight="1" x14ac:dyDescent="0.15">
      <c r="A723" s="3"/>
      <c r="B723" s="3"/>
      <c r="C723" s="3"/>
      <c r="D723" s="3"/>
      <c r="E723" s="3"/>
      <c r="F723" s="3"/>
      <c r="G723" s="3"/>
      <c r="H723" s="3"/>
      <c r="I723" s="3"/>
    </row>
    <row r="724" spans="1:9" ht="25" customHeight="1" x14ac:dyDescent="0.15">
      <c r="A724" s="3"/>
      <c r="B724" s="3"/>
      <c r="C724" s="3"/>
      <c r="D724" s="3"/>
      <c r="E724" s="3"/>
      <c r="F724" s="3"/>
      <c r="G724" s="3"/>
      <c r="H724" s="3"/>
      <c r="I724" s="3"/>
    </row>
    <row r="725" spans="1:9" ht="25" customHeight="1" x14ac:dyDescent="0.15">
      <c r="A725" s="3"/>
      <c r="B725" s="3"/>
      <c r="C725" s="3"/>
      <c r="D725" s="3"/>
      <c r="E725" s="3"/>
      <c r="F725" s="3"/>
      <c r="G725" s="3"/>
      <c r="H725" s="3"/>
      <c r="I725" s="3"/>
    </row>
    <row r="726" spans="1:9" ht="25" customHeight="1" x14ac:dyDescent="0.15">
      <c r="A726" s="3"/>
      <c r="B726" s="3"/>
      <c r="C726" s="3"/>
      <c r="D726" s="3"/>
      <c r="E726" s="3"/>
      <c r="F726" s="3"/>
      <c r="G726" s="3"/>
      <c r="H726" s="3"/>
      <c r="I726" s="3"/>
    </row>
    <row r="727" spans="1:9" ht="25" customHeight="1" x14ac:dyDescent="0.15">
      <c r="A727" s="3"/>
      <c r="B727" s="3"/>
      <c r="C727" s="3"/>
      <c r="D727" s="3"/>
      <c r="E727" s="3"/>
      <c r="F727" s="3"/>
      <c r="G727" s="3"/>
      <c r="H727" s="3"/>
      <c r="I727" s="3"/>
    </row>
    <row r="728" spans="1:9" ht="25" customHeight="1" x14ac:dyDescent="0.15">
      <c r="A728" s="3"/>
      <c r="B728" s="3"/>
      <c r="C728" s="3"/>
      <c r="D728" s="3"/>
      <c r="E728" s="3"/>
      <c r="F728" s="3"/>
      <c r="G728" s="3"/>
      <c r="H728" s="3"/>
      <c r="I728" s="3"/>
    </row>
    <row r="729" spans="1:9" ht="25" customHeight="1" x14ac:dyDescent="0.15">
      <c r="A729" s="3"/>
      <c r="B729" s="3"/>
      <c r="C729" s="3"/>
      <c r="D729" s="3"/>
      <c r="E729" s="3"/>
      <c r="F729" s="3"/>
      <c r="G729" s="3"/>
      <c r="H729" s="3"/>
      <c r="I729" s="3"/>
    </row>
    <row r="730" spans="1:9" ht="25" customHeight="1" x14ac:dyDescent="0.15">
      <c r="A730" s="3"/>
      <c r="B730" s="3"/>
      <c r="C730" s="3"/>
      <c r="D730" s="3"/>
      <c r="E730" s="3"/>
      <c r="F730" s="3"/>
      <c r="G730" s="3"/>
      <c r="H730" s="3"/>
      <c r="I730" s="3"/>
    </row>
    <row r="731" spans="1:9" ht="25" customHeight="1" x14ac:dyDescent="0.15">
      <c r="A731" s="3"/>
      <c r="B731" s="3"/>
      <c r="C731" s="3"/>
      <c r="D731" s="3"/>
      <c r="E731" s="3"/>
      <c r="F731" s="3"/>
      <c r="G731" s="3"/>
      <c r="H731" s="3"/>
      <c r="I731" s="3"/>
    </row>
    <row r="732" spans="1:9" ht="25" customHeight="1" x14ac:dyDescent="0.15">
      <c r="A732" s="3"/>
      <c r="B732" s="3"/>
      <c r="C732" s="3"/>
      <c r="D732" s="3"/>
      <c r="E732" s="3"/>
      <c r="F732" s="3"/>
      <c r="G732" s="3"/>
      <c r="H732" s="3"/>
      <c r="I732" s="3"/>
    </row>
    <row r="733" spans="1:9" ht="25" customHeight="1" x14ac:dyDescent="0.15">
      <c r="A733" s="3"/>
      <c r="B733" s="3"/>
      <c r="C733" s="3"/>
      <c r="D733" s="3"/>
      <c r="E733" s="3"/>
      <c r="F733" s="3"/>
      <c r="G733" s="3"/>
      <c r="H733" s="3"/>
      <c r="I733" s="3"/>
    </row>
    <row r="734" spans="1:9" ht="25" customHeight="1" x14ac:dyDescent="0.15">
      <c r="A734" s="3"/>
      <c r="B734" s="3"/>
      <c r="C734" s="3"/>
      <c r="D734" s="3"/>
      <c r="E734" s="3"/>
      <c r="F734" s="3"/>
      <c r="G734" s="3"/>
      <c r="H734" s="3"/>
      <c r="I734" s="3"/>
    </row>
    <row r="735" spans="1:9" ht="25" customHeight="1" x14ac:dyDescent="0.15">
      <c r="A735" s="3"/>
      <c r="B735" s="3"/>
      <c r="C735" s="3"/>
      <c r="D735" s="3"/>
      <c r="E735" s="3"/>
      <c r="F735" s="3"/>
      <c r="G735" s="3"/>
      <c r="H735" s="3"/>
      <c r="I735" s="3"/>
    </row>
    <row r="736" spans="1:9" ht="25" customHeight="1" x14ac:dyDescent="0.15">
      <c r="A736" s="3"/>
      <c r="B736" s="3"/>
      <c r="C736" s="3"/>
      <c r="D736" s="3"/>
      <c r="E736" s="3"/>
      <c r="F736" s="3"/>
      <c r="G736" s="3"/>
      <c r="H736" s="3"/>
      <c r="I736" s="3"/>
    </row>
    <row r="737" spans="1:9" ht="25" customHeight="1" x14ac:dyDescent="0.15">
      <c r="A737" s="3"/>
      <c r="B737" s="3"/>
      <c r="C737" s="3"/>
      <c r="D737" s="3"/>
      <c r="E737" s="3"/>
      <c r="F737" s="3"/>
      <c r="G737" s="3"/>
      <c r="H737" s="3"/>
      <c r="I737" s="3"/>
    </row>
    <row r="738" spans="1:9" ht="25" customHeight="1" x14ac:dyDescent="0.15">
      <c r="A738" s="3"/>
      <c r="B738" s="3"/>
      <c r="C738" s="3"/>
      <c r="D738" s="3"/>
      <c r="E738" s="3"/>
      <c r="F738" s="3"/>
      <c r="G738" s="3"/>
      <c r="H738" s="3"/>
      <c r="I738" s="3"/>
    </row>
    <row r="739" spans="1:9" ht="25" customHeight="1" x14ac:dyDescent="0.15">
      <c r="A739" s="3"/>
      <c r="B739" s="3"/>
      <c r="C739" s="3"/>
      <c r="D739" s="3"/>
      <c r="E739" s="3"/>
      <c r="F739" s="3"/>
      <c r="G739" s="3"/>
      <c r="H739" s="3"/>
      <c r="I739" s="3"/>
    </row>
    <row r="740" spans="1:9" ht="25" customHeight="1" x14ac:dyDescent="0.15">
      <c r="A740" s="3"/>
      <c r="B740" s="3"/>
      <c r="C740" s="3"/>
      <c r="D740" s="3"/>
      <c r="E740" s="3"/>
      <c r="F740" s="3"/>
      <c r="G740" s="3"/>
      <c r="H740" s="3"/>
      <c r="I740" s="3"/>
    </row>
    <row r="741" spans="1:9" ht="25" customHeight="1" x14ac:dyDescent="0.15">
      <c r="A741" s="3"/>
      <c r="B741" s="3"/>
      <c r="C741" s="3"/>
      <c r="D741" s="3"/>
      <c r="E741" s="3"/>
      <c r="F741" s="3"/>
      <c r="G741" s="3"/>
      <c r="H741" s="3"/>
      <c r="I741" s="3"/>
    </row>
    <row r="742" spans="1:9" ht="25" customHeight="1" x14ac:dyDescent="0.15">
      <c r="A742" s="3"/>
      <c r="B742" s="3"/>
      <c r="C742" s="3"/>
      <c r="D742" s="3"/>
      <c r="E742" s="3"/>
      <c r="F742" s="3"/>
      <c r="G742" s="3"/>
      <c r="H742" s="3"/>
      <c r="I742" s="3"/>
    </row>
    <row r="743" spans="1:9" ht="25" customHeight="1" x14ac:dyDescent="0.15">
      <c r="A743" s="3"/>
      <c r="B743" s="3"/>
      <c r="C743" s="3"/>
      <c r="D743" s="3"/>
      <c r="E743" s="3"/>
      <c r="F743" s="3"/>
      <c r="G743" s="3"/>
      <c r="H743" s="3"/>
      <c r="I743" s="3"/>
    </row>
    <row r="744" spans="1:9" ht="25" customHeight="1" x14ac:dyDescent="0.15">
      <c r="A744" s="3"/>
      <c r="B744" s="3"/>
      <c r="C744" s="3"/>
      <c r="D744" s="3"/>
      <c r="E744" s="3"/>
      <c r="F744" s="3"/>
      <c r="G744" s="3"/>
      <c r="H744" s="3"/>
      <c r="I744" s="3"/>
    </row>
    <row r="745" spans="1:9" ht="25" customHeight="1" x14ac:dyDescent="0.15">
      <c r="A745" s="3"/>
      <c r="B745" s="3"/>
      <c r="C745" s="3"/>
      <c r="D745" s="3"/>
      <c r="E745" s="3"/>
      <c r="F745" s="3"/>
      <c r="G745" s="3"/>
      <c r="H745" s="3"/>
      <c r="I745" s="3"/>
    </row>
    <row r="746" spans="1:9" ht="25" customHeight="1" x14ac:dyDescent="0.15">
      <c r="A746" s="3"/>
      <c r="B746" s="3"/>
      <c r="C746" s="3"/>
      <c r="D746" s="3"/>
      <c r="E746" s="3"/>
      <c r="F746" s="3"/>
      <c r="G746" s="3"/>
      <c r="H746" s="3"/>
      <c r="I746" s="3"/>
    </row>
    <row r="747" spans="1:9" ht="25" customHeight="1" x14ac:dyDescent="0.15">
      <c r="A747" s="3"/>
      <c r="B747" s="3"/>
      <c r="C747" s="3"/>
      <c r="D747" s="3"/>
      <c r="E747" s="3"/>
      <c r="F747" s="3"/>
      <c r="G747" s="3"/>
      <c r="H747" s="3"/>
      <c r="I747" s="3"/>
    </row>
    <row r="748" spans="1:9" ht="25" customHeight="1" x14ac:dyDescent="0.15">
      <c r="A748" s="3"/>
      <c r="B748" s="3"/>
      <c r="C748" s="3"/>
      <c r="D748" s="3"/>
      <c r="E748" s="3"/>
      <c r="F748" s="3"/>
      <c r="G748" s="3"/>
      <c r="H748" s="3"/>
      <c r="I748" s="3"/>
    </row>
    <row r="749" spans="1:9" ht="25" customHeight="1" x14ac:dyDescent="0.15">
      <c r="A749" s="3"/>
      <c r="B749" s="3"/>
      <c r="C749" s="3"/>
      <c r="D749" s="3"/>
      <c r="E749" s="3"/>
      <c r="F749" s="3"/>
      <c r="G749" s="3"/>
      <c r="H749" s="3"/>
      <c r="I749" s="3"/>
    </row>
    <row r="750" spans="1:9" ht="25" customHeight="1" x14ac:dyDescent="0.15">
      <c r="A750" s="3"/>
      <c r="B750" s="3"/>
      <c r="C750" s="3"/>
      <c r="D750" s="3"/>
      <c r="E750" s="3"/>
      <c r="F750" s="3"/>
      <c r="G750" s="3"/>
      <c r="H750" s="3"/>
      <c r="I750" s="3"/>
    </row>
    <row r="751" spans="1:9" ht="25" customHeight="1" x14ac:dyDescent="0.15">
      <c r="A751" s="3"/>
      <c r="B751" s="3"/>
      <c r="C751" s="3"/>
      <c r="D751" s="3"/>
      <c r="E751" s="3"/>
      <c r="F751" s="3"/>
      <c r="G751" s="3"/>
      <c r="H751" s="3"/>
      <c r="I751" s="3"/>
    </row>
    <row r="752" spans="1:9" ht="25" customHeight="1" x14ac:dyDescent="0.15">
      <c r="A752" s="3"/>
      <c r="B752" s="3"/>
      <c r="C752" s="3"/>
      <c r="D752" s="3"/>
      <c r="E752" s="3"/>
      <c r="F752" s="3"/>
      <c r="G752" s="3"/>
      <c r="H752" s="3"/>
      <c r="I752" s="3"/>
    </row>
    <row r="753" spans="1:9" ht="25" customHeight="1" x14ac:dyDescent="0.15">
      <c r="A753" s="3"/>
      <c r="B753" s="3"/>
      <c r="C753" s="3"/>
      <c r="D753" s="3"/>
      <c r="E753" s="3"/>
      <c r="F753" s="3"/>
      <c r="G753" s="3"/>
      <c r="H753" s="3"/>
      <c r="I753" s="3"/>
    </row>
    <row r="754" spans="1:9" ht="25" customHeight="1" x14ac:dyDescent="0.15">
      <c r="A754" s="3"/>
      <c r="B754" s="3"/>
      <c r="C754" s="3"/>
      <c r="D754" s="3"/>
      <c r="E754" s="3"/>
      <c r="F754" s="3"/>
      <c r="G754" s="3"/>
      <c r="H754" s="3"/>
      <c r="I754" s="3"/>
    </row>
    <row r="755" spans="1:9" ht="25" customHeight="1" x14ac:dyDescent="0.15">
      <c r="A755" s="3"/>
      <c r="B755" s="3"/>
      <c r="C755" s="3"/>
      <c r="D755" s="3"/>
      <c r="E755" s="3"/>
      <c r="F755" s="3"/>
      <c r="G755" s="3"/>
      <c r="H755" s="3"/>
      <c r="I755" s="3"/>
    </row>
    <row r="756" spans="1:9" ht="25" customHeight="1" x14ac:dyDescent="0.15">
      <c r="A756" s="3"/>
      <c r="B756" s="3"/>
      <c r="C756" s="3"/>
      <c r="D756" s="3"/>
      <c r="E756" s="3"/>
      <c r="F756" s="3"/>
      <c r="G756" s="3"/>
      <c r="H756" s="3"/>
      <c r="I756" s="3"/>
    </row>
    <row r="757" spans="1:9" ht="25" customHeight="1" x14ac:dyDescent="0.15">
      <c r="A757" s="3"/>
      <c r="B757" s="3"/>
      <c r="C757" s="3"/>
      <c r="D757" s="3"/>
      <c r="E757" s="3"/>
      <c r="F757" s="3"/>
      <c r="G757" s="3"/>
      <c r="H757" s="3"/>
      <c r="I757" s="3"/>
    </row>
    <row r="758" spans="1:9" ht="25" customHeight="1" x14ac:dyDescent="0.15">
      <c r="A758" s="3"/>
      <c r="B758" s="3"/>
      <c r="C758" s="3"/>
      <c r="D758" s="3"/>
      <c r="E758" s="3"/>
      <c r="F758" s="3"/>
      <c r="G758" s="3"/>
      <c r="H758" s="3"/>
      <c r="I758" s="3"/>
    </row>
    <row r="759" spans="1:9" ht="25" customHeight="1" x14ac:dyDescent="0.15">
      <c r="A759" s="3"/>
      <c r="B759" s="3"/>
      <c r="C759" s="3"/>
      <c r="D759" s="3"/>
      <c r="E759" s="3"/>
      <c r="F759" s="3"/>
      <c r="G759" s="3"/>
      <c r="H759" s="3"/>
      <c r="I759" s="3"/>
    </row>
    <row r="760" spans="1:9" ht="25" customHeight="1" x14ac:dyDescent="0.15">
      <c r="A760" s="3"/>
      <c r="B760" s="3"/>
      <c r="C760" s="3"/>
      <c r="D760" s="3"/>
      <c r="E760" s="3"/>
      <c r="F760" s="3"/>
      <c r="G760" s="3"/>
      <c r="H760" s="3"/>
      <c r="I760" s="3"/>
    </row>
    <row r="761" spans="1:9" ht="25" customHeight="1" x14ac:dyDescent="0.15">
      <c r="A761" s="3"/>
      <c r="B761" s="3"/>
      <c r="C761" s="3"/>
      <c r="D761" s="3"/>
      <c r="E761" s="3"/>
      <c r="F761" s="3"/>
      <c r="G761" s="3"/>
      <c r="H761" s="3"/>
      <c r="I761" s="3"/>
    </row>
    <row r="762" spans="1:9" ht="25" customHeight="1" x14ac:dyDescent="0.15">
      <c r="A762" s="3"/>
      <c r="B762" s="3"/>
      <c r="C762" s="3"/>
      <c r="D762" s="3"/>
      <c r="E762" s="3"/>
      <c r="F762" s="3"/>
      <c r="G762" s="3"/>
      <c r="H762" s="3"/>
      <c r="I762" s="3"/>
    </row>
    <row r="763" spans="1:9" ht="25" customHeight="1" x14ac:dyDescent="0.15">
      <c r="A763" s="3"/>
      <c r="B763" s="3"/>
      <c r="C763" s="3"/>
      <c r="D763" s="3"/>
      <c r="E763" s="3"/>
      <c r="F763" s="3"/>
      <c r="G763" s="3"/>
      <c r="H763" s="3"/>
      <c r="I763" s="3"/>
    </row>
    <row r="764" spans="1:9" ht="25" customHeight="1" x14ac:dyDescent="0.15">
      <c r="A764" s="3"/>
      <c r="B764" s="3"/>
      <c r="C764" s="3"/>
      <c r="D764" s="3"/>
      <c r="E764" s="3"/>
      <c r="F764" s="3"/>
      <c r="G764" s="3"/>
      <c r="H764" s="3"/>
      <c r="I764" s="3"/>
    </row>
    <row r="765" spans="1:9" ht="25" customHeight="1" x14ac:dyDescent="0.15">
      <c r="A765" s="3"/>
      <c r="B765" s="3"/>
      <c r="C765" s="3"/>
      <c r="D765" s="3"/>
      <c r="E765" s="3"/>
      <c r="F765" s="3"/>
      <c r="G765" s="3"/>
      <c r="H765" s="3"/>
      <c r="I765" s="3"/>
    </row>
    <row r="766" spans="1:9" ht="25" customHeight="1" x14ac:dyDescent="0.15">
      <c r="A766" s="3"/>
      <c r="B766" s="3"/>
      <c r="C766" s="3"/>
      <c r="D766" s="3"/>
      <c r="E766" s="3"/>
      <c r="F766" s="3"/>
      <c r="G766" s="3"/>
      <c r="H766" s="3"/>
      <c r="I766" s="3"/>
    </row>
    <row r="767" spans="1:9" ht="25" customHeight="1" x14ac:dyDescent="0.15">
      <c r="A767" s="3"/>
      <c r="B767" s="3"/>
      <c r="C767" s="3"/>
      <c r="D767" s="3"/>
      <c r="E767" s="3"/>
      <c r="F767" s="3"/>
      <c r="G767" s="3"/>
      <c r="H767" s="3"/>
      <c r="I767" s="3"/>
    </row>
    <row r="768" spans="1:9" ht="25" customHeight="1" x14ac:dyDescent="0.15">
      <c r="A768" s="3"/>
      <c r="B768" s="3"/>
      <c r="C768" s="3"/>
      <c r="D768" s="3"/>
      <c r="E768" s="3"/>
      <c r="F768" s="3"/>
      <c r="G768" s="3"/>
      <c r="H768" s="3"/>
      <c r="I768" s="3"/>
    </row>
    <row r="769" spans="1:9" ht="25" customHeight="1" x14ac:dyDescent="0.15">
      <c r="A769" s="3"/>
      <c r="B769" s="3"/>
      <c r="C769" s="3"/>
      <c r="D769" s="3"/>
      <c r="E769" s="3"/>
      <c r="F769" s="3"/>
      <c r="G769" s="3"/>
      <c r="H769" s="3"/>
      <c r="I769" s="3"/>
    </row>
    <row r="770" spans="1:9" ht="25" customHeight="1" x14ac:dyDescent="0.15">
      <c r="A770" s="3"/>
      <c r="B770" s="3"/>
      <c r="C770" s="3"/>
      <c r="D770" s="3"/>
      <c r="E770" s="3"/>
      <c r="F770" s="3"/>
      <c r="G770" s="3"/>
      <c r="H770" s="3"/>
      <c r="I770" s="3"/>
    </row>
    <row r="771" spans="1:9" ht="25" customHeight="1" x14ac:dyDescent="0.15">
      <c r="A771" s="3"/>
      <c r="B771" s="3"/>
      <c r="C771" s="3"/>
      <c r="D771" s="3"/>
      <c r="E771" s="3"/>
      <c r="F771" s="3"/>
      <c r="G771" s="3"/>
      <c r="H771" s="3"/>
      <c r="I771" s="3"/>
    </row>
    <row r="772" spans="1:9" ht="25" customHeight="1" x14ac:dyDescent="0.15">
      <c r="A772" s="3"/>
      <c r="B772" s="3"/>
      <c r="C772" s="3"/>
      <c r="D772" s="3"/>
      <c r="E772" s="3"/>
      <c r="F772" s="3"/>
      <c r="G772" s="3"/>
      <c r="H772" s="3"/>
      <c r="I772" s="3"/>
    </row>
    <row r="773" spans="1:9" ht="25" customHeight="1" x14ac:dyDescent="0.15">
      <c r="A773" s="3"/>
      <c r="B773" s="3"/>
      <c r="C773" s="3"/>
      <c r="D773" s="3"/>
      <c r="E773" s="3"/>
      <c r="F773" s="3"/>
      <c r="G773" s="3"/>
      <c r="H773" s="3"/>
      <c r="I773" s="3"/>
    </row>
    <row r="774" spans="1:9" ht="25" customHeight="1" x14ac:dyDescent="0.15">
      <c r="A774" s="3"/>
      <c r="B774" s="3"/>
      <c r="C774" s="3"/>
      <c r="D774" s="3"/>
      <c r="E774" s="3"/>
      <c r="F774" s="3"/>
      <c r="G774" s="3"/>
      <c r="H774" s="3"/>
      <c r="I774" s="3"/>
    </row>
    <row r="775" spans="1:9" ht="25" customHeight="1" x14ac:dyDescent="0.15">
      <c r="A775" s="3"/>
      <c r="B775" s="3"/>
      <c r="C775" s="3"/>
      <c r="D775" s="3"/>
      <c r="E775" s="3"/>
      <c r="F775" s="3"/>
      <c r="G775" s="3"/>
      <c r="H775" s="3"/>
      <c r="I775" s="3"/>
    </row>
    <row r="776" spans="1:9" ht="25" customHeight="1" x14ac:dyDescent="0.15">
      <c r="A776" s="3"/>
      <c r="B776" s="3"/>
      <c r="C776" s="3"/>
      <c r="D776" s="3"/>
      <c r="E776" s="3"/>
      <c r="F776" s="3"/>
      <c r="G776" s="3"/>
      <c r="H776" s="3"/>
      <c r="I776" s="3"/>
    </row>
    <row r="777" spans="1:9" ht="25" customHeight="1" x14ac:dyDescent="0.15">
      <c r="A777" s="3"/>
      <c r="B777" s="3"/>
      <c r="C777" s="3"/>
      <c r="D777" s="3"/>
      <c r="E777" s="3"/>
      <c r="F777" s="3"/>
      <c r="G777" s="3"/>
      <c r="H777" s="3"/>
      <c r="I777" s="3"/>
    </row>
    <row r="778" spans="1:9" ht="25" customHeight="1" x14ac:dyDescent="0.15">
      <c r="A778" s="3"/>
      <c r="B778" s="3"/>
      <c r="C778" s="3"/>
      <c r="D778" s="3"/>
      <c r="E778" s="3"/>
      <c r="F778" s="3"/>
      <c r="G778" s="3"/>
      <c r="H778" s="3"/>
      <c r="I778" s="3"/>
    </row>
    <row r="779" spans="1:9" ht="25" customHeight="1" x14ac:dyDescent="0.15">
      <c r="A779" s="3"/>
      <c r="B779" s="3"/>
      <c r="C779" s="3"/>
      <c r="D779" s="3"/>
      <c r="E779" s="3"/>
      <c r="F779" s="3"/>
      <c r="G779" s="3"/>
      <c r="H779" s="3"/>
      <c r="I779" s="3"/>
    </row>
    <row r="780" spans="1:9" ht="25" customHeight="1" x14ac:dyDescent="0.15">
      <c r="A780" s="3"/>
      <c r="B780" s="3"/>
      <c r="C780" s="3"/>
      <c r="D780" s="3"/>
      <c r="E780" s="3"/>
      <c r="F780" s="3"/>
      <c r="G780" s="3"/>
      <c r="H780" s="3"/>
      <c r="I780" s="3"/>
    </row>
    <row r="781" spans="1:9" ht="25" customHeight="1" x14ac:dyDescent="0.15">
      <c r="A781" s="3"/>
      <c r="B781" s="3"/>
      <c r="C781" s="3"/>
      <c r="D781" s="3"/>
      <c r="E781" s="3"/>
      <c r="F781" s="3"/>
      <c r="G781" s="3"/>
      <c r="H781" s="3"/>
      <c r="I781" s="3"/>
    </row>
    <row r="782" spans="1:9" ht="25" customHeight="1" x14ac:dyDescent="0.15">
      <c r="A782" s="3"/>
      <c r="B782" s="3"/>
      <c r="C782" s="3"/>
      <c r="D782" s="3"/>
      <c r="E782" s="3"/>
      <c r="F782" s="3"/>
      <c r="G782" s="3"/>
      <c r="H782" s="3"/>
      <c r="I782" s="3"/>
    </row>
    <row r="783" spans="1:9" ht="25" customHeight="1" x14ac:dyDescent="0.15">
      <c r="A783" s="3"/>
      <c r="B783" s="3"/>
      <c r="C783" s="3"/>
      <c r="D783" s="3"/>
      <c r="E783" s="3"/>
      <c r="F783" s="3"/>
      <c r="G783" s="3"/>
      <c r="H783" s="3"/>
      <c r="I783" s="3"/>
    </row>
    <row r="784" spans="1:9" ht="25" customHeight="1" x14ac:dyDescent="0.15">
      <c r="A784" s="3"/>
      <c r="B784" s="3"/>
      <c r="C784" s="3"/>
      <c r="D784" s="3"/>
      <c r="E784" s="3"/>
      <c r="F784" s="3"/>
      <c r="G784" s="3"/>
      <c r="H784" s="3"/>
      <c r="I784" s="3"/>
    </row>
    <row r="785" spans="1:9" ht="25" customHeight="1" x14ac:dyDescent="0.15">
      <c r="A785" s="3"/>
      <c r="B785" s="3"/>
      <c r="C785" s="3"/>
      <c r="D785" s="3"/>
      <c r="E785" s="3"/>
      <c r="F785" s="3"/>
      <c r="G785" s="3"/>
      <c r="H785" s="3"/>
      <c r="I785" s="3"/>
    </row>
    <row r="786" spans="1:9" ht="25" customHeight="1" x14ac:dyDescent="0.15">
      <c r="A786" s="3"/>
      <c r="B786" s="3"/>
      <c r="C786" s="3"/>
      <c r="D786" s="3"/>
      <c r="E786" s="3"/>
      <c r="F786" s="3"/>
      <c r="G786" s="3"/>
      <c r="H786" s="3"/>
      <c r="I786" s="3"/>
    </row>
    <row r="787" spans="1:9" ht="25" customHeight="1" x14ac:dyDescent="0.15">
      <c r="A787" s="3"/>
      <c r="B787" s="3"/>
      <c r="C787" s="3"/>
      <c r="D787" s="3"/>
      <c r="E787" s="3"/>
      <c r="F787" s="3"/>
      <c r="G787" s="3"/>
      <c r="H787" s="3"/>
      <c r="I787" s="3"/>
    </row>
    <row r="788" spans="1:9" ht="25" customHeight="1" x14ac:dyDescent="0.15">
      <c r="A788" s="3"/>
      <c r="B788" s="3"/>
      <c r="C788" s="3"/>
      <c r="D788" s="3"/>
      <c r="E788" s="3"/>
      <c r="F788" s="3"/>
      <c r="G788" s="3"/>
      <c r="H788" s="3"/>
      <c r="I788" s="3"/>
    </row>
    <row r="789" spans="1:9" ht="25" customHeight="1" x14ac:dyDescent="0.15">
      <c r="A789" s="3"/>
      <c r="B789" s="3"/>
      <c r="C789" s="3"/>
      <c r="D789" s="3"/>
      <c r="E789" s="3"/>
      <c r="F789" s="3"/>
      <c r="G789" s="3"/>
      <c r="H789" s="3"/>
      <c r="I789" s="3"/>
    </row>
    <row r="790" spans="1:9" ht="25" customHeight="1" x14ac:dyDescent="0.15">
      <c r="A790" s="3"/>
      <c r="B790" s="3"/>
      <c r="C790" s="3"/>
      <c r="D790" s="3"/>
      <c r="E790" s="3"/>
      <c r="F790" s="3"/>
      <c r="G790" s="3"/>
      <c r="H790" s="3"/>
      <c r="I790" s="3"/>
    </row>
    <row r="791" spans="1:9" ht="25" customHeight="1" x14ac:dyDescent="0.15">
      <c r="A791" s="3"/>
      <c r="B791" s="3"/>
      <c r="C791" s="3"/>
      <c r="D791" s="3"/>
      <c r="E791" s="3"/>
      <c r="F791" s="3"/>
      <c r="G791" s="3"/>
      <c r="H791" s="3"/>
      <c r="I791" s="3"/>
    </row>
    <row r="792" spans="1:9" ht="25" customHeight="1" x14ac:dyDescent="0.15">
      <c r="A792" s="3"/>
      <c r="B792" s="3"/>
      <c r="C792" s="3"/>
      <c r="D792" s="3"/>
      <c r="E792" s="3"/>
      <c r="F792" s="3"/>
      <c r="G792" s="3"/>
      <c r="H792" s="3"/>
      <c r="I792" s="3"/>
    </row>
    <row r="793" spans="1:9" ht="25" customHeight="1" x14ac:dyDescent="0.15">
      <c r="A793" s="3"/>
      <c r="B793" s="3"/>
      <c r="C793" s="3"/>
      <c r="D793" s="3"/>
      <c r="E793" s="3"/>
      <c r="F793" s="3"/>
      <c r="G793" s="3"/>
      <c r="H793" s="3"/>
      <c r="I793" s="3"/>
    </row>
    <row r="794" spans="1:9" ht="25" customHeight="1" x14ac:dyDescent="0.15">
      <c r="A794" s="3"/>
      <c r="B794" s="3"/>
      <c r="C794" s="3"/>
      <c r="D794" s="3"/>
      <c r="E794" s="3"/>
      <c r="F794" s="3"/>
      <c r="G794" s="3"/>
      <c r="H794" s="3"/>
      <c r="I794" s="3"/>
    </row>
    <row r="795" spans="1:9" ht="25" customHeight="1" x14ac:dyDescent="0.15">
      <c r="A795" s="3"/>
      <c r="B795" s="3"/>
      <c r="C795" s="3"/>
      <c r="D795" s="3"/>
      <c r="E795" s="3"/>
      <c r="F795" s="3"/>
      <c r="G795" s="3"/>
      <c r="H795" s="3"/>
      <c r="I795" s="3"/>
    </row>
    <row r="796" spans="1:9" ht="25" customHeight="1" x14ac:dyDescent="0.15">
      <c r="A796" s="3"/>
      <c r="B796" s="3"/>
      <c r="C796" s="3"/>
      <c r="D796" s="3"/>
      <c r="E796" s="3"/>
      <c r="F796" s="3"/>
      <c r="G796" s="3"/>
      <c r="H796" s="3"/>
      <c r="I796" s="3"/>
    </row>
    <row r="797" spans="1:9" ht="25" customHeight="1" x14ac:dyDescent="0.15">
      <c r="A797" s="3"/>
      <c r="B797" s="3"/>
      <c r="C797" s="3"/>
      <c r="D797" s="3"/>
      <c r="E797" s="3"/>
      <c r="F797" s="3"/>
      <c r="G797" s="3"/>
      <c r="H797" s="3"/>
      <c r="I797" s="3"/>
    </row>
    <row r="798" spans="1:9" ht="25" customHeight="1" x14ac:dyDescent="0.15">
      <c r="A798" s="3"/>
      <c r="B798" s="3"/>
      <c r="C798" s="3"/>
      <c r="D798" s="3"/>
      <c r="E798" s="3"/>
      <c r="F798" s="3"/>
      <c r="G798" s="3"/>
      <c r="H798" s="3"/>
      <c r="I798" s="3"/>
    </row>
    <row r="799" spans="1:9" ht="25" customHeight="1" x14ac:dyDescent="0.15">
      <c r="A799" s="3"/>
      <c r="B799" s="3"/>
      <c r="C799" s="3"/>
      <c r="D799" s="3"/>
      <c r="E799" s="3"/>
      <c r="F799" s="3"/>
      <c r="G799" s="3"/>
      <c r="H799" s="3"/>
      <c r="I799" s="3"/>
    </row>
    <row r="800" spans="1:9" ht="25" customHeight="1" x14ac:dyDescent="0.15">
      <c r="A800" s="3"/>
      <c r="B800" s="3"/>
      <c r="C800" s="3"/>
      <c r="D800" s="3"/>
      <c r="E800" s="3"/>
      <c r="F800" s="3"/>
      <c r="G800" s="3"/>
      <c r="H800" s="3"/>
      <c r="I800" s="3"/>
    </row>
    <row r="801" spans="1:9" ht="25" customHeight="1" x14ac:dyDescent="0.15">
      <c r="A801" s="3"/>
      <c r="B801" s="3"/>
      <c r="C801" s="3"/>
      <c r="D801" s="3"/>
      <c r="E801" s="3"/>
      <c r="F801" s="3"/>
      <c r="G801" s="3"/>
      <c r="H801" s="3"/>
      <c r="I801" s="3"/>
    </row>
    <row r="802" spans="1:9" ht="25" customHeight="1" x14ac:dyDescent="0.15">
      <c r="A802" s="3"/>
      <c r="B802" s="3"/>
      <c r="C802" s="3"/>
      <c r="D802" s="3"/>
      <c r="E802" s="3"/>
      <c r="F802" s="3"/>
      <c r="G802" s="3"/>
      <c r="H802" s="3"/>
      <c r="I802" s="3"/>
    </row>
    <row r="803" spans="1:9" ht="25" customHeight="1" x14ac:dyDescent="0.15">
      <c r="A803" s="3"/>
      <c r="B803" s="3"/>
      <c r="C803" s="3"/>
      <c r="D803" s="3"/>
      <c r="E803" s="3"/>
      <c r="F803" s="3"/>
      <c r="G803" s="3"/>
      <c r="H803" s="3"/>
      <c r="I803" s="3"/>
    </row>
    <row r="804" spans="1:9" ht="25" customHeight="1" x14ac:dyDescent="0.15">
      <c r="A804" s="3"/>
      <c r="B804" s="3"/>
      <c r="C804" s="3"/>
      <c r="D804" s="3"/>
      <c r="E804" s="3"/>
      <c r="F804" s="3"/>
      <c r="G804" s="3"/>
      <c r="H804" s="3"/>
      <c r="I804" s="3"/>
    </row>
    <row r="805" spans="1:9" ht="25" customHeight="1" x14ac:dyDescent="0.15">
      <c r="A805" s="3"/>
      <c r="B805" s="3"/>
      <c r="C805" s="3"/>
      <c r="D805" s="3"/>
      <c r="E805" s="3"/>
      <c r="F805" s="3"/>
      <c r="G805" s="3"/>
      <c r="H805" s="3"/>
      <c r="I805" s="3"/>
    </row>
    <row r="806" spans="1:9" ht="25" customHeight="1" x14ac:dyDescent="0.15">
      <c r="A806" s="3"/>
      <c r="B806" s="3"/>
      <c r="C806" s="3"/>
      <c r="D806" s="3"/>
      <c r="E806" s="3"/>
      <c r="F806" s="3"/>
      <c r="G806" s="3"/>
      <c r="H806" s="3"/>
      <c r="I806" s="3"/>
    </row>
    <row r="807" spans="1:9" ht="25" customHeight="1" x14ac:dyDescent="0.15">
      <c r="A807" s="3"/>
      <c r="B807" s="3"/>
      <c r="C807" s="3"/>
      <c r="D807" s="3"/>
      <c r="E807" s="3"/>
      <c r="F807" s="3"/>
      <c r="G807" s="3"/>
      <c r="H807" s="3"/>
      <c r="I807" s="3"/>
    </row>
    <row r="808" spans="1:9" ht="25" customHeight="1" x14ac:dyDescent="0.15">
      <c r="A808" s="3"/>
      <c r="B808" s="3"/>
      <c r="C808" s="3"/>
      <c r="D808" s="3"/>
      <c r="E808" s="3"/>
      <c r="F808" s="3"/>
      <c r="G808" s="3"/>
      <c r="H808" s="3"/>
      <c r="I808" s="3"/>
    </row>
    <row r="809" spans="1:9" ht="25" customHeight="1" x14ac:dyDescent="0.15">
      <c r="A809" s="3"/>
      <c r="B809" s="3"/>
      <c r="C809" s="3"/>
      <c r="D809" s="3"/>
      <c r="E809" s="3"/>
      <c r="F809" s="3"/>
      <c r="G809" s="3"/>
      <c r="H809" s="3"/>
      <c r="I809" s="3"/>
    </row>
    <row r="810" spans="1:9" ht="25" customHeight="1" x14ac:dyDescent="0.15">
      <c r="A810" s="3"/>
      <c r="B810" s="3"/>
      <c r="C810" s="3"/>
      <c r="D810" s="3"/>
      <c r="E810" s="3"/>
      <c r="F810" s="3"/>
      <c r="G810" s="3"/>
      <c r="H810" s="3"/>
      <c r="I810" s="3"/>
    </row>
    <row r="811" spans="1:9" ht="25" customHeight="1" x14ac:dyDescent="0.15">
      <c r="A811" s="3"/>
      <c r="B811" s="3"/>
      <c r="C811" s="3"/>
      <c r="D811" s="3"/>
      <c r="E811" s="3"/>
      <c r="F811" s="3"/>
      <c r="G811" s="3"/>
      <c r="H811" s="3"/>
      <c r="I811" s="3"/>
    </row>
    <row r="812" spans="1:9" ht="25" customHeight="1" x14ac:dyDescent="0.15">
      <c r="A812" s="3"/>
      <c r="B812" s="3"/>
      <c r="C812" s="3"/>
      <c r="D812" s="3"/>
      <c r="E812" s="3"/>
      <c r="F812" s="3"/>
      <c r="G812" s="3"/>
      <c r="H812" s="3"/>
      <c r="I812" s="3"/>
    </row>
    <row r="813" spans="1:9" ht="25" customHeight="1" x14ac:dyDescent="0.15">
      <c r="A813" s="3"/>
      <c r="B813" s="3"/>
      <c r="C813" s="3"/>
      <c r="D813" s="3"/>
      <c r="E813" s="3"/>
      <c r="F813" s="3"/>
      <c r="G813" s="3"/>
      <c r="H813" s="3"/>
      <c r="I813" s="3"/>
    </row>
    <row r="814" spans="1:9" ht="25" customHeight="1" x14ac:dyDescent="0.15">
      <c r="A814" s="3"/>
      <c r="B814" s="3"/>
      <c r="C814" s="3"/>
      <c r="D814" s="3"/>
      <c r="E814" s="3"/>
      <c r="F814" s="3"/>
      <c r="G814" s="3"/>
      <c r="H814" s="3"/>
      <c r="I814" s="3"/>
    </row>
    <row r="815" spans="1:9" ht="25" customHeight="1" x14ac:dyDescent="0.15">
      <c r="A815" s="3"/>
      <c r="B815" s="3"/>
      <c r="C815" s="3"/>
      <c r="D815" s="3"/>
      <c r="E815" s="3"/>
      <c r="F815" s="3"/>
      <c r="G815" s="3"/>
      <c r="H815" s="3"/>
      <c r="I815" s="3"/>
    </row>
    <row r="816" spans="1:9" ht="25" customHeight="1" x14ac:dyDescent="0.15">
      <c r="A816" s="3"/>
      <c r="B816" s="3"/>
      <c r="C816" s="3"/>
      <c r="D816" s="3"/>
      <c r="E816" s="3"/>
      <c r="F816" s="3"/>
      <c r="G816" s="3"/>
      <c r="H816" s="3"/>
      <c r="I816" s="3"/>
    </row>
    <row r="817" spans="1:9" ht="25" customHeight="1" x14ac:dyDescent="0.15">
      <c r="A817" s="3"/>
      <c r="B817" s="3"/>
      <c r="C817" s="3"/>
      <c r="D817" s="3"/>
      <c r="E817" s="3"/>
      <c r="F817" s="3"/>
      <c r="G817" s="3"/>
      <c r="H817" s="3"/>
      <c r="I817" s="3"/>
    </row>
    <row r="818" spans="1:9" ht="25" customHeight="1" x14ac:dyDescent="0.15">
      <c r="A818" s="3"/>
      <c r="B818" s="3"/>
      <c r="C818" s="3"/>
      <c r="D818" s="3"/>
      <c r="E818" s="3"/>
      <c r="F818" s="3"/>
      <c r="G818" s="3"/>
      <c r="H818" s="3"/>
      <c r="I818" s="3"/>
    </row>
    <row r="819" spans="1:9" ht="25" customHeight="1" x14ac:dyDescent="0.15">
      <c r="A819" s="3"/>
      <c r="B819" s="3"/>
      <c r="C819" s="3"/>
      <c r="D819" s="3"/>
      <c r="E819" s="3"/>
      <c r="F819" s="3"/>
      <c r="G819" s="3"/>
      <c r="H819" s="3"/>
      <c r="I819" s="3"/>
    </row>
    <row r="820" spans="1:9" ht="25" customHeight="1" x14ac:dyDescent="0.15">
      <c r="A820" s="3"/>
      <c r="B820" s="3"/>
      <c r="C820" s="3"/>
      <c r="D820" s="3"/>
      <c r="E820" s="3"/>
      <c r="F820" s="3"/>
      <c r="G820" s="3"/>
      <c r="H820" s="3"/>
      <c r="I820" s="3"/>
    </row>
    <row r="821" spans="1:9" ht="25" customHeight="1" x14ac:dyDescent="0.15">
      <c r="A821" s="3"/>
      <c r="B821" s="3"/>
      <c r="C821" s="3"/>
      <c r="D821" s="3"/>
      <c r="E821" s="3"/>
      <c r="F821" s="3"/>
      <c r="G821" s="3"/>
      <c r="H821" s="3"/>
      <c r="I821" s="3"/>
    </row>
    <row r="822" spans="1:9" ht="25" customHeight="1" x14ac:dyDescent="0.15">
      <c r="A822" s="3"/>
      <c r="B822" s="3"/>
      <c r="C822" s="3"/>
      <c r="D822" s="3"/>
      <c r="E822" s="3"/>
      <c r="F822" s="3"/>
      <c r="G822" s="3"/>
      <c r="H822" s="3"/>
      <c r="I822" s="3"/>
    </row>
    <row r="823" spans="1:9" ht="25" customHeight="1" x14ac:dyDescent="0.15">
      <c r="A823" s="3"/>
      <c r="B823" s="3"/>
      <c r="C823" s="3"/>
      <c r="D823" s="3"/>
      <c r="E823" s="3"/>
      <c r="F823" s="3"/>
      <c r="G823" s="3"/>
      <c r="H823" s="3"/>
      <c r="I823" s="3"/>
    </row>
    <row r="824" spans="1:9" ht="25" customHeight="1" x14ac:dyDescent="0.15">
      <c r="A824" s="3"/>
      <c r="B824" s="3"/>
      <c r="C824" s="3"/>
      <c r="D824" s="3"/>
      <c r="E824" s="3"/>
      <c r="F824" s="3"/>
      <c r="G824" s="3"/>
      <c r="H824" s="3"/>
      <c r="I824" s="3"/>
    </row>
    <row r="825" spans="1:9" ht="25" customHeight="1" x14ac:dyDescent="0.15">
      <c r="A825" s="3"/>
      <c r="B825" s="3"/>
      <c r="C825" s="3"/>
      <c r="D825" s="3"/>
      <c r="E825" s="3"/>
      <c r="F825" s="3"/>
      <c r="G825" s="3"/>
      <c r="H825" s="3"/>
      <c r="I825" s="3"/>
    </row>
    <row r="826" spans="1:9" ht="25" customHeight="1" x14ac:dyDescent="0.15">
      <c r="A826" s="3"/>
      <c r="B826" s="3"/>
      <c r="C826" s="3"/>
      <c r="D826" s="3"/>
      <c r="E826" s="3"/>
      <c r="F826" s="3"/>
      <c r="G826" s="3"/>
      <c r="H826" s="3"/>
      <c r="I826" s="3"/>
    </row>
    <row r="827" spans="1:9" ht="25" customHeight="1" x14ac:dyDescent="0.15">
      <c r="A827" s="3"/>
      <c r="B827" s="3"/>
      <c r="C827" s="3"/>
      <c r="D827" s="3"/>
      <c r="E827" s="3"/>
      <c r="F827" s="3"/>
      <c r="G827" s="3"/>
      <c r="H827" s="3"/>
      <c r="I827" s="3"/>
    </row>
    <row r="828" spans="1:9" ht="25" customHeight="1" x14ac:dyDescent="0.15">
      <c r="A828" s="3"/>
      <c r="B828" s="3"/>
      <c r="C828" s="3"/>
      <c r="D828" s="3"/>
      <c r="E828" s="3"/>
      <c r="F828" s="3"/>
      <c r="G828" s="3"/>
      <c r="H828" s="3"/>
      <c r="I828" s="3"/>
    </row>
    <row r="829" spans="1:9" ht="25" customHeight="1" x14ac:dyDescent="0.15">
      <c r="A829" s="3"/>
      <c r="B829" s="3"/>
      <c r="C829" s="3"/>
      <c r="D829" s="3"/>
      <c r="E829" s="3"/>
      <c r="F829" s="3"/>
      <c r="G829" s="3"/>
      <c r="H829" s="3"/>
      <c r="I829" s="3"/>
    </row>
    <row r="830" spans="1:9" ht="25" customHeight="1" x14ac:dyDescent="0.15">
      <c r="A830" s="3"/>
      <c r="B830" s="3"/>
      <c r="C830" s="3"/>
      <c r="D830" s="3"/>
      <c r="E830" s="3"/>
      <c r="F830" s="3"/>
      <c r="G830" s="3"/>
      <c r="H830" s="3"/>
      <c r="I830" s="3"/>
    </row>
    <row r="831" spans="1:9" ht="25" customHeight="1" x14ac:dyDescent="0.15">
      <c r="A831" s="3"/>
      <c r="B831" s="3"/>
      <c r="C831" s="3"/>
      <c r="D831" s="3"/>
      <c r="E831" s="3"/>
      <c r="F831" s="3"/>
      <c r="G831" s="3"/>
      <c r="H831" s="3"/>
      <c r="I831" s="3"/>
    </row>
    <row r="832" spans="1:9" ht="25" customHeight="1" x14ac:dyDescent="0.15">
      <c r="A832" s="3"/>
      <c r="B832" s="3"/>
      <c r="C832" s="3"/>
      <c r="D832" s="3"/>
      <c r="E832" s="3"/>
      <c r="F832" s="3"/>
      <c r="G832" s="3"/>
      <c r="H832" s="3"/>
      <c r="I832" s="3"/>
    </row>
    <row r="833" spans="1:9" ht="25" customHeight="1" x14ac:dyDescent="0.15">
      <c r="A833" s="3"/>
      <c r="B833" s="3"/>
      <c r="C833" s="3"/>
      <c r="D833" s="3"/>
      <c r="E833" s="3"/>
      <c r="F833" s="3"/>
      <c r="G833" s="3"/>
      <c r="H833" s="3"/>
      <c r="I833" s="3"/>
    </row>
    <row r="834" spans="1:9" ht="25" customHeight="1" x14ac:dyDescent="0.15">
      <c r="A834" s="3"/>
      <c r="B834" s="3"/>
      <c r="C834" s="3"/>
      <c r="D834" s="3"/>
      <c r="E834" s="3"/>
      <c r="F834" s="3"/>
      <c r="G834" s="3"/>
      <c r="H834" s="3"/>
      <c r="I834" s="3"/>
    </row>
    <row r="835" spans="1:9" ht="25" customHeight="1" x14ac:dyDescent="0.15">
      <c r="A835" s="3"/>
      <c r="B835" s="3"/>
      <c r="C835" s="3"/>
      <c r="D835" s="3"/>
      <c r="E835" s="3"/>
      <c r="F835" s="3"/>
      <c r="G835" s="3"/>
      <c r="H835" s="3"/>
      <c r="I835" s="3"/>
    </row>
    <row r="836" spans="1:9" ht="25" customHeight="1" x14ac:dyDescent="0.15">
      <c r="A836" s="3"/>
      <c r="B836" s="3"/>
      <c r="C836" s="3"/>
      <c r="D836" s="3"/>
      <c r="E836" s="3"/>
      <c r="F836" s="3"/>
      <c r="G836" s="3"/>
      <c r="H836" s="3"/>
      <c r="I836" s="3"/>
    </row>
    <row r="837" spans="1:9" ht="25" customHeight="1" x14ac:dyDescent="0.15">
      <c r="A837" s="3"/>
      <c r="B837" s="3"/>
      <c r="C837" s="3"/>
      <c r="D837" s="3"/>
      <c r="E837" s="3"/>
      <c r="F837" s="3"/>
      <c r="G837" s="3"/>
      <c r="H837" s="3"/>
      <c r="I837" s="3"/>
    </row>
    <row r="838" spans="1:9" ht="25" customHeight="1" x14ac:dyDescent="0.15">
      <c r="A838" s="3"/>
      <c r="B838" s="3"/>
      <c r="C838" s="3"/>
      <c r="D838" s="3"/>
      <c r="E838" s="3"/>
      <c r="F838" s="3"/>
      <c r="G838" s="3"/>
      <c r="H838" s="3"/>
      <c r="I838" s="3"/>
    </row>
    <row r="839" spans="1:9" ht="25" customHeight="1" x14ac:dyDescent="0.15">
      <c r="A839" s="3"/>
      <c r="B839" s="3"/>
      <c r="C839" s="3"/>
      <c r="D839" s="3"/>
      <c r="E839" s="3"/>
      <c r="F839" s="3"/>
      <c r="G839" s="3"/>
      <c r="H839" s="3"/>
      <c r="I839" s="3"/>
    </row>
    <row r="840" spans="1:9" ht="25" customHeight="1" x14ac:dyDescent="0.15">
      <c r="A840" s="3"/>
      <c r="B840" s="3"/>
      <c r="C840" s="3"/>
      <c r="D840" s="3"/>
      <c r="E840" s="3"/>
      <c r="F840" s="3"/>
      <c r="G840" s="3"/>
      <c r="H840" s="3"/>
      <c r="I840" s="3"/>
    </row>
    <row r="841" spans="1:9" ht="25" customHeight="1" x14ac:dyDescent="0.15">
      <c r="A841" s="3"/>
      <c r="B841" s="3"/>
      <c r="C841" s="3"/>
      <c r="D841" s="3"/>
      <c r="E841" s="3"/>
      <c r="F841" s="3"/>
      <c r="G841" s="3"/>
      <c r="H841" s="3"/>
      <c r="I841" s="3"/>
    </row>
    <row r="842" spans="1:9" ht="25" customHeight="1" x14ac:dyDescent="0.15">
      <c r="A842" s="3"/>
      <c r="B842" s="3"/>
      <c r="C842" s="3"/>
      <c r="D842" s="3"/>
      <c r="E842" s="3"/>
      <c r="F842" s="3"/>
      <c r="G842" s="3"/>
      <c r="H842" s="3"/>
      <c r="I842" s="3"/>
    </row>
    <row r="843" spans="1:9" ht="25" customHeight="1" x14ac:dyDescent="0.15">
      <c r="A843" s="3"/>
      <c r="B843" s="3"/>
      <c r="C843" s="3"/>
      <c r="D843" s="3"/>
      <c r="E843" s="3"/>
      <c r="F843" s="3"/>
      <c r="G843" s="3"/>
      <c r="H843" s="3"/>
      <c r="I843" s="3"/>
    </row>
    <row r="844" spans="1:9" ht="25" customHeight="1" x14ac:dyDescent="0.15">
      <c r="A844" s="3"/>
      <c r="B844" s="3"/>
      <c r="C844" s="3"/>
      <c r="D844" s="3"/>
      <c r="E844" s="3"/>
      <c r="F844" s="3"/>
      <c r="G844" s="3"/>
      <c r="H844" s="3"/>
      <c r="I844" s="3"/>
    </row>
    <row r="845" spans="1:9" ht="25" customHeight="1" x14ac:dyDescent="0.15">
      <c r="A845" s="3"/>
      <c r="B845" s="3"/>
      <c r="C845" s="3"/>
      <c r="D845" s="3"/>
      <c r="E845" s="3"/>
      <c r="F845" s="3"/>
      <c r="G845" s="3"/>
      <c r="H845" s="3"/>
      <c r="I845" s="3"/>
    </row>
    <row r="846" spans="1:9" ht="25" customHeight="1" x14ac:dyDescent="0.15">
      <c r="A846" s="3"/>
      <c r="B846" s="3"/>
      <c r="C846" s="3"/>
      <c r="D846" s="3"/>
      <c r="E846" s="3"/>
      <c r="F846" s="3"/>
      <c r="G846" s="3"/>
      <c r="H846" s="3"/>
      <c r="I846" s="3"/>
    </row>
    <row r="847" spans="1:9" ht="25" customHeight="1" x14ac:dyDescent="0.15">
      <c r="A847" s="3"/>
      <c r="B847" s="3"/>
      <c r="C847" s="3"/>
      <c r="D847" s="3"/>
      <c r="E847" s="3"/>
      <c r="F847" s="3"/>
      <c r="G847" s="3"/>
      <c r="H847" s="3"/>
      <c r="I847" s="3"/>
    </row>
    <row r="848" spans="1:9" ht="25" customHeight="1" x14ac:dyDescent="0.15">
      <c r="A848" s="3"/>
      <c r="B848" s="3"/>
      <c r="C848" s="3"/>
      <c r="D848" s="3"/>
      <c r="E848" s="3"/>
      <c r="F848" s="3"/>
      <c r="G848" s="3"/>
      <c r="H848" s="3"/>
      <c r="I848" s="3"/>
    </row>
    <row r="849" spans="1:9" ht="25" customHeight="1" x14ac:dyDescent="0.15">
      <c r="A849" s="3"/>
      <c r="B849" s="3"/>
      <c r="C849" s="3"/>
      <c r="D849" s="3"/>
      <c r="E849" s="3"/>
      <c r="F849" s="3"/>
      <c r="G849" s="3"/>
      <c r="H849" s="3"/>
      <c r="I849" s="3"/>
    </row>
    <row r="850" spans="1:9" ht="25" customHeight="1" x14ac:dyDescent="0.15">
      <c r="A850" s="3"/>
      <c r="B850" s="3"/>
      <c r="C850" s="3"/>
      <c r="D850" s="3"/>
      <c r="E850" s="3"/>
      <c r="F850" s="3"/>
      <c r="G850" s="3"/>
      <c r="H850" s="3"/>
      <c r="I850" s="3"/>
    </row>
    <row r="851" spans="1:9" ht="25" customHeight="1" x14ac:dyDescent="0.15">
      <c r="A851" s="3"/>
      <c r="B851" s="3"/>
      <c r="C851" s="3"/>
      <c r="D851" s="3"/>
      <c r="E851" s="3"/>
      <c r="F851" s="3"/>
      <c r="G851" s="3"/>
      <c r="H851" s="3"/>
      <c r="I851" s="3"/>
    </row>
    <row r="852" spans="1:9" ht="25" customHeight="1" x14ac:dyDescent="0.15">
      <c r="A852" s="3"/>
      <c r="B852" s="3"/>
      <c r="C852" s="3"/>
      <c r="D852" s="3"/>
      <c r="E852" s="3"/>
      <c r="F852" s="3"/>
      <c r="G852" s="3"/>
      <c r="H852" s="3"/>
      <c r="I852" s="3"/>
    </row>
    <row r="853" spans="1:9" ht="25" customHeight="1" x14ac:dyDescent="0.15">
      <c r="A853" s="3"/>
      <c r="B853" s="3"/>
      <c r="C853" s="3"/>
      <c r="D853" s="3"/>
      <c r="E853" s="3"/>
      <c r="F853" s="3"/>
      <c r="G853" s="3"/>
      <c r="H853" s="3"/>
      <c r="I853" s="3"/>
    </row>
    <row r="854" spans="1:9" ht="25" customHeight="1" x14ac:dyDescent="0.15">
      <c r="A854" s="3"/>
      <c r="B854" s="3"/>
      <c r="C854" s="3"/>
      <c r="D854" s="3"/>
      <c r="E854" s="3"/>
      <c r="F854" s="3"/>
      <c r="G854" s="3"/>
      <c r="H854" s="3"/>
      <c r="I854" s="3"/>
    </row>
    <row r="855" spans="1:9" ht="25" customHeight="1" x14ac:dyDescent="0.15">
      <c r="A855" s="3"/>
      <c r="B855" s="3"/>
      <c r="C855" s="3"/>
      <c r="D855" s="3"/>
      <c r="E855" s="3"/>
      <c r="F855" s="3"/>
      <c r="G855" s="3"/>
      <c r="H855" s="3"/>
      <c r="I855" s="3"/>
    </row>
    <row r="856" spans="1:9" ht="25" customHeight="1" x14ac:dyDescent="0.15">
      <c r="A856" s="3"/>
      <c r="B856" s="3"/>
      <c r="C856" s="3"/>
      <c r="D856" s="3"/>
      <c r="E856" s="3"/>
      <c r="F856" s="3"/>
      <c r="G856" s="3"/>
      <c r="H856" s="3"/>
      <c r="I856" s="3"/>
    </row>
    <row r="857" spans="1:9" ht="25" customHeight="1" x14ac:dyDescent="0.15">
      <c r="A857" s="3"/>
      <c r="B857" s="3"/>
      <c r="C857" s="3"/>
      <c r="D857" s="3"/>
      <c r="E857" s="3"/>
      <c r="F857" s="3"/>
      <c r="G857" s="3"/>
      <c r="H857" s="3"/>
      <c r="I857" s="3"/>
    </row>
    <row r="858" spans="1:9" ht="25" customHeight="1" x14ac:dyDescent="0.15">
      <c r="A858" s="3"/>
      <c r="B858" s="3"/>
      <c r="C858" s="3"/>
      <c r="D858" s="3"/>
      <c r="E858" s="3"/>
      <c r="F858" s="3"/>
      <c r="G858" s="3"/>
      <c r="H858" s="3"/>
      <c r="I858" s="3"/>
    </row>
    <row r="859" spans="1:9" ht="25" customHeight="1" x14ac:dyDescent="0.15">
      <c r="A859" s="3"/>
      <c r="B859" s="3"/>
      <c r="C859" s="3"/>
      <c r="D859" s="3"/>
      <c r="E859" s="3"/>
      <c r="F859" s="3"/>
      <c r="G859" s="3"/>
      <c r="H859" s="3"/>
      <c r="I859" s="3"/>
    </row>
    <row r="860" spans="1:9" ht="25" customHeight="1" x14ac:dyDescent="0.15">
      <c r="A860" s="3"/>
      <c r="B860" s="3"/>
      <c r="C860" s="3"/>
      <c r="D860" s="3"/>
      <c r="E860" s="3"/>
      <c r="F860" s="3"/>
      <c r="G860" s="3"/>
      <c r="H860" s="3"/>
      <c r="I860" s="3"/>
    </row>
    <row r="861" spans="1:9" ht="25" customHeight="1" x14ac:dyDescent="0.15">
      <c r="A861" s="3"/>
      <c r="B861" s="3"/>
      <c r="C861" s="3"/>
      <c r="D861" s="3"/>
      <c r="E861" s="3"/>
      <c r="F861" s="3"/>
      <c r="G861" s="3"/>
      <c r="H861" s="3"/>
      <c r="I861" s="3"/>
    </row>
    <row r="862" spans="1:9" ht="25" customHeight="1" x14ac:dyDescent="0.15">
      <c r="A862" s="3"/>
      <c r="B862" s="3"/>
      <c r="C862" s="3"/>
      <c r="D862" s="3"/>
      <c r="E862" s="3"/>
      <c r="F862" s="3"/>
      <c r="G862" s="3"/>
      <c r="H862" s="3"/>
      <c r="I862" s="3"/>
    </row>
    <row r="863" spans="1:9" ht="25" customHeight="1" x14ac:dyDescent="0.15">
      <c r="A863" s="3"/>
      <c r="B863" s="3"/>
      <c r="C863" s="3"/>
      <c r="D863" s="3"/>
      <c r="E863" s="3"/>
      <c r="F863" s="3"/>
      <c r="G863" s="3"/>
      <c r="H863" s="3"/>
      <c r="I863" s="3"/>
    </row>
    <row r="864" spans="1:9" ht="25" customHeight="1" x14ac:dyDescent="0.15">
      <c r="A864" s="3"/>
      <c r="B864" s="3"/>
      <c r="C864" s="3"/>
      <c r="D864" s="3"/>
      <c r="E864" s="3"/>
      <c r="F864" s="3"/>
      <c r="G864" s="3"/>
      <c r="H864" s="3"/>
      <c r="I864" s="3"/>
    </row>
    <row r="865" spans="1:9" ht="25" customHeight="1" x14ac:dyDescent="0.15">
      <c r="A865" s="3"/>
      <c r="B865" s="3"/>
      <c r="C865" s="3"/>
      <c r="D865" s="3"/>
      <c r="E865" s="3"/>
      <c r="F865" s="3"/>
      <c r="G865" s="3"/>
      <c r="H865" s="3"/>
      <c r="I865" s="3"/>
    </row>
    <row r="866" spans="1:9" ht="25" customHeight="1" x14ac:dyDescent="0.15">
      <c r="A866" s="3"/>
      <c r="B866" s="3"/>
      <c r="C866" s="3"/>
      <c r="D866" s="3"/>
      <c r="E866" s="3"/>
      <c r="F866" s="3"/>
      <c r="G866" s="3"/>
      <c r="H866" s="3"/>
      <c r="I866" s="3"/>
    </row>
    <row r="867" spans="1:9" ht="25" customHeight="1" x14ac:dyDescent="0.15">
      <c r="A867" s="3"/>
      <c r="B867" s="3"/>
      <c r="C867" s="3"/>
      <c r="D867" s="3"/>
      <c r="E867" s="3"/>
      <c r="F867" s="3"/>
      <c r="G867" s="3"/>
      <c r="H867" s="3"/>
      <c r="I867" s="3"/>
    </row>
    <row r="868" spans="1:9" ht="25" customHeight="1" x14ac:dyDescent="0.15">
      <c r="A868" s="3"/>
      <c r="B868" s="3"/>
      <c r="C868" s="3"/>
      <c r="D868" s="3"/>
      <c r="E868" s="3"/>
      <c r="F868" s="3"/>
      <c r="G868" s="3"/>
      <c r="H868" s="3"/>
      <c r="I868" s="3"/>
    </row>
    <row r="869" spans="1:9" ht="25" customHeight="1" x14ac:dyDescent="0.15">
      <c r="A869" s="3"/>
      <c r="B869" s="3"/>
      <c r="C869" s="3"/>
      <c r="D869" s="3"/>
      <c r="E869" s="3"/>
      <c r="F869" s="3"/>
      <c r="G869" s="3"/>
      <c r="H869" s="3"/>
      <c r="I869" s="3"/>
    </row>
    <row r="870" spans="1:9" ht="25" customHeight="1" x14ac:dyDescent="0.15">
      <c r="A870" s="3"/>
      <c r="B870" s="3"/>
      <c r="C870" s="3"/>
      <c r="D870" s="3"/>
      <c r="E870" s="3"/>
      <c r="F870" s="3"/>
      <c r="G870" s="3"/>
      <c r="H870" s="3"/>
      <c r="I870" s="3"/>
    </row>
    <row r="871" spans="1:9" ht="25" customHeight="1" x14ac:dyDescent="0.15">
      <c r="A871" s="3"/>
      <c r="B871" s="3"/>
      <c r="C871" s="3"/>
      <c r="D871" s="3"/>
      <c r="E871" s="3"/>
      <c r="F871" s="3"/>
      <c r="G871" s="3"/>
      <c r="H871" s="3"/>
      <c r="I871" s="3"/>
    </row>
    <row r="872" spans="1:9" ht="25" customHeight="1" x14ac:dyDescent="0.15">
      <c r="A872" s="3"/>
      <c r="B872" s="3"/>
      <c r="C872" s="3"/>
      <c r="D872" s="3"/>
      <c r="E872" s="3"/>
      <c r="F872" s="3"/>
      <c r="G872" s="3"/>
      <c r="H872" s="3"/>
      <c r="I872" s="3"/>
    </row>
    <row r="873" spans="1:9" ht="25" customHeight="1" x14ac:dyDescent="0.15">
      <c r="A873" s="3"/>
      <c r="B873" s="3"/>
      <c r="C873" s="3"/>
      <c r="D873" s="3"/>
      <c r="E873" s="3"/>
      <c r="F873" s="3"/>
      <c r="G873" s="3"/>
      <c r="H873" s="3"/>
      <c r="I873" s="3"/>
    </row>
    <row r="874" spans="1:9" ht="25" customHeight="1" x14ac:dyDescent="0.15">
      <c r="A874" s="3"/>
      <c r="B874" s="3"/>
      <c r="C874" s="3"/>
      <c r="D874" s="3"/>
      <c r="E874" s="3"/>
      <c r="F874" s="3"/>
      <c r="G874" s="3"/>
      <c r="H874" s="3"/>
      <c r="I874" s="3"/>
    </row>
    <row r="875" spans="1:9" ht="25" customHeight="1" x14ac:dyDescent="0.15">
      <c r="A875" s="3"/>
      <c r="B875" s="3"/>
      <c r="C875" s="3"/>
      <c r="D875" s="3"/>
      <c r="E875" s="3"/>
      <c r="F875" s="3"/>
      <c r="G875" s="3"/>
      <c r="H875" s="3"/>
      <c r="I875" s="3"/>
    </row>
    <row r="876" spans="1:9" ht="25" customHeight="1" x14ac:dyDescent="0.15">
      <c r="A876" s="3"/>
      <c r="B876" s="3"/>
      <c r="C876" s="3"/>
      <c r="D876" s="3"/>
      <c r="E876" s="3"/>
      <c r="F876" s="3"/>
      <c r="G876" s="3"/>
      <c r="H876" s="3"/>
      <c r="I876" s="3"/>
    </row>
    <row r="877" spans="1:9" ht="25" customHeight="1" x14ac:dyDescent="0.15">
      <c r="A877" s="3"/>
      <c r="B877" s="3"/>
      <c r="C877" s="3"/>
      <c r="D877" s="3"/>
      <c r="E877" s="3"/>
      <c r="F877" s="3"/>
      <c r="G877" s="3"/>
      <c r="H877" s="3"/>
      <c r="I877" s="3"/>
    </row>
    <row r="878" spans="1:9" ht="25" customHeight="1" x14ac:dyDescent="0.15">
      <c r="A878" s="3"/>
      <c r="B878" s="3"/>
      <c r="C878" s="3"/>
      <c r="D878" s="3"/>
      <c r="E878" s="3"/>
      <c r="F878" s="3"/>
      <c r="G878" s="3"/>
      <c r="H878" s="3"/>
      <c r="I878" s="3"/>
    </row>
    <row r="879" spans="1:9" ht="25" customHeight="1" x14ac:dyDescent="0.15">
      <c r="A879" s="3"/>
      <c r="B879" s="3"/>
      <c r="C879" s="3"/>
      <c r="D879" s="3"/>
      <c r="E879" s="3"/>
      <c r="F879" s="3"/>
      <c r="G879" s="3"/>
      <c r="H879" s="3"/>
      <c r="I879" s="3"/>
    </row>
    <row r="880" spans="1:9" ht="25" customHeight="1" x14ac:dyDescent="0.15">
      <c r="A880" s="3"/>
      <c r="B880" s="3"/>
      <c r="C880" s="3"/>
      <c r="D880" s="3"/>
      <c r="E880" s="3"/>
      <c r="F880" s="3"/>
      <c r="G880" s="3"/>
      <c r="H880" s="3"/>
      <c r="I880" s="3"/>
    </row>
    <row r="881" spans="1:9" ht="25" customHeight="1" x14ac:dyDescent="0.15">
      <c r="A881" s="3"/>
      <c r="B881" s="3"/>
      <c r="C881" s="3"/>
      <c r="D881" s="3"/>
      <c r="E881" s="3"/>
      <c r="F881" s="3"/>
      <c r="G881" s="3"/>
      <c r="H881" s="3"/>
      <c r="I881" s="3"/>
    </row>
    <row r="882" spans="1:9" ht="25" customHeight="1" x14ac:dyDescent="0.15">
      <c r="A882" s="3"/>
      <c r="B882" s="3"/>
      <c r="C882" s="3"/>
      <c r="D882" s="3"/>
      <c r="E882" s="3"/>
      <c r="F882" s="3"/>
      <c r="G882" s="3"/>
      <c r="H882" s="3"/>
      <c r="I882" s="3"/>
    </row>
    <row r="883" spans="1:9" ht="25" customHeight="1" x14ac:dyDescent="0.15">
      <c r="A883" s="3"/>
      <c r="B883" s="3"/>
      <c r="C883" s="3"/>
      <c r="D883" s="3"/>
      <c r="E883" s="3"/>
      <c r="F883" s="3"/>
      <c r="G883" s="3"/>
      <c r="H883" s="3"/>
      <c r="I883" s="3"/>
    </row>
    <row r="884" spans="1:9" ht="25" customHeight="1" x14ac:dyDescent="0.15">
      <c r="A884" s="3"/>
      <c r="B884" s="3"/>
      <c r="C884" s="3"/>
      <c r="D884" s="3"/>
      <c r="E884" s="3"/>
      <c r="F884" s="3"/>
      <c r="G884" s="3"/>
      <c r="H884" s="3"/>
      <c r="I884" s="3"/>
    </row>
    <row r="885" spans="1:9" ht="25" customHeight="1" x14ac:dyDescent="0.15">
      <c r="A885" s="3"/>
      <c r="B885" s="3"/>
      <c r="C885" s="3"/>
      <c r="D885" s="3"/>
      <c r="E885" s="3"/>
      <c r="F885" s="3"/>
      <c r="G885" s="3"/>
      <c r="H885" s="3"/>
      <c r="I885" s="3"/>
    </row>
    <row r="886" spans="1:9" ht="25" customHeight="1" x14ac:dyDescent="0.15">
      <c r="A886" s="3"/>
      <c r="B886" s="3"/>
      <c r="C886" s="3"/>
      <c r="D886" s="3"/>
      <c r="E886" s="3"/>
      <c r="F886" s="3"/>
      <c r="G886" s="3"/>
      <c r="H886" s="3"/>
      <c r="I886" s="3"/>
    </row>
    <row r="887" spans="1:9" ht="25" customHeight="1" x14ac:dyDescent="0.15">
      <c r="A887" s="3"/>
      <c r="B887" s="3"/>
      <c r="C887" s="3"/>
      <c r="D887" s="3"/>
      <c r="E887" s="3"/>
      <c r="F887" s="3"/>
      <c r="G887" s="3"/>
      <c r="H887" s="3"/>
      <c r="I887" s="3"/>
    </row>
    <row r="888" spans="1:9" ht="25" customHeight="1" x14ac:dyDescent="0.15">
      <c r="A888" s="3"/>
      <c r="B888" s="3"/>
      <c r="C888" s="3"/>
      <c r="D888" s="3"/>
      <c r="E888" s="3"/>
      <c r="F888" s="3"/>
      <c r="G888" s="3"/>
      <c r="H888" s="3"/>
      <c r="I888" s="3"/>
    </row>
    <row r="889" spans="1:9" ht="25" customHeight="1" x14ac:dyDescent="0.15">
      <c r="A889" s="3"/>
      <c r="B889" s="3"/>
      <c r="C889" s="3"/>
      <c r="D889" s="3"/>
      <c r="E889" s="3"/>
      <c r="F889" s="3"/>
      <c r="G889" s="3"/>
      <c r="H889" s="3"/>
      <c r="I889" s="3"/>
    </row>
    <row r="890" spans="1:9" ht="25" customHeight="1" x14ac:dyDescent="0.15">
      <c r="A890" s="3"/>
      <c r="B890" s="3"/>
      <c r="C890" s="3"/>
      <c r="D890" s="3"/>
      <c r="E890" s="3"/>
      <c r="F890" s="3"/>
      <c r="G890" s="3"/>
      <c r="H890" s="3"/>
      <c r="I890" s="3"/>
    </row>
    <row r="891" spans="1:9" ht="25" customHeight="1" x14ac:dyDescent="0.15">
      <c r="A891" s="3"/>
      <c r="B891" s="3"/>
      <c r="C891" s="3"/>
      <c r="D891" s="3"/>
      <c r="E891" s="3"/>
      <c r="F891" s="3"/>
      <c r="G891" s="3"/>
      <c r="H891" s="3"/>
      <c r="I891" s="3"/>
    </row>
    <row r="892" spans="1:9" ht="25" customHeight="1" x14ac:dyDescent="0.15">
      <c r="A892" s="3"/>
      <c r="B892" s="3"/>
      <c r="C892" s="3"/>
      <c r="D892" s="3"/>
      <c r="E892" s="3"/>
      <c r="F892" s="3"/>
      <c r="G892" s="3"/>
      <c r="H892" s="3"/>
      <c r="I892" s="3"/>
    </row>
    <row r="893" spans="1:9" ht="25" customHeight="1" x14ac:dyDescent="0.15">
      <c r="A893" s="3"/>
      <c r="B893" s="3"/>
      <c r="C893" s="3"/>
      <c r="D893" s="3"/>
      <c r="E893" s="3"/>
      <c r="F893" s="3"/>
      <c r="G893" s="3"/>
      <c r="H893" s="3"/>
      <c r="I893" s="3"/>
    </row>
    <row r="894" spans="1:9" ht="25" customHeight="1" x14ac:dyDescent="0.15">
      <c r="A894" s="3"/>
      <c r="B894" s="3"/>
      <c r="C894" s="3"/>
      <c r="D894" s="3"/>
      <c r="E894" s="3"/>
      <c r="F894" s="3"/>
      <c r="G894" s="3"/>
      <c r="H894" s="3"/>
      <c r="I894" s="3"/>
    </row>
    <row r="895" spans="1:9" ht="25" customHeight="1" x14ac:dyDescent="0.15">
      <c r="A895" s="3"/>
      <c r="B895" s="3"/>
      <c r="C895" s="3"/>
      <c r="D895" s="3"/>
      <c r="E895" s="3"/>
      <c r="F895" s="3"/>
      <c r="G895" s="3"/>
      <c r="H895" s="3"/>
      <c r="I895" s="3"/>
    </row>
    <row r="896" spans="1:9" ht="25" customHeight="1" x14ac:dyDescent="0.15">
      <c r="A896" s="3"/>
      <c r="B896" s="3"/>
      <c r="C896" s="3"/>
      <c r="D896" s="3"/>
      <c r="E896" s="3"/>
      <c r="F896" s="3"/>
      <c r="G896" s="3"/>
      <c r="H896" s="3"/>
      <c r="I896" s="3"/>
    </row>
    <row r="897" spans="1:9" ht="25" customHeight="1" x14ac:dyDescent="0.15">
      <c r="A897" s="3"/>
      <c r="B897" s="3"/>
      <c r="C897" s="3"/>
      <c r="D897" s="3"/>
      <c r="E897" s="3"/>
      <c r="F897" s="3"/>
      <c r="G897" s="3"/>
      <c r="H897" s="3"/>
      <c r="I897" s="3"/>
    </row>
    <row r="898" spans="1:9" ht="25" customHeight="1" x14ac:dyDescent="0.15">
      <c r="A898" s="3"/>
      <c r="B898" s="3"/>
      <c r="C898" s="3"/>
      <c r="D898" s="3"/>
      <c r="E898" s="3"/>
      <c r="F898" s="3"/>
      <c r="G898" s="3"/>
      <c r="H898" s="3"/>
      <c r="I898" s="3"/>
    </row>
    <row r="899" spans="1:9" ht="25" customHeight="1" x14ac:dyDescent="0.15">
      <c r="A899" s="3"/>
      <c r="B899" s="3"/>
      <c r="C899" s="3"/>
      <c r="D899" s="3"/>
      <c r="E899" s="3"/>
      <c r="F899" s="3"/>
      <c r="G899" s="3"/>
      <c r="H899" s="3"/>
      <c r="I899" s="3"/>
    </row>
    <row r="900" spans="1:9" ht="25" customHeight="1" x14ac:dyDescent="0.15">
      <c r="A900" s="3"/>
      <c r="B900" s="3"/>
      <c r="C900" s="3"/>
      <c r="D900" s="3"/>
      <c r="E900" s="3"/>
      <c r="F900" s="3"/>
      <c r="G900" s="3"/>
      <c r="H900" s="3"/>
      <c r="I900" s="3"/>
    </row>
    <row r="901" spans="1:9" ht="25" customHeight="1" x14ac:dyDescent="0.15">
      <c r="A901" s="3"/>
      <c r="B901" s="3"/>
      <c r="C901" s="3"/>
      <c r="D901" s="3"/>
      <c r="E901" s="3"/>
      <c r="F901" s="3"/>
      <c r="G901" s="3"/>
      <c r="H901" s="3"/>
      <c r="I901" s="3"/>
    </row>
    <row r="902" spans="1:9" ht="25" customHeight="1" x14ac:dyDescent="0.15">
      <c r="A902" s="3"/>
      <c r="B902" s="3"/>
      <c r="C902" s="3"/>
      <c r="D902" s="3"/>
      <c r="E902" s="3"/>
      <c r="F902" s="3"/>
      <c r="G902" s="3"/>
      <c r="H902" s="3"/>
      <c r="I902" s="3"/>
    </row>
    <row r="903" spans="1:9" ht="25" customHeight="1" x14ac:dyDescent="0.15">
      <c r="A903" s="3"/>
      <c r="B903" s="3"/>
      <c r="C903" s="3"/>
      <c r="D903" s="3"/>
      <c r="E903" s="3"/>
      <c r="F903" s="3"/>
      <c r="G903" s="3"/>
      <c r="H903" s="3"/>
      <c r="I903" s="3"/>
    </row>
    <row r="904" spans="1:9" ht="25" customHeight="1" x14ac:dyDescent="0.15">
      <c r="A904" s="3"/>
      <c r="B904" s="3"/>
      <c r="C904" s="3"/>
      <c r="D904" s="3"/>
      <c r="E904" s="3"/>
      <c r="F904" s="3"/>
      <c r="G904" s="3"/>
      <c r="H904" s="3"/>
      <c r="I904" s="3"/>
    </row>
    <row r="905" spans="1:9" ht="25" customHeight="1" x14ac:dyDescent="0.15">
      <c r="A905" s="3"/>
      <c r="B905" s="3"/>
      <c r="C905" s="3"/>
      <c r="D905" s="3"/>
      <c r="E905" s="3"/>
      <c r="F905" s="3"/>
      <c r="G905" s="3"/>
      <c r="H905" s="3"/>
      <c r="I905" s="3"/>
    </row>
    <row r="906" spans="1:9" ht="25" customHeight="1" x14ac:dyDescent="0.15">
      <c r="A906" s="3"/>
      <c r="B906" s="3"/>
      <c r="C906" s="3"/>
      <c r="D906" s="3"/>
      <c r="E906" s="3"/>
      <c r="F906" s="3"/>
      <c r="G906" s="3"/>
      <c r="H906" s="3"/>
      <c r="I906" s="3"/>
    </row>
    <row r="907" spans="1:9" ht="25" customHeight="1" x14ac:dyDescent="0.15">
      <c r="A907" s="3"/>
      <c r="B907" s="3"/>
      <c r="C907" s="3"/>
      <c r="D907" s="3"/>
      <c r="E907" s="3"/>
      <c r="F907" s="3"/>
      <c r="G907" s="3"/>
      <c r="H907" s="3"/>
      <c r="I907" s="3"/>
    </row>
    <row r="908" spans="1:9" ht="25" customHeight="1" x14ac:dyDescent="0.15">
      <c r="A908" s="3"/>
      <c r="B908" s="3"/>
      <c r="C908" s="3"/>
      <c r="D908" s="3"/>
      <c r="E908" s="3"/>
      <c r="F908" s="3"/>
      <c r="G908" s="3"/>
      <c r="H908" s="3"/>
      <c r="I908" s="3"/>
    </row>
    <row r="909" spans="1:9" ht="25" customHeight="1" x14ac:dyDescent="0.15">
      <c r="A909" s="3"/>
      <c r="B909" s="3"/>
      <c r="C909" s="3"/>
      <c r="D909" s="3"/>
      <c r="E909" s="3"/>
      <c r="F909" s="3"/>
      <c r="G909" s="3"/>
      <c r="H909" s="3"/>
      <c r="I909" s="3"/>
    </row>
    <row r="910" spans="1:9" ht="25" customHeight="1" x14ac:dyDescent="0.15">
      <c r="A910" s="3"/>
      <c r="B910" s="3"/>
      <c r="C910" s="3"/>
      <c r="D910" s="3"/>
      <c r="E910" s="3"/>
      <c r="F910" s="3"/>
      <c r="G910" s="3"/>
      <c r="H910" s="3"/>
      <c r="I910" s="3"/>
    </row>
    <row r="911" spans="1:9" ht="25" customHeight="1" x14ac:dyDescent="0.15">
      <c r="A911" s="3"/>
      <c r="B911" s="3"/>
      <c r="C911" s="3"/>
      <c r="D911" s="3"/>
      <c r="E911" s="3"/>
      <c r="F911" s="3"/>
      <c r="G911" s="3"/>
      <c r="H911" s="3"/>
      <c r="I911" s="3"/>
    </row>
    <row r="912" spans="1:9" ht="25" customHeight="1" x14ac:dyDescent="0.15">
      <c r="A912" s="3"/>
      <c r="B912" s="3"/>
      <c r="C912" s="3"/>
      <c r="D912" s="3"/>
      <c r="E912" s="3"/>
      <c r="F912" s="3"/>
      <c r="G912" s="3"/>
      <c r="H912" s="3"/>
      <c r="I912" s="3"/>
    </row>
    <row r="913" spans="1:9" ht="25" customHeight="1" x14ac:dyDescent="0.15">
      <c r="A913" s="3"/>
      <c r="B913" s="3"/>
      <c r="C913" s="3"/>
      <c r="D913" s="3"/>
      <c r="E913" s="3"/>
      <c r="F913" s="3"/>
      <c r="G913" s="3"/>
      <c r="H913" s="3"/>
      <c r="I913" s="3"/>
    </row>
    <row r="914" spans="1:9" ht="25" customHeight="1" x14ac:dyDescent="0.15">
      <c r="A914" s="3"/>
      <c r="B914" s="3"/>
      <c r="C914" s="3"/>
      <c r="D914" s="3"/>
      <c r="E914" s="3"/>
      <c r="F914" s="3"/>
      <c r="G914" s="3"/>
      <c r="H914" s="3"/>
      <c r="I914" s="3"/>
    </row>
    <row r="915" spans="1:9" ht="25" customHeight="1" x14ac:dyDescent="0.15">
      <c r="A915" s="3"/>
      <c r="B915" s="3"/>
      <c r="C915" s="3"/>
      <c r="D915" s="3"/>
      <c r="E915" s="3"/>
      <c r="F915" s="3"/>
      <c r="G915" s="3"/>
      <c r="H915" s="3"/>
      <c r="I915" s="3"/>
    </row>
    <row r="916" spans="1:9" ht="25" customHeight="1" x14ac:dyDescent="0.15">
      <c r="A916" s="3"/>
      <c r="B916" s="3"/>
      <c r="C916" s="3"/>
      <c r="D916" s="3"/>
      <c r="E916" s="3"/>
      <c r="F916" s="3"/>
      <c r="G916" s="3"/>
      <c r="H916" s="3"/>
      <c r="I916" s="3"/>
    </row>
    <row r="917" spans="1:9" ht="25" customHeight="1" x14ac:dyDescent="0.15">
      <c r="A917" s="3"/>
      <c r="B917" s="3"/>
      <c r="C917" s="3"/>
      <c r="D917" s="3"/>
      <c r="E917" s="3"/>
      <c r="F917" s="3"/>
      <c r="G917" s="3"/>
      <c r="H917" s="3"/>
      <c r="I917" s="3"/>
    </row>
    <row r="918" spans="1:9" ht="25" customHeight="1" x14ac:dyDescent="0.15">
      <c r="A918" s="3"/>
      <c r="B918" s="3"/>
      <c r="C918" s="3"/>
      <c r="D918" s="3"/>
      <c r="E918" s="3"/>
      <c r="F918" s="3"/>
      <c r="G918" s="3"/>
      <c r="H918" s="3"/>
      <c r="I918" s="3"/>
    </row>
    <row r="919" spans="1:9" ht="25" customHeight="1" x14ac:dyDescent="0.15">
      <c r="A919" s="3"/>
      <c r="B919" s="3"/>
      <c r="C919" s="3"/>
      <c r="D919" s="3"/>
      <c r="E919" s="3"/>
      <c r="F919" s="3"/>
      <c r="G919" s="3"/>
      <c r="H919" s="3"/>
      <c r="I919" s="3"/>
    </row>
    <row r="920" spans="1:9" ht="25" customHeight="1" x14ac:dyDescent="0.15">
      <c r="A920" s="3"/>
      <c r="B920" s="3"/>
      <c r="C920" s="3"/>
      <c r="D920" s="3"/>
      <c r="E920" s="3"/>
      <c r="F920" s="3"/>
      <c r="G920" s="3"/>
      <c r="H920" s="3"/>
      <c r="I920" s="3"/>
    </row>
    <row r="921" spans="1:9" ht="25" customHeight="1" x14ac:dyDescent="0.15">
      <c r="A921" s="3"/>
      <c r="B921" s="3"/>
      <c r="C921" s="3"/>
      <c r="D921" s="3"/>
      <c r="E921" s="3"/>
      <c r="F921" s="3"/>
      <c r="G921" s="3"/>
      <c r="H921" s="3"/>
      <c r="I921" s="3"/>
    </row>
    <row r="922" spans="1:9" ht="25" customHeight="1" x14ac:dyDescent="0.15">
      <c r="A922" s="3"/>
      <c r="B922" s="3"/>
      <c r="C922" s="3"/>
      <c r="D922" s="3"/>
      <c r="E922" s="3"/>
      <c r="F922" s="3"/>
      <c r="G922" s="3"/>
      <c r="H922" s="3"/>
      <c r="I922" s="3"/>
    </row>
    <row r="923" spans="1:9" ht="25" customHeight="1" x14ac:dyDescent="0.15">
      <c r="A923" s="3"/>
      <c r="B923" s="3"/>
      <c r="C923" s="3"/>
      <c r="D923" s="3"/>
      <c r="E923" s="3"/>
      <c r="F923" s="3"/>
      <c r="G923" s="3"/>
      <c r="H923" s="3"/>
      <c r="I923" s="3"/>
    </row>
    <row r="924" spans="1:9" ht="25" customHeight="1" x14ac:dyDescent="0.15">
      <c r="A924" s="3"/>
      <c r="B924" s="3"/>
      <c r="C924" s="3"/>
      <c r="D924" s="3"/>
      <c r="E924" s="3"/>
      <c r="F924" s="3"/>
      <c r="G924" s="3"/>
      <c r="H924" s="3"/>
      <c r="I924" s="3"/>
    </row>
    <row r="925" spans="1:9" ht="25" customHeight="1" x14ac:dyDescent="0.15">
      <c r="A925" s="3"/>
      <c r="B925" s="3"/>
      <c r="C925" s="3"/>
      <c r="D925" s="3"/>
      <c r="E925" s="3"/>
      <c r="F925" s="3"/>
      <c r="G925" s="3"/>
      <c r="H925" s="3"/>
      <c r="I925" s="3"/>
    </row>
    <row r="926" spans="1:9" ht="25" customHeight="1" x14ac:dyDescent="0.15">
      <c r="A926" s="3"/>
      <c r="B926" s="3"/>
      <c r="C926" s="3"/>
      <c r="D926" s="3"/>
      <c r="E926" s="3"/>
      <c r="F926" s="3"/>
      <c r="G926" s="3"/>
      <c r="H926" s="3"/>
      <c r="I926" s="3"/>
    </row>
    <row r="927" spans="1:9" ht="25" customHeight="1" x14ac:dyDescent="0.15">
      <c r="A927" s="3"/>
      <c r="B927" s="3"/>
      <c r="C927" s="3"/>
      <c r="D927" s="3"/>
      <c r="E927" s="3"/>
      <c r="F927" s="3"/>
      <c r="G927" s="3"/>
      <c r="H927" s="3"/>
      <c r="I927" s="3"/>
    </row>
    <row r="928" spans="1:9" ht="25" customHeight="1" x14ac:dyDescent="0.15">
      <c r="A928" s="3"/>
      <c r="B928" s="3"/>
      <c r="C928" s="3"/>
      <c r="D928" s="3"/>
      <c r="E928" s="3"/>
      <c r="F928" s="3"/>
      <c r="G928" s="3"/>
      <c r="H928" s="3"/>
      <c r="I928" s="3"/>
    </row>
    <row r="929" spans="1:9" ht="25" customHeight="1" x14ac:dyDescent="0.15">
      <c r="A929" s="3"/>
      <c r="B929" s="3"/>
      <c r="C929" s="3"/>
      <c r="D929" s="3"/>
      <c r="E929" s="3"/>
      <c r="F929" s="3"/>
      <c r="G929" s="3"/>
      <c r="H929" s="3"/>
      <c r="I929" s="3"/>
    </row>
    <row r="930" spans="1:9" ht="25" customHeight="1" x14ac:dyDescent="0.15">
      <c r="A930" s="3"/>
      <c r="B930" s="3"/>
      <c r="C930" s="3"/>
      <c r="D930" s="3"/>
      <c r="E930" s="3"/>
      <c r="F930" s="3"/>
      <c r="G930" s="3"/>
      <c r="H930" s="3"/>
      <c r="I930" s="3"/>
    </row>
    <row r="931" spans="1:9" ht="25" customHeight="1" x14ac:dyDescent="0.15">
      <c r="A931" s="3"/>
      <c r="B931" s="3"/>
      <c r="C931" s="3"/>
      <c r="D931" s="3"/>
      <c r="E931" s="3"/>
      <c r="F931" s="3"/>
      <c r="G931" s="3"/>
      <c r="H931" s="3"/>
      <c r="I931" s="3"/>
    </row>
    <row r="932" spans="1:9" ht="25" customHeight="1" x14ac:dyDescent="0.15">
      <c r="A932" s="3"/>
      <c r="B932" s="3"/>
      <c r="C932" s="3"/>
      <c r="D932" s="3"/>
      <c r="E932" s="3"/>
      <c r="F932" s="3"/>
      <c r="G932" s="3"/>
      <c r="H932" s="3"/>
      <c r="I932" s="3"/>
    </row>
    <row r="933" spans="1:9" ht="25" customHeight="1" x14ac:dyDescent="0.15">
      <c r="A933" s="3"/>
      <c r="B933" s="3"/>
      <c r="C933" s="3"/>
      <c r="D933" s="3"/>
      <c r="E933" s="3"/>
      <c r="F933" s="3"/>
      <c r="G933" s="3"/>
      <c r="H933" s="3"/>
      <c r="I933" s="3"/>
    </row>
    <row r="934" spans="1:9" ht="25" customHeight="1" x14ac:dyDescent="0.15">
      <c r="A934" s="3"/>
      <c r="B934" s="3"/>
      <c r="C934" s="3"/>
      <c r="D934" s="3"/>
      <c r="E934" s="3"/>
      <c r="F934" s="3"/>
      <c r="G934" s="3"/>
      <c r="H934" s="3"/>
      <c r="I934" s="3"/>
    </row>
    <row r="935" spans="1:9" ht="25" customHeight="1" x14ac:dyDescent="0.15">
      <c r="A935" s="3"/>
      <c r="B935" s="3"/>
      <c r="C935" s="3"/>
      <c r="D935" s="3"/>
      <c r="E935" s="3"/>
      <c r="F935" s="3"/>
      <c r="G935" s="3"/>
      <c r="H935" s="3"/>
      <c r="I935" s="3"/>
    </row>
    <row r="936" spans="1:9" ht="25" customHeight="1" x14ac:dyDescent="0.15">
      <c r="A936" s="3"/>
      <c r="B936" s="3"/>
      <c r="C936" s="3"/>
      <c r="D936" s="3"/>
      <c r="E936" s="3"/>
      <c r="F936" s="3"/>
      <c r="G936" s="3"/>
      <c r="H936" s="3"/>
      <c r="I936" s="3"/>
    </row>
    <row r="937" spans="1:9" ht="25" customHeight="1" x14ac:dyDescent="0.15">
      <c r="A937" s="3"/>
      <c r="B937" s="3"/>
      <c r="C937" s="3"/>
      <c r="D937" s="3"/>
      <c r="E937" s="3"/>
      <c r="F937" s="3"/>
      <c r="G937" s="3"/>
      <c r="H937" s="3"/>
      <c r="I937" s="3"/>
    </row>
    <row r="938" spans="1:9" ht="25" customHeight="1" x14ac:dyDescent="0.15">
      <c r="A938" s="3"/>
      <c r="B938" s="3"/>
      <c r="C938" s="3"/>
      <c r="D938" s="3"/>
      <c r="E938" s="3"/>
      <c r="F938" s="3"/>
      <c r="G938" s="3"/>
      <c r="H938" s="3"/>
      <c r="I938" s="3"/>
    </row>
    <row r="939" spans="1:9" ht="25" customHeight="1" x14ac:dyDescent="0.15">
      <c r="A939" s="3"/>
      <c r="B939" s="3"/>
      <c r="C939" s="3"/>
      <c r="D939" s="3"/>
      <c r="E939" s="3"/>
      <c r="F939" s="3"/>
      <c r="G939" s="3"/>
      <c r="H939" s="3"/>
      <c r="I939" s="3"/>
    </row>
    <row r="940" spans="1:9" ht="25" customHeight="1" x14ac:dyDescent="0.15">
      <c r="A940" s="3"/>
      <c r="B940" s="3"/>
      <c r="C940" s="3"/>
      <c r="D940" s="3"/>
      <c r="E940" s="3"/>
      <c r="F940" s="3"/>
      <c r="G940" s="3"/>
      <c r="H940" s="3"/>
      <c r="I940" s="3"/>
    </row>
    <row r="941" spans="1:9" ht="25" customHeight="1" x14ac:dyDescent="0.15">
      <c r="A941" s="3"/>
      <c r="B941" s="3"/>
      <c r="C941" s="3"/>
      <c r="D941" s="3"/>
      <c r="E941" s="3"/>
      <c r="F941" s="3"/>
      <c r="G941" s="3"/>
      <c r="H941" s="3"/>
      <c r="I941" s="3"/>
    </row>
    <row r="942" spans="1:9" ht="25" customHeight="1" x14ac:dyDescent="0.15">
      <c r="A942" s="3"/>
      <c r="B942" s="3"/>
      <c r="C942" s="3"/>
      <c r="D942" s="3"/>
      <c r="E942" s="3"/>
      <c r="F942" s="3"/>
      <c r="G942" s="3"/>
      <c r="H942" s="3"/>
      <c r="I942" s="3"/>
    </row>
    <row r="943" spans="1:9" ht="25" customHeight="1" x14ac:dyDescent="0.15">
      <c r="A943" s="3"/>
      <c r="B943" s="3"/>
      <c r="C943" s="3"/>
      <c r="D943" s="3"/>
      <c r="E943" s="3"/>
      <c r="F943" s="3"/>
      <c r="G943" s="3"/>
      <c r="H943" s="3"/>
      <c r="I943" s="3"/>
    </row>
    <row r="944" spans="1:9" ht="25" customHeight="1" x14ac:dyDescent="0.15">
      <c r="A944" s="3"/>
      <c r="B944" s="3"/>
      <c r="C944" s="3"/>
      <c r="D944" s="3"/>
      <c r="E944" s="3"/>
      <c r="F944" s="3"/>
      <c r="G944" s="3"/>
      <c r="H944" s="3"/>
      <c r="I944" s="3"/>
    </row>
    <row r="945" spans="1:9" ht="25" customHeight="1" x14ac:dyDescent="0.15">
      <c r="A945" s="3"/>
      <c r="B945" s="3"/>
      <c r="C945" s="3"/>
      <c r="D945" s="3"/>
      <c r="E945" s="3"/>
      <c r="F945" s="3"/>
      <c r="G945" s="3"/>
      <c r="H945" s="3"/>
      <c r="I945" s="3"/>
    </row>
    <row r="946" spans="1:9" ht="25" customHeight="1" x14ac:dyDescent="0.15">
      <c r="A946" s="3"/>
      <c r="B946" s="3"/>
      <c r="C946" s="3"/>
      <c r="D946" s="3"/>
      <c r="E946" s="3"/>
      <c r="F946" s="3"/>
      <c r="G946" s="3"/>
      <c r="H946" s="3"/>
      <c r="I946" s="3"/>
    </row>
    <row r="947" spans="1:9" ht="25" customHeight="1" x14ac:dyDescent="0.15">
      <c r="A947" s="3"/>
      <c r="B947" s="3"/>
      <c r="C947" s="3"/>
      <c r="D947" s="3"/>
      <c r="E947" s="3"/>
      <c r="F947" s="3"/>
      <c r="G947" s="3"/>
      <c r="H947" s="3"/>
      <c r="I947" s="3"/>
    </row>
    <row r="948" spans="1:9" ht="25" customHeight="1" x14ac:dyDescent="0.15">
      <c r="A948" s="3"/>
      <c r="B948" s="3"/>
      <c r="C948" s="3"/>
      <c r="D948" s="3"/>
      <c r="E948" s="3"/>
      <c r="F948" s="3"/>
      <c r="G948" s="3"/>
      <c r="H948" s="3"/>
      <c r="I948" s="3"/>
    </row>
    <row r="949" spans="1:9" ht="25" customHeight="1" x14ac:dyDescent="0.15">
      <c r="A949" s="3"/>
      <c r="B949" s="3"/>
      <c r="C949" s="3"/>
      <c r="D949" s="3"/>
      <c r="E949" s="3"/>
      <c r="F949" s="3"/>
      <c r="G949" s="3"/>
      <c r="H949" s="3"/>
      <c r="I949" s="3"/>
    </row>
    <row r="950" spans="1:9" ht="25" customHeight="1" x14ac:dyDescent="0.15">
      <c r="A950" s="3"/>
      <c r="B950" s="3"/>
      <c r="C950" s="3"/>
      <c r="D950" s="3"/>
      <c r="E950" s="3"/>
      <c r="F950" s="3"/>
      <c r="G950" s="3"/>
      <c r="H950" s="3"/>
      <c r="I950" s="3"/>
    </row>
    <row r="951" spans="1:9" ht="25" customHeight="1" x14ac:dyDescent="0.15">
      <c r="A951" s="3"/>
      <c r="B951" s="3"/>
      <c r="C951" s="3"/>
      <c r="D951" s="3"/>
      <c r="E951" s="3"/>
      <c r="F951" s="3"/>
      <c r="G951" s="3"/>
      <c r="H951" s="3"/>
      <c r="I951" s="3"/>
    </row>
    <row r="952" spans="1:9" ht="25" customHeight="1" x14ac:dyDescent="0.15">
      <c r="A952" s="3"/>
      <c r="B952" s="3"/>
      <c r="C952" s="3"/>
      <c r="D952" s="3"/>
      <c r="E952" s="3"/>
      <c r="F952" s="3"/>
      <c r="G952" s="3"/>
      <c r="H952" s="3"/>
      <c r="I952" s="3"/>
    </row>
    <row r="953" spans="1:9" ht="25" customHeight="1" x14ac:dyDescent="0.15">
      <c r="A953" s="3"/>
      <c r="B953" s="3"/>
      <c r="C953" s="3"/>
      <c r="D953" s="3"/>
      <c r="E953" s="3"/>
      <c r="F953" s="3"/>
      <c r="G953" s="3"/>
      <c r="H953" s="3"/>
      <c r="I953" s="3"/>
    </row>
    <row r="954" spans="1:9" ht="25" customHeight="1" x14ac:dyDescent="0.15">
      <c r="A954" s="3"/>
      <c r="B954" s="3"/>
      <c r="C954" s="3"/>
      <c r="D954" s="3"/>
      <c r="E954" s="3"/>
      <c r="F954" s="3"/>
      <c r="G954" s="3"/>
      <c r="H954" s="3"/>
      <c r="I954" s="3"/>
    </row>
    <row r="955" spans="1:9" ht="25" customHeight="1" x14ac:dyDescent="0.15">
      <c r="A955" s="3"/>
      <c r="B955" s="3"/>
      <c r="C955" s="3"/>
      <c r="D955" s="3"/>
      <c r="E955" s="3"/>
      <c r="F955" s="3"/>
      <c r="G955" s="3"/>
      <c r="H955" s="3"/>
      <c r="I955" s="3"/>
    </row>
    <row r="956" spans="1:9" ht="25" customHeight="1" x14ac:dyDescent="0.15">
      <c r="A956" s="3"/>
      <c r="B956" s="3"/>
      <c r="C956" s="3"/>
      <c r="D956" s="3"/>
      <c r="E956" s="3"/>
      <c r="F956" s="3"/>
      <c r="G956" s="3"/>
      <c r="H956" s="3"/>
      <c r="I956" s="3"/>
    </row>
    <row r="957" spans="1:9" ht="25" customHeight="1" x14ac:dyDescent="0.15">
      <c r="A957" s="3"/>
      <c r="B957" s="3"/>
      <c r="C957" s="3"/>
      <c r="D957" s="3"/>
      <c r="E957" s="3"/>
      <c r="F957" s="3"/>
      <c r="G957" s="3"/>
      <c r="H957" s="3"/>
      <c r="I957" s="3"/>
    </row>
    <row r="958" spans="1:9" ht="25" customHeight="1" x14ac:dyDescent="0.15">
      <c r="A958" s="3"/>
      <c r="B958" s="3"/>
      <c r="C958" s="3"/>
      <c r="D958" s="3"/>
      <c r="E958" s="3"/>
      <c r="F958" s="3"/>
      <c r="G958" s="3"/>
      <c r="H958" s="3"/>
      <c r="I958" s="3"/>
    </row>
    <row r="959" spans="1:9" ht="25" customHeight="1" x14ac:dyDescent="0.15">
      <c r="A959" s="3"/>
      <c r="B959" s="3"/>
      <c r="C959" s="3"/>
      <c r="D959" s="3"/>
      <c r="E959" s="3"/>
      <c r="F959" s="3"/>
      <c r="G959" s="3"/>
      <c r="H959" s="3"/>
      <c r="I959" s="3"/>
    </row>
    <row r="960" spans="1:9" ht="25" customHeight="1" x14ac:dyDescent="0.15">
      <c r="A960" s="3"/>
      <c r="B960" s="3"/>
      <c r="C960" s="3"/>
      <c r="D960" s="3"/>
      <c r="E960" s="3"/>
      <c r="F960" s="3"/>
      <c r="G960" s="3"/>
      <c r="H960" s="3"/>
      <c r="I960" s="3"/>
    </row>
    <row r="961" spans="1:9" ht="25" customHeight="1" x14ac:dyDescent="0.15">
      <c r="A961" s="3"/>
      <c r="B961" s="3"/>
      <c r="C961" s="3"/>
      <c r="D961" s="3"/>
      <c r="E961" s="3"/>
      <c r="F961" s="3"/>
      <c r="G961" s="3"/>
      <c r="H961" s="3"/>
      <c r="I961" s="3"/>
    </row>
    <row r="962" spans="1:9" ht="25" customHeight="1" x14ac:dyDescent="0.15">
      <c r="A962" s="3"/>
      <c r="B962" s="3"/>
      <c r="C962" s="3"/>
      <c r="D962" s="3"/>
      <c r="E962" s="3"/>
      <c r="F962" s="3"/>
      <c r="G962" s="3"/>
      <c r="H962" s="3"/>
      <c r="I962" s="3"/>
    </row>
    <row r="963" spans="1:9" ht="25" customHeight="1" x14ac:dyDescent="0.15">
      <c r="A963" s="3"/>
      <c r="B963" s="3"/>
      <c r="C963" s="3"/>
      <c r="D963" s="3"/>
      <c r="E963" s="3"/>
      <c r="F963" s="3"/>
      <c r="G963" s="3"/>
      <c r="H963" s="3"/>
      <c r="I963" s="3"/>
    </row>
    <row r="964" spans="1:9" ht="25" customHeight="1" x14ac:dyDescent="0.15">
      <c r="A964" s="3"/>
      <c r="B964" s="3"/>
      <c r="C964" s="3"/>
      <c r="D964" s="3"/>
      <c r="E964" s="3"/>
      <c r="F964" s="3"/>
      <c r="G964" s="3"/>
      <c r="H964" s="3"/>
      <c r="I964" s="3"/>
    </row>
    <row r="965" spans="1:9" ht="25" customHeight="1" x14ac:dyDescent="0.15">
      <c r="A965" s="3"/>
      <c r="B965" s="3"/>
      <c r="C965" s="3"/>
      <c r="D965" s="3"/>
      <c r="E965" s="3"/>
      <c r="F965" s="3"/>
      <c r="G965" s="3"/>
      <c r="H965" s="3"/>
      <c r="I965" s="3"/>
    </row>
    <row r="966" spans="1:9" ht="25" customHeight="1" x14ac:dyDescent="0.15">
      <c r="A966" s="3"/>
      <c r="B966" s="3"/>
      <c r="C966" s="3"/>
      <c r="D966" s="3"/>
      <c r="E966" s="3"/>
      <c r="F966" s="3"/>
      <c r="G966" s="3"/>
      <c r="H966" s="3"/>
      <c r="I966" s="3"/>
    </row>
    <row r="967" spans="1:9" ht="25" customHeight="1" x14ac:dyDescent="0.15">
      <c r="A967" s="3"/>
      <c r="B967" s="3"/>
      <c r="C967" s="3"/>
      <c r="D967" s="3"/>
      <c r="E967" s="3"/>
      <c r="F967" s="3"/>
      <c r="G967" s="3"/>
      <c r="H967" s="3"/>
      <c r="I967" s="3"/>
    </row>
    <row r="968" spans="1:9" ht="25" customHeight="1" x14ac:dyDescent="0.15">
      <c r="A968" s="3"/>
      <c r="B968" s="3"/>
      <c r="C968" s="3"/>
      <c r="D968" s="3"/>
      <c r="E968" s="3"/>
      <c r="F968" s="3"/>
      <c r="G968" s="3"/>
      <c r="H968" s="3"/>
      <c r="I968" s="3"/>
    </row>
    <row r="969" spans="1:9" ht="25" customHeight="1" x14ac:dyDescent="0.15">
      <c r="A969" s="3"/>
      <c r="B969" s="3"/>
      <c r="C969" s="3"/>
      <c r="D969" s="3"/>
      <c r="E969" s="3"/>
      <c r="F969" s="3"/>
      <c r="G969" s="3"/>
      <c r="H969" s="3"/>
      <c r="I969" s="3"/>
    </row>
    <row r="970" spans="1:9" ht="25" customHeight="1" x14ac:dyDescent="0.15">
      <c r="A970" s="3"/>
      <c r="B970" s="3"/>
      <c r="C970" s="3"/>
      <c r="D970" s="3"/>
      <c r="E970" s="3"/>
      <c r="F970" s="3"/>
      <c r="G970" s="3"/>
      <c r="H970" s="3"/>
      <c r="I970" s="3"/>
    </row>
    <row r="971" spans="1:9" ht="25" customHeight="1" x14ac:dyDescent="0.15">
      <c r="A971" s="3"/>
      <c r="B971" s="3"/>
      <c r="C971" s="3"/>
      <c r="D971" s="3"/>
      <c r="E971" s="3"/>
      <c r="F971" s="3"/>
      <c r="G971" s="3"/>
      <c r="H971" s="3"/>
      <c r="I971" s="3"/>
    </row>
    <row r="972" spans="1:9" ht="25" customHeight="1" x14ac:dyDescent="0.15">
      <c r="A972" s="3"/>
      <c r="B972" s="3"/>
      <c r="C972" s="3"/>
      <c r="D972" s="3"/>
      <c r="E972" s="3"/>
      <c r="F972" s="3"/>
      <c r="G972" s="3"/>
      <c r="H972" s="3"/>
      <c r="I972" s="3"/>
    </row>
    <row r="973" spans="1:9" ht="25" customHeight="1" x14ac:dyDescent="0.15">
      <c r="A973" s="3"/>
      <c r="B973" s="3"/>
      <c r="C973" s="3"/>
      <c r="D973" s="3"/>
      <c r="E973" s="3"/>
      <c r="F973" s="3"/>
      <c r="G973" s="3"/>
      <c r="H973" s="3"/>
      <c r="I973" s="3"/>
    </row>
    <row r="974" spans="1:9" ht="25" customHeight="1" x14ac:dyDescent="0.15">
      <c r="A974" s="3"/>
      <c r="B974" s="3"/>
      <c r="C974" s="3"/>
      <c r="D974" s="3"/>
      <c r="E974" s="3"/>
      <c r="F974" s="3"/>
      <c r="G974" s="3"/>
      <c r="H974" s="3"/>
      <c r="I974" s="3"/>
    </row>
    <row r="975" spans="1:9" ht="25" customHeight="1" x14ac:dyDescent="0.15">
      <c r="A975" s="3"/>
      <c r="B975" s="3"/>
      <c r="C975" s="3"/>
      <c r="D975" s="3"/>
      <c r="E975" s="3"/>
      <c r="F975" s="3"/>
      <c r="G975" s="3"/>
      <c r="H975" s="3"/>
      <c r="I975" s="3"/>
    </row>
    <row r="976" spans="1:9" ht="25" customHeight="1" x14ac:dyDescent="0.15">
      <c r="A976" s="3"/>
      <c r="B976" s="3"/>
      <c r="C976" s="3"/>
      <c r="D976" s="3"/>
      <c r="E976" s="3"/>
      <c r="F976" s="3"/>
      <c r="G976" s="3"/>
      <c r="H976" s="3"/>
      <c r="I976" s="3"/>
    </row>
    <row r="977" spans="1:9" ht="25" customHeight="1" x14ac:dyDescent="0.15">
      <c r="A977" s="3"/>
      <c r="B977" s="3"/>
      <c r="C977" s="3"/>
      <c r="D977" s="3"/>
      <c r="E977" s="3"/>
      <c r="F977" s="3"/>
      <c r="G977" s="3"/>
      <c r="H977" s="3"/>
      <c r="I977" s="3"/>
    </row>
    <row r="978" spans="1:9" ht="25" customHeight="1" x14ac:dyDescent="0.15">
      <c r="A978" s="3"/>
      <c r="B978" s="3"/>
      <c r="C978" s="3"/>
      <c r="D978" s="3"/>
      <c r="E978" s="3"/>
      <c r="F978" s="3"/>
      <c r="G978" s="3"/>
      <c r="H978" s="3"/>
      <c r="I978" s="3"/>
    </row>
    <row r="979" spans="1:9" ht="25" customHeight="1" x14ac:dyDescent="0.15">
      <c r="A979" s="3"/>
      <c r="B979" s="3"/>
      <c r="C979" s="3"/>
      <c r="D979" s="3"/>
      <c r="E979" s="3"/>
      <c r="F979" s="3"/>
      <c r="G979" s="3"/>
      <c r="H979" s="3"/>
      <c r="I979" s="3"/>
    </row>
    <row r="980" spans="1:9" ht="25" customHeight="1" x14ac:dyDescent="0.15">
      <c r="A980" s="3"/>
      <c r="B980" s="3"/>
      <c r="C980" s="3"/>
      <c r="D980" s="3"/>
      <c r="E980" s="3"/>
      <c r="F980" s="3"/>
      <c r="G980" s="3"/>
      <c r="H980" s="3"/>
      <c r="I980" s="3"/>
    </row>
    <row r="981" spans="1:9" ht="25" customHeight="1" x14ac:dyDescent="0.15">
      <c r="A981" s="3"/>
      <c r="B981" s="3"/>
      <c r="C981" s="3"/>
      <c r="D981" s="3"/>
      <c r="E981" s="3"/>
      <c r="F981" s="3"/>
      <c r="G981" s="3"/>
      <c r="H981" s="3"/>
      <c r="I981" s="3"/>
    </row>
    <row r="982" spans="1:9" ht="25" customHeight="1" x14ac:dyDescent="0.15">
      <c r="A982" s="3"/>
      <c r="B982" s="3"/>
      <c r="C982" s="3"/>
      <c r="D982" s="3"/>
      <c r="E982" s="3"/>
      <c r="F982" s="3"/>
      <c r="G982" s="3"/>
      <c r="H982" s="3"/>
      <c r="I982" s="3"/>
    </row>
    <row r="983" spans="1:9" ht="25" customHeight="1" x14ac:dyDescent="0.15">
      <c r="A983" s="3"/>
      <c r="B983" s="3"/>
      <c r="C983" s="3"/>
      <c r="D983" s="3"/>
      <c r="E983" s="3"/>
      <c r="F983" s="3"/>
      <c r="G983" s="3"/>
      <c r="H983" s="3"/>
      <c r="I983" s="3"/>
    </row>
    <row r="984" spans="1:9" ht="25" customHeight="1" x14ac:dyDescent="0.15">
      <c r="A984" s="3"/>
      <c r="B984" s="3"/>
      <c r="C984" s="3"/>
      <c r="D984" s="3"/>
      <c r="E984" s="3"/>
      <c r="F984" s="3"/>
      <c r="G984" s="3"/>
      <c r="H984" s="3"/>
      <c r="I984" s="3"/>
    </row>
    <row r="985" spans="1:9" ht="25" customHeight="1" x14ac:dyDescent="0.15">
      <c r="A985" s="3"/>
      <c r="B985" s="3"/>
      <c r="C985" s="3"/>
      <c r="D985" s="3"/>
      <c r="E985" s="3"/>
      <c r="F985" s="3"/>
      <c r="G985" s="3"/>
      <c r="H985" s="3"/>
      <c r="I985" s="3"/>
    </row>
    <row r="986" spans="1:9" ht="25" customHeight="1" x14ac:dyDescent="0.15">
      <c r="A986" s="3"/>
      <c r="B986" s="3"/>
      <c r="C986" s="3"/>
      <c r="D986" s="3"/>
      <c r="E986" s="3"/>
      <c r="F986" s="3"/>
      <c r="G986" s="3"/>
      <c r="H986" s="3"/>
      <c r="I986" s="3"/>
    </row>
    <row r="987" spans="1:9" ht="25" customHeight="1" x14ac:dyDescent="0.15">
      <c r="A987" s="3"/>
      <c r="B987" s="3"/>
      <c r="C987" s="3"/>
      <c r="D987" s="3"/>
      <c r="E987" s="3"/>
      <c r="F987" s="3"/>
      <c r="G987" s="3"/>
      <c r="H987" s="3"/>
      <c r="I987" s="3"/>
    </row>
    <row r="988" spans="1:9" ht="25" customHeight="1" x14ac:dyDescent="0.15">
      <c r="A988" s="3"/>
      <c r="B988" s="3"/>
      <c r="C988" s="3"/>
      <c r="D988" s="3"/>
      <c r="E988" s="3"/>
      <c r="F988" s="3"/>
      <c r="G988" s="3"/>
      <c r="H988" s="3"/>
      <c r="I988" s="3"/>
    </row>
    <row r="989" spans="1:9" ht="25" customHeight="1" x14ac:dyDescent="0.15">
      <c r="A989" s="3"/>
      <c r="B989" s="3"/>
      <c r="C989" s="3"/>
      <c r="D989" s="3"/>
      <c r="E989" s="3"/>
      <c r="F989" s="3"/>
      <c r="G989" s="3"/>
      <c r="H989" s="3"/>
      <c r="I989" s="3"/>
    </row>
    <row r="990" spans="1:9" ht="25" customHeight="1" x14ac:dyDescent="0.15">
      <c r="A990" s="3"/>
      <c r="B990" s="3"/>
      <c r="C990" s="3"/>
      <c r="D990" s="3"/>
      <c r="E990" s="3"/>
      <c r="F990" s="3"/>
      <c r="G990" s="3"/>
      <c r="H990" s="3"/>
      <c r="I990" s="3"/>
    </row>
    <row r="991" spans="1:9" ht="25" customHeight="1" x14ac:dyDescent="0.15">
      <c r="A991" s="3"/>
      <c r="B991" s="3"/>
      <c r="C991" s="3"/>
      <c r="D991" s="3"/>
      <c r="E991" s="3"/>
      <c r="F991" s="3"/>
      <c r="G991" s="3"/>
      <c r="H991" s="3"/>
      <c r="I991" s="3"/>
    </row>
    <row r="992" spans="1:9" ht="25" customHeight="1" x14ac:dyDescent="0.15">
      <c r="A992" s="3"/>
      <c r="B992" s="3"/>
      <c r="C992" s="3"/>
      <c r="D992" s="3"/>
      <c r="E992" s="3"/>
      <c r="F992" s="3"/>
      <c r="G992" s="3"/>
      <c r="H992" s="3"/>
      <c r="I992" s="3"/>
    </row>
    <row r="993" spans="1:9" ht="25" customHeight="1" x14ac:dyDescent="0.15">
      <c r="A993" s="3"/>
      <c r="B993" s="3"/>
      <c r="C993" s="3"/>
      <c r="D993" s="3"/>
      <c r="E993" s="3"/>
      <c r="F993" s="3"/>
      <c r="G993" s="3"/>
      <c r="H993" s="3"/>
      <c r="I993" s="3"/>
    </row>
    <row r="994" spans="1:9" ht="25" customHeight="1" x14ac:dyDescent="0.15">
      <c r="A994" s="3"/>
      <c r="B994" s="3"/>
      <c r="C994" s="3"/>
      <c r="D994" s="3"/>
      <c r="E994" s="3"/>
      <c r="F994" s="3"/>
      <c r="G994" s="3"/>
      <c r="H994" s="3"/>
      <c r="I994" s="3"/>
    </row>
    <row r="995" spans="1:9" ht="25" customHeight="1" x14ac:dyDescent="0.15">
      <c r="A995" s="3"/>
      <c r="B995" s="3"/>
      <c r="C995" s="3"/>
      <c r="D995" s="3"/>
      <c r="E995" s="3"/>
      <c r="F995" s="3"/>
      <c r="G995" s="3"/>
      <c r="H995" s="3"/>
      <c r="I995" s="3"/>
    </row>
    <row r="996" spans="1:9" ht="25" customHeight="1" x14ac:dyDescent="0.15">
      <c r="A996" s="3"/>
      <c r="B996" s="3"/>
      <c r="C996" s="3"/>
      <c r="D996" s="3"/>
      <c r="E996" s="3"/>
      <c r="F996" s="3"/>
      <c r="G996" s="3"/>
      <c r="H996" s="3"/>
      <c r="I996" s="3"/>
    </row>
    <row r="997" spans="1:9" ht="25" customHeight="1" x14ac:dyDescent="0.15">
      <c r="A997" s="3"/>
      <c r="B997" s="3"/>
      <c r="C997" s="3"/>
      <c r="D997" s="3"/>
      <c r="E997" s="3"/>
      <c r="F997" s="3"/>
      <c r="G997" s="3"/>
      <c r="H997" s="3"/>
      <c r="I997" s="3"/>
    </row>
    <row r="998" spans="1:9" ht="25" customHeight="1" x14ac:dyDescent="0.15">
      <c r="A998" s="3"/>
      <c r="B998" s="3"/>
      <c r="C998" s="3"/>
      <c r="D998" s="3"/>
      <c r="E998" s="3"/>
      <c r="F998" s="3"/>
      <c r="G998" s="3"/>
      <c r="H998" s="3"/>
      <c r="I998" s="3"/>
    </row>
    <row r="999" spans="1:9" ht="25" customHeight="1" x14ac:dyDescent="0.15">
      <c r="A999" s="3"/>
      <c r="B999" s="3"/>
      <c r="C999" s="3"/>
      <c r="D999" s="3"/>
      <c r="E999" s="3"/>
      <c r="F999" s="3"/>
      <c r="G999" s="3"/>
      <c r="H999" s="3"/>
      <c r="I999" s="3"/>
    </row>
    <row r="1000" spans="1:9" ht="25" customHeight="1" x14ac:dyDescent="0.15">
      <c r="A1000" s="3"/>
      <c r="B1000" s="3"/>
      <c r="C1000" s="3"/>
      <c r="D1000" s="3"/>
      <c r="E1000" s="3"/>
      <c r="F1000" s="3"/>
      <c r="G1000" s="3"/>
      <c r="H1000" s="3"/>
      <c r="I1000" s="3"/>
    </row>
    <row r="1001" spans="1:9" ht="25" customHeight="1" x14ac:dyDescent="0.15">
      <c r="A1001" s="3"/>
      <c r="B1001" s="3"/>
      <c r="C1001" s="3"/>
      <c r="D1001" s="3"/>
      <c r="E1001" s="3"/>
      <c r="F1001" s="3"/>
      <c r="G1001" s="3"/>
      <c r="H1001" s="3"/>
      <c r="I1001" s="3"/>
    </row>
  </sheetData>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F202"/>
  <sheetViews>
    <sheetView workbookViewId="0"/>
  </sheetViews>
  <sheetFormatPr baseColWidth="10" defaultColWidth="12.6640625" defaultRowHeight="15.75" customHeight="1" x14ac:dyDescent="0.15"/>
  <cols>
    <col min="2" max="3" width="25.6640625" customWidth="1"/>
    <col min="17" max="17" width="56.83203125" customWidth="1"/>
    <col min="18" max="18" width="82.33203125" customWidth="1"/>
    <col min="19" max="20" width="28" customWidth="1"/>
    <col min="21" max="22" width="25.83203125" customWidth="1"/>
    <col min="23" max="24" width="30.6640625" customWidth="1"/>
    <col min="25" max="26" width="36.5" customWidth="1"/>
    <col min="27" max="28" width="45.83203125" customWidth="1"/>
    <col min="29" max="30" width="24.33203125" customWidth="1"/>
    <col min="31" max="32" width="21.83203125" customWidth="1"/>
    <col min="33" max="34" width="25.33203125" customWidth="1"/>
    <col min="44" max="45" width="28.83203125" customWidth="1"/>
    <col min="46" max="47" width="47.1640625" customWidth="1"/>
    <col min="49" max="50" width="40.83203125" customWidth="1"/>
  </cols>
  <sheetData>
    <row r="1" spans="1:58" ht="15.75" customHeight="1" x14ac:dyDescent="0.15">
      <c r="A1" s="1" t="s">
        <v>0</v>
      </c>
      <c r="B1" s="1" t="s">
        <v>1</v>
      </c>
      <c r="C1" s="1" t="s">
        <v>1</v>
      </c>
      <c r="D1" s="1" t="s">
        <v>2</v>
      </c>
      <c r="E1" s="1" t="s">
        <v>2</v>
      </c>
      <c r="F1" s="1" t="s">
        <v>3</v>
      </c>
      <c r="G1" s="1" t="s">
        <v>3</v>
      </c>
      <c r="H1" s="1" t="s">
        <v>4</v>
      </c>
      <c r="I1" s="1" t="s">
        <v>4</v>
      </c>
      <c r="J1" s="1" t="s">
        <v>5</v>
      </c>
      <c r="K1" s="1" t="s">
        <v>5</v>
      </c>
      <c r="L1" s="1" t="s">
        <v>6</v>
      </c>
      <c r="M1" s="1" t="s">
        <v>6</v>
      </c>
      <c r="N1" s="1" t="s">
        <v>7</v>
      </c>
      <c r="O1" s="1" t="s">
        <v>7</v>
      </c>
      <c r="P1" s="1" t="s">
        <v>8</v>
      </c>
      <c r="Q1" s="1" t="s">
        <v>9</v>
      </c>
      <c r="R1" s="1" t="s">
        <v>9</v>
      </c>
      <c r="S1" s="1" t="s">
        <v>10</v>
      </c>
      <c r="T1" s="1" t="s">
        <v>10</v>
      </c>
      <c r="U1" s="1" t="s">
        <v>11</v>
      </c>
      <c r="V1" s="1" t="s">
        <v>11</v>
      </c>
      <c r="W1" s="1" t="s">
        <v>12</v>
      </c>
      <c r="X1" s="1" t="s">
        <v>12</v>
      </c>
      <c r="Y1" s="1" t="s">
        <v>13</v>
      </c>
      <c r="Z1" s="1" t="s">
        <v>13</v>
      </c>
      <c r="AA1" s="1" t="s">
        <v>14</v>
      </c>
      <c r="AB1" s="1" t="s">
        <v>14</v>
      </c>
      <c r="AC1" s="1" t="s">
        <v>15</v>
      </c>
      <c r="AD1" s="1" t="s">
        <v>15</v>
      </c>
      <c r="AE1" s="1" t="s">
        <v>16</v>
      </c>
      <c r="AF1" s="1" t="s">
        <v>16</v>
      </c>
      <c r="AG1" s="1" t="s">
        <v>17</v>
      </c>
      <c r="AH1" s="1" t="s">
        <v>17</v>
      </c>
      <c r="AI1" s="1" t="s">
        <v>18</v>
      </c>
      <c r="AJ1" s="1" t="s">
        <v>18</v>
      </c>
      <c r="AK1" s="1" t="s">
        <v>19</v>
      </c>
      <c r="AL1" s="1" t="s">
        <v>19</v>
      </c>
      <c r="AM1" s="1" t="s">
        <v>20</v>
      </c>
      <c r="AN1" s="1" t="s">
        <v>20</v>
      </c>
      <c r="AO1" s="1" t="s">
        <v>21</v>
      </c>
      <c r="AP1" s="1" t="s">
        <v>21</v>
      </c>
      <c r="AQ1" s="1" t="s">
        <v>22</v>
      </c>
      <c r="AR1" s="1" t="s">
        <v>23</v>
      </c>
      <c r="AS1" s="1" t="s">
        <v>23</v>
      </c>
      <c r="AT1" s="1" t="s">
        <v>24</v>
      </c>
      <c r="AU1" s="1" t="s">
        <v>24</v>
      </c>
      <c r="AV1" s="1" t="s">
        <v>25</v>
      </c>
      <c r="AW1" s="1" t="s">
        <v>26</v>
      </c>
      <c r="AX1" s="1" t="s">
        <v>26</v>
      </c>
      <c r="AY1" s="1" t="s">
        <v>27</v>
      </c>
      <c r="AZ1" s="1" t="s">
        <v>28</v>
      </c>
      <c r="BA1" s="1" t="s">
        <v>29</v>
      </c>
      <c r="BB1" s="1" t="s">
        <v>30</v>
      </c>
      <c r="BC1" s="1" t="s">
        <v>31</v>
      </c>
      <c r="BD1" s="1" t="s">
        <v>32</v>
      </c>
      <c r="BE1" s="1" t="s">
        <v>33</v>
      </c>
      <c r="BF1" s="1" t="s">
        <v>34</v>
      </c>
    </row>
    <row r="2" spans="1:58" ht="15.75" customHeight="1" x14ac:dyDescent="0.15">
      <c r="A2" s="3">
        <v>1</v>
      </c>
      <c r="B2" s="3" t="str">
        <f ca="1">IFERROR(__xludf.DUMMYFUNCTION("GOOGLETRANSLATE(C2,""en"",""ta"")"),"அப்ரஸ் பிரிகாடோரியஸ்")</f>
        <v>அப்ரஸ் பிரிகாடோரியஸ்</v>
      </c>
      <c r="C2" s="3" t="s">
        <v>35</v>
      </c>
      <c r="D2" s="3" t="str">
        <f ca="1">IFERROR(__xludf.DUMMYFUNCTION("GOOGLETRANSLATE(E2,""en"",""ta"")"),"குஞ்சா")</f>
        <v>குஞ்சா</v>
      </c>
      <c r="E2" s="3" t="s">
        <v>36</v>
      </c>
      <c r="F2" s="3" t="str">
        <f ca="1">IFERROR(__xludf.DUMMYFUNCTION("GOOGLETRANSLATE(G2,""en"",""ta"")"),"குண்டுமணி")</f>
        <v>குண்டுமணி</v>
      </c>
      <c r="G2" s="3" t="s">
        <v>37</v>
      </c>
      <c r="H2" s="3" t="str">
        <f ca="1">IFERROR(__xludf.DUMMYFUNCTION("GOOGLETRANSLATE(I2,""en"",""ta"")"),"காட்டு மதுபானம்")</f>
        <v>காட்டு மதுபானம்</v>
      </c>
      <c r="I2" s="3" t="s">
        <v>38</v>
      </c>
      <c r="J2" s="3" t="str">
        <f ca="1">IFERROR(__xludf.DUMMYFUNCTION("GOOGLETRANSLATE(K2,""en"",""ta"")"),"குருகினியா")</f>
        <v>குருகினியா</v>
      </c>
      <c r="K2" s="3" t="s">
        <v>39</v>
      </c>
      <c r="L2" s="3" t="str">
        <f ca="1">IFERROR(__xludf.DUMMYFUNCTION("GOOGLETRANSLATE(M2,""en"",""ta"")"),"குன்னி")</f>
        <v>குன்னி</v>
      </c>
      <c r="M2" s="3" t="s">
        <v>40</v>
      </c>
      <c r="N2" s="3" t="str">
        <f ca="1">IFERROR(__xludf.DUMMYFUNCTION("GOOGLETRANSLATE(O2,""en"",""ta"")"),"ரதி")</f>
        <v>ரதி</v>
      </c>
      <c r="O2" s="3" t="s">
        <v>41</v>
      </c>
      <c r="P2" s="3"/>
      <c r="Q2" s="3" t="str">
        <f ca="1">IFERROR(__xludf.DUMMYFUNCTION("GOOGLETRANSLATE(R2,""en"",""ta"")"),"இது பல கிளைகளைக் கொண்ட ஒரு ஏறும் தாவரமாகும். இலைகள் கூட்டு இலைகள், 20-40 சிற்றிலைகளைக் கொண்டவை. மஞ்சரி, ஒரு ரேசீம். பூக்கள் இளஞ்சிவப்பு, நீல நிறத்தில் மற்றும் கொத்தாக தோன்றும். பழங்கள் காய்கள் சிவப்பு, வெள்ளை மற்றும் கருப்பு நிற விதைகளைக் கொண்டிருக்கும். "&amp;"சிவப்பு விதைகளின் நுனிகளில் கருப்பு புள்ளிகள் இருக்கும். வேர்கள் மற்றும் இலைகள் சுவையில் இனிமையாக இருக்கும்.")</f>
        <v>இது பல கிளைகளைக் கொண்ட ஒரு ஏறும் தாவரமாகும். இலைகள் கூட்டு இலைகள், 20-40 சிற்றிலைகளைக் கொண்டவை. மஞ்சரி, ஒரு ரேசீம். பூக்கள் இளஞ்சிவப்பு, நீல நிறத்தில் மற்றும் கொத்தாக தோன்றும். பழங்கள் காய்கள் சிவப்பு, வெள்ளை மற்றும் கருப்பு நிற விதைகளைக் கொண்டிருக்கும். சிவப்பு விதைகளின் நுனிகளில் கருப்பு புள்ளிகள் இருக்கும். வேர்கள் மற்றும் இலைகள் சுவையில் இனிமையாக இருக்கும்.</v>
      </c>
      <c r="R2" s="3" t="s">
        <v>42</v>
      </c>
      <c r="S2" s="3" t="str">
        <f ca="1">IFERROR(__xludf.DUMMYFUNCTION("GOOGLETRANSLATE(T2,""en"",""ta"")"),"இருமல், பக்கவாதம்")</f>
        <v>இருமல், பக்கவாதம்</v>
      </c>
      <c r="T2" s="3" t="s">
        <v>43</v>
      </c>
      <c r="U2" s="3" t="str">
        <f ca="1">IFERROR(__xludf.DUMMYFUNCTION("GOOGLETRANSLATE(V2,""en"",""ta"")"),"அலோபீசியா, சியாட்டிகா, பக்கவாதம் மற்றும் தொழுநோய்")</f>
        <v>அலோபீசியா, சியாட்டிகா, பக்கவாதம் மற்றும் தொழுநோய்</v>
      </c>
      <c r="V2" s="3" t="s">
        <v>44</v>
      </c>
      <c r="W2" s="3" t="str">
        <f ca="1">IFERROR(__xludf.DUMMYFUNCTION("GOOGLETRANSLATE(X2,""en"",""ta"")"),"வலிகள், வீக்கம், லுகோடெர்மா, ஆஸ்துமா
மற்றும் பல் சொத்தை")</f>
        <v>வலிகள், வீக்கம், லுகோடெர்மா, ஆஸ்துமா
மற்றும் பல் சொத்தை</v>
      </c>
      <c r="X2" s="3" t="s">
        <v>45</v>
      </c>
      <c r="Y2" s="3" t="str">
        <f ca="1">IFERROR(__xludf.DUMMYFUNCTION("GOOGLETRANSLATE(Z2,""en"",""ta"")"),"இல்லை")</f>
        <v>இல்லை</v>
      </c>
      <c r="Z2" s="3" t="s">
        <v>46</v>
      </c>
      <c r="AA2" s="3" t="str">
        <f ca="1">IFERROR(__xludf.DUMMYFUNCTION("GOOGLETRANSLATE(AB2,""en"",""ta"")"),"இல்லை")</f>
        <v>இல்லை</v>
      </c>
      <c r="AB2" s="3" t="s">
        <v>46</v>
      </c>
      <c r="AC2" s="3" t="str">
        <f ca="1">IFERROR(__xludf.DUMMYFUNCTION("GOOGLETRANSLATE(AD2,""en"",""ta"")"),"இல்லை")</f>
        <v>இல்லை</v>
      </c>
      <c r="AD2" s="3" t="s">
        <v>46</v>
      </c>
      <c r="AE2" s="3" t="str">
        <f ca="1">IFERROR(__xludf.DUMMYFUNCTION("GOOGLETRANSLATE(AF2,""en"",""ta"")"),"இல்லை")</f>
        <v>இல்லை</v>
      </c>
      <c r="AF2" s="3" t="s">
        <v>46</v>
      </c>
      <c r="AG2" s="3" t="str">
        <f ca="1">IFERROR(__xludf.DUMMYFUNCTION("GOOGLETRANSLATE(AH2,""en"",""ta"")"),"இல்லை")</f>
        <v>இல்லை</v>
      </c>
      <c r="AH2" s="3" t="s">
        <v>46</v>
      </c>
      <c r="AI2" s="3" t="str">
        <f ca="1">IFERROR(__xludf.DUMMYFUNCTION("GOOGLETRANSLATE(AJ2,""en"",""ta"")"),"இல்லை")</f>
        <v>இல்லை</v>
      </c>
      <c r="AJ2" s="3" t="s">
        <v>46</v>
      </c>
      <c r="AK2" s="3" t="str">
        <f ca="1">IFERROR(__xludf.DUMMYFUNCTION("GOOGLETRANSLATE(AL2,""en"",""ta"")"),"இல்லை")</f>
        <v>இல்லை</v>
      </c>
      <c r="AL2" s="3" t="s">
        <v>46</v>
      </c>
      <c r="AM2" s="3" t="str">
        <f ca="1">IFERROR(__xludf.DUMMYFUNCTION("GOOGLETRANSLATE(AN2,""en"",""ta"")"),"இல்லை")</f>
        <v>இல்லை</v>
      </c>
      <c r="AN2" s="3" t="s">
        <v>46</v>
      </c>
      <c r="AO2" s="3" t="str">
        <f ca="1">IFERROR(__xludf.DUMMYFUNCTION("GOOGLETRANSLATE(AP2,""en"",""ta"")"),"#VALUE!")</f>
        <v>#VALUE!</v>
      </c>
      <c r="AP2" s="3"/>
      <c r="AQ2" s="3"/>
      <c r="AR2" s="3" t="str">
        <f ca="1">IFERROR(__xludf.DUMMYFUNCTION("GOOGLETRANSLATE(AS2,""en"",""ta"")"),"சுத்திகரிப்பு, சிறுநீர் பெருக்கி, அழற்சி நீக்கி, வாந்தி நீக்கி, டானிக், பாலுணர்வூக்கி மற்றும் உயிருக்கு ஆபத்தானது.")</f>
        <v>சுத்திகரிப்பு, சிறுநீர் பெருக்கி, அழற்சி நீக்கி, வாந்தி நீக்கி, டானிக், பாலுணர்வூக்கி மற்றும் உயிருக்கு ஆபத்தானது.</v>
      </c>
      <c r="AS2" s="3" t="s">
        <v>47</v>
      </c>
      <c r="AT2" s="3" t="str">
        <f ca="1">IFERROR(__xludf.DUMMYFUNCTION("GOOGLETRANSLATE(AU2,""en"",""ta"")"),"அப்ரின், கிளைசிரைசின், அப்ருசிக் அமிலம், அலனைன்,
செரின், வேலின், பிரிகோல், அப்ரோல், பிரிகாசின் மற்றும்
அப்ராசின்")</f>
        <v>அப்ரின், கிளைசிரைசின், அப்ருசிக் அமிலம், அலனைன்,
செரின், வேலின், பிரிகோல், அப்ரோல், பிரிகாசின் மற்றும்
அப்ராசின்</v>
      </c>
      <c r="AU2" s="3" t="s">
        <v>48</v>
      </c>
      <c r="AV2" s="3"/>
      <c r="AW2" s="3" t="str">
        <f ca="1">IFERROR(__xludf.DUMMYFUNCTION("GOOGLETRANSLATE(AX2,""en"",""ta"")"),"புதிய இலைகளின் சாற்றை வேப்ப எண்ணெயுடன் கலந்து வலிமிகுந்த வீக்கங்களுக்குப் பயன்படுத்த வேண்டும். விதைகளை தண்ணீரில் தேய்த்து வழுக்கை மற்றும் காயங்களில் வெற்று தோலில் தடவ வேண்டும்.")</f>
        <v>புதிய இலைகளின் சாற்றை வேப்ப எண்ணெயுடன் கலந்து வலிமிகுந்த வீக்கங்களுக்குப் பயன்படுத்த வேண்டும். விதைகளை தண்ணீரில் தேய்த்து வழுக்கை மற்றும் காயங்களில் வெற்று தோலில் தடவ வேண்டும்.</v>
      </c>
      <c r="AX2" s="3" t="s">
        <v>49</v>
      </c>
      <c r="AY2" s="3"/>
      <c r="AZ2" s="3"/>
      <c r="BA2" s="3"/>
      <c r="BB2" s="3"/>
      <c r="BC2" s="3"/>
      <c r="BD2" s="3"/>
      <c r="BE2" s="3"/>
      <c r="BF2" s="3"/>
    </row>
    <row r="3" spans="1:58" ht="15.75" customHeight="1" x14ac:dyDescent="0.15">
      <c r="A3" s="3">
        <v>2</v>
      </c>
      <c r="B3" s="3" t="str">
        <f ca="1">IFERROR(__xludf.DUMMYFUNCTION("GOOGLETRANSLATE(C3,""en"",""ta"")"),"அபுடிலோன் இண்டிகம்")</f>
        <v>அபுடிலோன் இண்டிகம்</v>
      </c>
      <c r="C3" s="3" t="s">
        <v>50</v>
      </c>
      <c r="D3" s="3" t="str">
        <f ca="1">IFERROR(__xludf.DUMMYFUNCTION("GOOGLETRANSLATE(E3,""en"",""ta"")"),"அடிபாலா")</f>
        <v>அடிபாலா</v>
      </c>
      <c r="E3" s="3" t="s">
        <v>51</v>
      </c>
      <c r="F3" s="3" t="str">
        <f ca="1">IFERROR(__xludf.DUMMYFUNCTION("GOOGLETRANSLATE(G3,""en"",""ta"")"),"துதி")</f>
        <v>துதி</v>
      </c>
      <c r="G3" s="3" t="s">
        <v>52</v>
      </c>
      <c r="H3" s="3" t="str">
        <f ca="1">IFERROR(__xludf.DUMMYFUNCTION("GOOGLETRANSLATE(I3,""en"",""ta"")"),"நாட்டு மல்லோ")</f>
        <v>நாட்டு மல்லோ</v>
      </c>
      <c r="I3" s="3" t="s">
        <v>53</v>
      </c>
      <c r="J3" s="3" t="str">
        <f ca="1">IFERROR(__xludf.DUMMYFUNCTION("GOOGLETRANSLATE(K3,""en"",""ta"")"),"துதிரி-செட்டு")</f>
        <v>துதிரி-செட்டு</v>
      </c>
      <c r="K3" s="3" t="s">
        <v>54</v>
      </c>
      <c r="L3" s="3" t="str">
        <f ca="1">IFERROR(__xludf.DUMMYFUNCTION("GOOGLETRANSLATE(M3,""en"",""ta"")"),"பெட்டகா")</f>
        <v>பெட்டகா</v>
      </c>
      <c r="M3" s="3" t="s">
        <v>55</v>
      </c>
      <c r="N3" s="3" t="str">
        <f ca="1">IFERROR(__xludf.DUMMYFUNCTION("GOOGLETRANSLATE(O3,""en"",""ta"")"),"கங்கானி")</f>
        <v>கங்கானி</v>
      </c>
      <c r="O3" s="3" t="s">
        <v>56</v>
      </c>
      <c r="P3" s="3"/>
      <c r="Q3" s="3" t="str">
        <f ca="1">IFERROR(__xludf.DUMMYFUNCTION("GOOGLETRANSLATE(R3,""en"",""ta"")"),"வற்றாத மூலிகை அல்லது புதர், தண்டு உருளை வடிவமானது, பெரும்பாலும் ஊதா நிறத்துடன் இருக்கும். இலைகள் எளிமையானவை, முட்டை வடிவானது மற்றும் ரம்பம் போன்றது. மலர்கள் மஞ்சள் அல்லது ஆரஞ்சு மஞ்சள் நிறத்தில், இலைக்கோணங்களில் மற்றும் தனித்த சைம் நிறத்தில் இருக்கும். பழ"&amp;"ங்கள் ஸ்கிசோகார்பிக் காப்ஸ்யூல். விதைகள் சிறுநீரக வடிவிலானவை, அடர் பழுப்பு அல்லது கருப்பு.")</f>
        <v>வற்றாத மூலிகை அல்லது புதர், தண்டு உருளை வடிவமானது, பெரும்பாலும் ஊதா நிறத்துடன் இருக்கும். இலைகள் எளிமையானவை, முட்டை வடிவானது மற்றும் ரம்பம் போன்றது. மலர்கள் மஞ்சள் அல்லது ஆரஞ்சு மஞ்சள் நிறத்தில், இலைக்கோணங்களில் மற்றும் தனித்த சைம் நிறத்தில் இருக்கும். பழங்கள் ஸ்கிசோகார்பிக் காப்ஸ்யூல். விதைகள் சிறுநீரக வடிவிலானவை, அடர் பழுப்பு அல்லது கருப்பு.</v>
      </c>
      <c r="R3" s="3" t="s">
        <v>57</v>
      </c>
      <c r="S3" s="3" t="str">
        <f ca="1">IFERROR(__xludf.DUMMYFUNCTION("GOOGLETRANSLATE(T3,""en"",""ta"")"),"காய்ச்சல், மார்பு தொற்றுகள், கோனோரியா, 
சிறுநீர்க்குழாய் அழற்சி மற்றும் பக்கவாதம்.")</f>
        <v>காய்ச்சல், மார்பு தொற்றுகள், கோனோரியா, 
சிறுநீர்க்குழாய் அழற்சி மற்றும் பக்கவாதம்.</v>
      </c>
      <c r="T3" s="3" t="s">
        <v>58</v>
      </c>
      <c r="U3" s="3" t="str">
        <f ca="1">IFERROR(__xludf.DUMMYFUNCTION("GOOGLETRANSLATE(V3,""en"",""ta"")"),"இல்லை")</f>
        <v>இல்லை</v>
      </c>
      <c r="V3" s="4" t="s">
        <v>46</v>
      </c>
      <c r="W3" s="3" t="str">
        <f ca="1">IFERROR(__xludf.DUMMYFUNCTION("GOOGLETRANSLATE(X3,""en"",""ta"")"),"காய்ச்சல், மார்பு தொற்றுகள், கோனோரியா, 
சிறுநீர்க்குழாய் அழற்சி மற்றும் பக்கவாதம்.")</f>
        <v>காய்ச்சல், மார்பு தொற்றுகள், கோனோரியா, 
சிறுநீர்க்குழாய் அழற்சி மற்றும் பக்கவாதம்.</v>
      </c>
      <c r="X3" s="3" t="s">
        <v>58</v>
      </c>
      <c r="Y3" s="3" t="str">
        <f ca="1">IFERROR(__xludf.DUMMYFUNCTION("GOOGLETRANSLATE(Z3,""en"",""ta"")"),"கொதிப்பு மற்றும் புண்கள்")</f>
        <v>கொதிப்பு மற்றும் புண்கள்</v>
      </c>
      <c r="Z3" s="3" t="s">
        <v>59</v>
      </c>
      <c r="AA3" s="3" t="str">
        <f ca="1">IFERROR(__xludf.DUMMYFUNCTION("GOOGLETRANSLATE(AB3,""en"",""ta"")"),"மூல நோய் மற்றும் இருமல்")</f>
        <v>மூல நோய் மற்றும் இருமல்</v>
      </c>
      <c r="AB3" s="3" t="s">
        <v>60</v>
      </c>
      <c r="AC3" s="3" t="str">
        <f ca="1">IFERROR(__xludf.DUMMYFUNCTION("GOOGLETRANSLATE(AD3,""en"",""ta"")"),"இல்லை")</f>
        <v>இல்லை</v>
      </c>
      <c r="AD3" s="3" t="s">
        <v>46</v>
      </c>
      <c r="AE3" s="3" t="str">
        <f ca="1">IFERROR(__xludf.DUMMYFUNCTION("GOOGLETRANSLATE(AF3,""en"",""ta"")"),"இல்லை")</f>
        <v>இல்லை</v>
      </c>
      <c r="AF3" s="3" t="s">
        <v>46</v>
      </c>
      <c r="AG3" s="3" t="str">
        <f ca="1">IFERROR(__xludf.DUMMYFUNCTION("GOOGLETRANSLATE(AH3,""en"",""ta"")"),"இல்லை")</f>
        <v>இல்லை</v>
      </c>
      <c r="AH3" s="3" t="s">
        <v>46</v>
      </c>
      <c r="AI3" s="3" t="str">
        <f ca="1">IFERROR(__xludf.DUMMYFUNCTION("GOOGLETRANSLATE(AJ3,""en"",""ta"")"),"இல்லை")</f>
        <v>இல்லை</v>
      </c>
      <c r="AJ3" s="3" t="s">
        <v>46</v>
      </c>
      <c r="AK3" s="3" t="str">
        <f ca="1">IFERROR(__xludf.DUMMYFUNCTION("GOOGLETRANSLATE(AL3,""en"",""ta"")"),"இல்லை")</f>
        <v>இல்லை</v>
      </c>
      <c r="AL3" s="3" t="s">
        <v>46</v>
      </c>
      <c r="AM3" s="3" t="str">
        <f ca="1">IFERROR(__xludf.DUMMYFUNCTION("GOOGLETRANSLATE(AN3,""en"",""ta"")"),"இல்லை")</f>
        <v>இல்லை</v>
      </c>
      <c r="AN3" s="3" t="s">
        <v>46</v>
      </c>
      <c r="AO3" s="3" t="str">
        <f ca="1">IFERROR(__xludf.DUMMYFUNCTION("GOOGLETRANSLATE(AP3,""en"",""ta"")"),"#VALUE!")</f>
        <v>#VALUE!</v>
      </c>
      <c r="AP3" s="3"/>
      <c r="AQ3" s="3"/>
      <c r="AR3" s="3" t="str">
        <f ca="1">IFERROR(__xludf.DUMMYFUNCTION("GOOGLETRANSLATE(AS3,""en"",""ta"")"),"மயக்க மருந்து, பாலுணர்வூட்டும் மருந்து, மலமிளக்கி, சிறுநீர்ப் பெருக்கி மற்றும் மயக்க மருந்து")</f>
        <v>மயக்க மருந்து, பாலுணர்வூட்டும் மருந்து, மலமிளக்கி, சிறுநீர்ப் பெருக்கி மற்றும் மயக்க மருந்து</v>
      </c>
      <c r="AS3" s="3" t="s">
        <v>61</v>
      </c>
      <c r="AT3" s="3" t="str">
        <f ca="1">IFERROR(__xludf.DUMMYFUNCTION("GOOGLETRANSLATE(AU3,""en"",""ta"")"),"லுகோஅந்தோசயினின்கள், கோசிபெடின்-8 &amp;-7 குளுக்கோசைடுகள்,
சயனிடின்-3-ருட்டினோசைடு, அல்கலைன் சல்பேட்டுகள் &amp; அஸ்பாரகின், ஃபிளாவனாய்டுகள், சபோனின்கள், கார்டியாக், கிளைகோசைடுகள்")</f>
        <v>லுகோஅந்தோசயினின்கள், கோசிபெடின்-8 &amp;-7 குளுக்கோசைடுகள்,
சயனிடின்-3-ருட்டினோசைடு, அல்கலைன் சல்பேட்டுகள் &amp; அஸ்பாரகின், ஃபிளாவனாய்டுகள், சபோனின்கள், கார்டியாக், கிளைகோசைடுகள்</v>
      </c>
      <c r="AU3" s="3" t="s">
        <v>62</v>
      </c>
      <c r="AV3" s="3"/>
      <c r="AW3" s="3" t="str">
        <f ca="1">IFERROR(__xludf.DUMMYFUNCTION("GOOGLETRANSLATE(AX3,""en"",""ta"")"),"விதைகளின் கஷாயம் மூல நோய் மற்றும் இருமலுக்குப் பயன்படுகிறது. வேர் மற்றும் இலைக் கஷாயத்தைக் கொப்பளித்தால் ஈறுகளில் இரத்தப்போக்கு மற்றும் பல் வலி குணமாகும்.")</f>
        <v>விதைகளின் கஷாயம் மூல நோய் மற்றும் இருமலுக்குப் பயன்படுகிறது. வேர் மற்றும் இலைக் கஷாயத்தைக் கொப்பளித்தால் ஈறுகளில் இரத்தப்போக்கு மற்றும் பல் வலி குணமாகும்.</v>
      </c>
      <c r="AX3" s="3" t="s">
        <v>63</v>
      </c>
      <c r="AY3" s="3"/>
      <c r="AZ3" s="3"/>
      <c r="BA3" s="3"/>
      <c r="BB3" s="3"/>
      <c r="BC3" s="3"/>
      <c r="BD3" s="3"/>
      <c r="BE3" s="3"/>
      <c r="BF3" s="3"/>
    </row>
    <row r="4" spans="1:58" ht="15.75" customHeight="1" x14ac:dyDescent="0.15">
      <c r="A4" s="3">
        <v>3</v>
      </c>
      <c r="B4" s="3" t="str">
        <f ca="1">IFERROR(__xludf.DUMMYFUNCTION("GOOGLETRANSLATE(C4,""en"",""ta"")"),"அகாசியா அராபிகா")</f>
        <v>அகாசியா அராபிகா</v>
      </c>
      <c r="C4" s="3" t="s">
        <v>64</v>
      </c>
      <c r="D4" s="3" t="str">
        <f ca="1">IFERROR(__xludf.DUMMYFUNCTION("GOOGLETRANSLATE(E4,""en"",""ta"")"),"வப்புலா")</f>
        <v>வப்புலா</v>
      </c>
      <c r="E4" s="3" t="s">
        <v>65</v>
      </c>
      <c r="F4" s="3" t="str">
        <f ca="1">IFERROR(__xludf.DUMMYFUNCTION("GOOGLETRANSLATE(G4,""en"",""ta"")"),"கருவேல மரம்")</f>
        <v>கருவேல மரம்</v>
      </c>
      <c r="G4" s="3" t="s">
        <v>66</v>
      </c>
      <c r="H4" s="3" t="str">
        <f ca="1">IFERROR(__xludf.DUMMYFUNCTION("GOOGLETRANSLATE(I4,""en"",""ta"")"),"இந்திய பசை-அரபு மரம்")</f>
        <v>இந்திய பசை-அரபு மரம்</v>
      </c>
      <c r="I4" s="3" t="s">
        <v>67</v>
      </c>
      <c r="J4" s="3" t="str">
        <f ca="1">IFERROR(__xludf.DUMMYFUNCTION("GOOGLETRANSLATE(K4,""en"",""ta"")"),"துமா")</f>
        <v>துமா</v>
      </c>
      <c r="K4" s="3" t="s">
        <v>68</v>
      </c>
      <c r="L4" s="3" t="str">
        <f ca="1">IFERROR(__xludf.DUMMYFUNCTION("GOOGLETRANSLATE(M4,""en"",""ta"")"),"கருவேலம்")</f>
        <v>கருவேலம்</v>
      </c>
      <c r="M4" s="3" t="s">
        <v>69</v>
      </c>
      <c r="N4" s="3" t="str">
        <f ca="1">IFERROR(__xludf.DUMMYFUNCTION("GOOGLETRANSLATE(O4,""en"",""ta"")"),"கிகார்")</f>
        <v>கிகார்</v>
      </c>
      <c r="O4" s="3" t="s">
        <v>70</v>
      </c>
      <c r="P4" s="3"/>
      <c r="Q4" s="3" t="str">
        <f ca="1">IFERROR(__xludf.DUMMYFUNCTION("GOOGLETRANSLATE(R4,""en"",""ta"")"),"சாம்பல் நிற தண்டு, கிளைகள் நேராக அல்லது கீழ்நோக்கி தொங்கும் ஒரு முள் மரம். இலை 4-9 ஜோடி சிற்றிலைகளுடன் கூடிய இறகு போன்ற கூட்டு இலை. மஞ்சரி மஞ்சள் நிற கோள வடிவ கேபிடேட் ரேசீம். வெள்ளை விதைகளுடன் கூடிய பழங்கள் லோமெண்டம். தண்டிலிருந்து பழுப்பு நிற வெள்ளை பசை"&amp;" வெளியேறும்.")</f>
        <v>சாம்பல் நிற தண்டு, கிளைகள் நேராக அல்லது கீழ்நோக்கி தொங்கும் ஒரு முள் மரம். இலை 4-9 ஜோடி சிற்றிலைகளுடன் கூடிய இறகு போன்ற கூட்டு இலை. மஞ்சரி மஞ்சள் நிற கோள வடிவ கேபிடேட் ரேசீம். வெள்ளை விதைகளுடன் கூடிய பழங்கள் லோமெண்டம். தண்டிலிருந்து பழுப்பு நிற வெள்ளை பசை வெளியேறும்.</v>
      </c>
      <c r="R4" s="3" t="s">
        <v>71</v>
      </c>
      <c r="S4" s="3" t="str">
        <f ca="1">IFERROR(__xludf.DUMMYFUNCTION("GOOGLETRANSLATE(T4,""en"",""ta"")"),"இல்லை")</f>
        <v>இல்லை</v>
      </c>
      <c r="T4" s="3" t="s">
        <v>46</v>
      </c>
      <c r="U4" s="3" t="str">
        <f ca="1">IFERROR(__xludf.DUMMYFUNCTION("GOOGLETRANSLATE(V4,""en"",""ta"")"),"இல்லை")</f>
        <v>இல்லை</v>
      </c>
      <c r="V4" s="3" t="s">
        <v>46</v>
      </c>
      <c r="W4" s="3" t="str">
        <f ca="1">IFERROR(__xludf.DUMMYFUNCTION("GOOGLETRANSLATE(X4,""en"",""ta"")"),"வயிற்றுப்போக்கு, வயிற்றுப்போக்கு மற்றும் பஞ்சுபோன்ற ஈறுகள்")</f>
        <v>வயிற்றுப்போக்கு, வயிற்றுப்போக்கு மற்றும் பஞ்சுபோன்ற ஈறுகள்</v>
      </c>
      <c r="X4" s="3" t="s">
        <v>72</v>
      </c>
      <c r="Y4" s="3" t="str">
        <f ca="1">IFERROR(__xludf.DUMMYFUNCTION("GOOGLETRANSLATE(Z4,""en"",""ta"")"),"இல்லை")</f>
        <v>இல்லை</v>
      </c>
      <c r="Z4" s="3" t="s">
        <v>46</v>
      </c>
      <c r="AA4" s="3" t="str">
        <f ca="1">IFERROR(__xludf.DUMMYFUNCTION("GOOGLETRANSLATE(AB4,""en"",""ta"")"),"புற்றுநோய் மற்றும் சிபிலிடிக் நோய்கள், ஆப்தஸ் ஸ்டோமாடிடிஸ், வெள்ளை இரத்தக் கட்டிகள் மற்றும் மூல நோய்")</f>
        <v>புற்றுநோய் மற்றும் சிபிலிடிக் நோய்கள், ஆப்தஸ் ஸ்டோமாடிடிஸ், வெள்ளை இரத்தக் கட்டிகள் மற்றும் மூல நோய்</v>
      </c>
      <c r="AB4" s="3" t="s">
        <v>73</v>
      </c>
      <c r="AC4" s="3" t="str">
        <f ca="1">IFERROR(__xludf.DUMMYFUNCTION("GOOGLETRANSLATE(AD4,""en"",""ta"")"),"இல்லை")</f>
        <v>இல்லை</v>
      </c>
      <c r="AD4" s="3" t="s">
        <v>46</v>
      </c>
      <c r="AE4" s="3" t="str">
        <f ca="1">IFERROR(__xludf.DUMMYFUNCTION("GOOGLETRANSLATE(AF4,""en"",""ta"")"),"இருமல் மற்றும் நாள்பட்ட வயிற்றுப்போக்கு")</f>
        <v>இருமல் மற்றும் நாள்பட்ட வயிற்றுப்போக்கு</v>
      </c>
      <c r="AF4" s="3" t="s">
        <v>74</v>
      </c>
      <c r="AG4" s="3" t="str">
        <f ca="1">IFERROR(__xludf.DUMMYFUNCTION("GOOGLETRANSLATE(AH4,""en"",""ta"")"),"இல்லை")</f>
        <v>இல்லை</v>
      </c>
      <c r="AH4" s="3" t="s">
        <v>46</v>
      </c>
      <c r="AI4" s="3" t="str">
        <f ca="1">IFERROR(__xludf.DUMMYFUNCTION("GOOGLETRANSLATE(AJ4,""en"",""ta"")"),"இல்லை")</f>
        <v>இல்லை</v>
      </c>
      <c r="AJ4" s="3" t="s">
        <v>46</v>
      </c>
      <c r="AK4" s="3" t="str">
        <f ca="1">IFERROR(__xludf.DUMMYFUNCTION("GOOGLETRANSLATE(AL4,""en"",""ta"")"),"இல்லை")</f>
        <v>இல்லை</v>
      </c>
      <c r="AL4" s="3" t="s">
        <v>46</v>
      </c>
      <c r="AM4" s="3" t="str">
        <f ca="1">IFERROR(__xludf.DUMMYFUNCTION("GOOGLETRANSLATE(AN4,""en"",""ta"")"),"இல்லை")</f>
        <v>இல்லை</v>
      </c>
      <c r="AN4" s="3" t="s">
        <v>46</v>
      </c>
      <c r="AO4" s="3" t="str">
        <f ca="1">IFERROR(__xludf.DUMMYFUNCTION("GOOGLETRANSLATE(AP4,""en"",""ta"")"),"#VALUE!")</f>
        <v>#VALUE!</v>
      </c>
      <c r="AP4" s="3"/>
      <c r="AQ4" s="3"/>
      <c r="AR4" s="3" t="str">
        <f ca="1">IFERROR(__xludf.DUMMYFUNCTION("GOOGLETRANSLATE(AS4,""en"",""ta"")"),"துவர்ப்பு மருந்து, மயக்க மருந்து, பாலுணர்வூக்கி, ஊட்டச்சத்து 
மற்றும் சளி நீக்கி")</f>
        <v>துவர்ப்பு மருந்து, மயக்க மருந்து, பாலுணர்வூக்கி, ஊட்டச்சத்து 
மற்றும் சளி நீக்கி</v>
      </c>
      <c r="AS4" s="3" t="s">
        <v>75</v>
      </c>
      <c r="AT4" s="3" t="str">
        <f ca="1">IFERROR(__xludf.DUMMYFUNCTION("GOOGLETRANSLATE(AU4,""en"",""ta"")"),"லியூகோசயனிடின், அரபினோஃபுரானோசில், காலிக் அமிலம், அரபிக் அமிலம் மற்றும் டானின்")</f>
        <v>லியூகோசயனிடின், அரபினோஃபுரானோசில், காலிக் அமிலம், அரபிக் அமிலம் மற்றும் டானின்</v>
      </c>
      <c r="AU4" s="3" t="s">
        <v>76</v>
      </c>
      <c r="AV4" s="3"/>
      <c r="AW4" s="3" t="str">
        <f ca="1">IFERROR(__xludf.DUMMYFUNCTION("GOOGLETRANSLATE(AX4,""en"",""ta"")"),"நாள்பட்ட வயிற்றுப்போக்கு மற்றும் நீரிழிவு நோய்க்கு பட்டையின் கஷாயம் ஒரு அஸ்ட்ரிஜென்ட் டானிக்காக வழங்கப்படுகிறது.
பசைப் பொடியை முட்டையின் வெள்ளைக்கருவுடன் கலந்து தீக்காயங்கள் மற்றும் தீக்காயங்களுக்குப் பயன்படுத்த வேண்டும்.")</f>
        <v>நாள்பட்ட வயிற்றுப்போக்கு மற்றும் நீரிழிவு நோய்க்கு பட்டையின் கஷாயம் ஒரு அஸ்ட்ரிஜென்ட் டானிக்காக வழங்கப்படுகிறது.
பசைப் பொடியை முட்டையின் வெள்ளைக்கருவுடன் கலந்து தீக்காயங்கள் மற்றும் தீக்காயங்களுக்குப் பயன்படுத்த வேண்டும்.</v>
      </c>
      <c r="AX4" s="3" t="s">
        <v>77</v>
      </c>
      <c r="AY4" s="3"/>
      <c r="AZ4" s="3"/>
      <c r="BA4" s="3"/>
      <c r="BB4" s="3"/>
      <c r="BC4" s="3"/>
      <c r="BD4" s="3"/>
      <c r="BE4" s="3"/>
      <c r="BF4" s="3"/>
    </row>
    <row r="5" spans="1:58" ht="15.75" customHeight="1" x14ac:dyDescent="0.15">
      <c r="A5" s="3">
        <v>4</v>
      </c>
      <c r="B5" s="3" t="str">
        <f ca="1">IFERROR(__xludf.DUMMYFUNCTION("GOOGLETRANSLATE(C5,""en"",""ta"")"),"அகாசியா கேட்டெச்சு")</f>
        <v>அகாசியா கேட்டெச்சு</v>
      </c>
      <c r="C5" s="3" t="s">
        <v>78</v>
      </c>
      <c r="D5" s="3" t="str">
        <f ca="1">IFERROR(__xludf.DUMMYFUNCTION("GOOGLETRANSLATE(E5,""en"",""ta"")"),"காதிரா")</f>
        <v>காதிரா</v>
      </c>
      <c r="E5" s="3" t="s">
        <v>79</v>
      </c>
      <c r="F5" s="3" t="str">
        <f ca="1">IFERROR(__xludf.DUMMYFUNCTION("GOOGLETRANSLATE(G5,""en"",""ta"")"),"கருங்காலி")</f>
        <v>கருங்காலி</v>
      </c>
      <c r="G5" s="3" t="s">
        <v>80</v>
      </c>
      <c r="H5" s="3" t="str">
        <f ca="1">IFERROR(__xludf.DUMMYFUNCTION("GOOGLETRANSLATE(I5,""en"",""ta"")"),"கருப்பு கேட்டெச்சு மரம்")</f>
        <v>கருப்பு கேட்டெச்சு மரம்</v>
      </c>
      <c r="I5" s="3" t="s">
        <v>81</v>
      </c>
      <c r="J5" s="3" t="str">
        <f ca="1">IFERROR(__xludf.DUMMYFUNCTION("GOOGLETRANSLATE(K5,""en"",""ta"")"),"கதிராமு")</f>
        <v>கதிராமு</v>
      </c>
      <c r="K5" s="3" t="s">
        <v>82</v>
      </c>
      <c r="L5" s="3" t="str">
        <f ca="1">IFERROR(__xludf.DUMMYFUNCTION("GOOGLETRANSLATE(M5,""en"",""ta"")"),"கதிராம்")</f>
        <v>கதிராம்</v>
      </c>
      <c r="M5" s="3" t="s">
        <v>83</v>
      </c>
      <c r="N5" s="3" t="str">
        <f ca="1">IFERROR(__xludf.DUMMYFUNCTION("GOOGLETRANSLATE(O5,""en"",""ta"")"),"கைர்")</f>
        <v>கைர்</v>
      </c>
      <c r="O5" s="3" t="s">
        <v>84</v>
      </c>
      <c r="P5" s="3"/>
      <c r="Q5" s="3" t="str">
        <f ca="1">IFERROR(__xludf.DUMMYFUNCTION("GOOGLETRANSLATE(R5,""en"",""ta"")"),"மிதமான அளவிலான இலையுதிர் மரம். இலைகள் கூம்பு வடிவ கூட்டு இலைகளாகவும், வளைந்த முட்கள் கொண்டதாகவும், தண்டு கரடுமுரடானதாகவும், வெளியே மஞ்சள் நிறமாகவும், உள்ளே சிவப்பு நிறமாகவும் இருக்கும். மஞ்சரி உருளை வடிவ ஸ்பைக் வடிவமாகவும் இருக்கும். பழங்கள் பயறு வகை, பளப"&amp;"ளப்பானது மற்றும் வட்டமான விதைகளைக் கொண்டிருக்கும்.")</f>
        <v>மிதமான அளவிலான இலையுதிர் மரம். இலைகள் கூம்பு வடிவ கூட்டு இலைகளாகவும், வளைந்த முட்கள் கொண்டதாகவும், தண்டு கரடுமுரடானதாகவும், வெளியே மஞ்சள் நிறமாகவும், உள்ளே சிவப்பு நிறமாகவும் இருக்கும். மஞ்சரி உருளை வடிவ ஸ்பைக் வடிவமாகவும் இருக்கும். பழங்கள் பயறு வகை, பளபளப்பானது மற்றும் வட்டமான விதைகளைக் கொண்டிருக்கும்.</v>
      </c>
      <c r="R5" s="3" t="s">
        <v>85</v>
      </c>
      <c r="S5" s="3" t="str">
        <f ca="1">IFERROR(__xludf.DUMMYFUNCTION("GOOGLETRANSLATE(T5,""en"",""ta"")"),"இல்லை")</f>
        <v>இல்லை</v>
      </c>
      <c r="T5" s="3" t="s">
        <v>46</v>
      </c>
      <c r="U5" s="3" t="str">
        <f ca="1">IFERROR(__xludf.DUMMYFUNCTION("GOOGLETRANSLATE(V5,""en"",""ta"")"),"இல்லை")</f>
        <v>இல்லை</v>
      </c>
      <c r="V5" s="3" t="s">
        <v>46</v>
      </c>
      <c r="W5" s="3" t="str">
        <f ca="1">IFERROR(__xludf.DUMMYFUNCTION("GOOGLETRANSLATE(X5,""en"",""ta"")"),"வயிற்றுப்போக்கு, இரத்தப்போக்கு")</f>
        <v>வயிற்றுப்போக்கு, இரத்தப்போக்கு</v>
      </c>
      <c r="X5" s="3" t="s">
        <v>86</v>
      </c>
      <c r="Y5" s="3" t="str">
        <f ca="1">IFERROR(__xludf.DUMMYFUNCTION("GOOGLETRANSLATE(Z5,""en"",""ta"")"),"தொழுநோய்")</f>
        <v>தொழுநோய்</v>
      </c>
      <c r="Z5" s="3" t="s">
        <v>87</v>
      </c>
      <c r="AA5" s="3" t="str">
        <f ca="1">IFERROR(__xludf.DUMMYFUNCTION("GOOGLETRANSLATE(AB5,""en"",""ta"")"),"கண்சவ்வு அழற்சி, மெலஞ்சோலியா மற்றும் இரத்தக்கசிவு")</f>
        <v>கண்சவ்வு அழற்சி, மெலஞ்சோலியா மற்றும் இரத்தக்கசிவு</v>
      </c>
      <c r="AB5" s="3" t="s">
        <v>88</v>
      </c>
      <c r="AC5" s="3" t="str">
        <f ca="1">IFERROR(__xludf.DUMMYFUNCTION("GOOGLETRANSLATE(AD5,""en"",""ta"")"),"பல் வலி, குரல் இழப்பு மற்றும் பாதரச உமிழ்நீர் சுரப்பு")</f>
        <v>பல் வலி, குரல் இழப்பு மற்றும் பாதரச உமிழ்நீர் சுரப்பு</v>
      </c>
      <c r="AD5" s="3" t="s">
        <v>89</v>
      </c>
      <c r="AE5" s="3" t="str">
        <f ca="1">IFERROR(__xludf.DUMMYFUNCTION("GOOGLETRANSLATE(AF5,""en"",""ta"")"),"இல்லை")</f>
        <v>இல்லை</v>
      </c>
      <c r="AF5" s="3" t="s">
        <v>46</v>
      </c>
      <c r="AG5" s="3" t="str">
        <f ca="1">IFERROR(__xludf.DUMMYFUNCTION("GOOGLETRANSLATE(AH5,""en"",""ta"")"),"குளிர்ச்சி, கிருமி நாசினி, காய்ச்சலடக்கும் மற்றும் பசியைத் தூண்டும் மருந்து")</f>
        <v>குளிர்ச்சி, கிருமி நாசினி, காய்ச்சலடக்கும் மற்றும் பசியைத் தூண்டும் மருந்து</v>
      </c>
      <c r="AH5" s="3" t="s">
        <v>90</v>
      </c>
      <c r="AI5" s="3" t="str">
        <f ca="1">IFERROR(__xludf.DUMMYFUNCTION("GOOGLETRANSLATE(AJ5,""en"",""ta"")"),"இல்லை")</f>
        <v>இல்லை</v>
      </c>
      <c r="AJ5" s="3" t="s">
        <v>46</v>
      </c>
      <c r="AK5" s="3" t="str">
        <f ca="1">IFERROR(__xludf.DUMMYFUNCTION("GOOGLETRANSLATE(AL5,""en"",""ta"")"),"இல்லை")</f>
        <v>இல்லை</v>
      </c>
      <c r="AL5" s="3" t="s">
        <v>46</v>
      </c>
      <c r="AM5" s="3" t="str">
        <f ca="1">IFERROR(__xludf.DUMMYFUNCTION("GOOGLETRANSLATE(AN5,""en"",""ta"")"),"இல்லை")</f>
        <v>இல்லை</v>
      </c>
      <c r="AN5" s="3" t="s">
        <v>46</v>
      </c>
      <c r="AO5" s="3" t="str">
        <f ca="1">IFERROR(__xludf.DUMMYFUNCTION("GOOGLETRANSLATE(AP5,""en"",""ta"")"),"#VALUE!")</f>
        <v>#VALUE!</v>
      </c>
      <c r="AP5" s="3"/>
      <c r="AQ5" s="3"/>
      <c r="AR5" s="3" t="str">
        <f ca="1">IFERROR(__xludf.DUMMYFUNCTION("GOOGLETRANSLATE(AS5,""en"",""ta"")"),"துவர்ப்பு மற்றும் டானிக்")</f>
        <v>துவர்ப்பு மற்றும் டானிக்</v>
      </c>
      <c r="AS5" s="3" t="s">
        <v>91</v>
      </c>
      <c r="AT5" s="3" t="str">
        <f ca="1">IFERROR(__xludf.DUMMYFUNCTION("GOOGLETRANSLATE(AU5,""en"",""ta"")"),"டானிக் அமிலம், டானின் மற்றும் கேட்டசூயிக் அமிலம்")</f>
        <v>டானிக் அமிலம், டானின் மற்றும் கேட்டசூயிக் அமிலம்</v>
      </c>
      <c r="AU5" s="3" t="s">
        <v>92</v>
      </c>
      <c r="AV5" s="3"/>
      <c r="AW5" s="3" t="str">
        <f ca="1">IFERROR(__xludf.DUMMYFUNCTION("GOOGLETRANSLATE(AX5,""en"",""ta"")"),"மாதவிடாய் நிறுத்தத்திற்கு பசைப் பொடியை தண்ணீரில் கலந்து உள்ளுக்குள்ளாகக் கொடுக்க வேண்டும். ஸ்டோமாடிடிஸ் ஏற்பட்டால் பட்டை கஷாயம் வாய் கொப்பளிக்க வேண்டும்.")</f>
        <v>மாதவிடாய் நிறுத்தத்திற்கு பசைப் பொடியை தண்ணீரில் கலந்து உள்ளுக்குள்ளாகக் கொடுக்க வேண்டும். ஸ்டோமாடிடிஸ் ஏற்பட்டால் பட்டை கஷாயம் வாய் கொப்பளிக்க வேண்டும்.</v>
      </c>
      <c r="AX5" s="3" t="s">
        <v>93</v>
      </c>
      <c r="AY5" s="3"/>
      <c r="AZ5" s="3"/>
      <c r="BA5" s="3"/>
      <c r="BB5" s="3"/>
      <c r="BC5" s="3"/>
      <c r="BD5" s="3"/>
      <c r="BE5" s="3"/>
      <c r="BF5" s="3"/>
    </row>
    <row r="6" spans="1:58" ht="15.75" customHeight="1" x14ac:dyDescent="0.15">
      <c r="A6" s="3">
        <v>5</v>
      </c>
      <c r="B6" s="3" t="str">
        <f ca="1">IFERROR(__xludf.DUMMYFUNCTION("GOOGLETRANSLATE(C6,""en"",""ta"")"),"அகாசியா கான்சின்னா")</f>
        <v>அகாசியா கான்சின்னா</v>
      </c>
      <c r="C6" s="3" t="s">
        <v>94</v>
      </c>
      <c r="D6" s="3" t="str">
        <f ca="1">IFERROR(__xludf.DUMMYFUNCTION("GOOGLETRANSLATE(E6,""en"",""ta"")"),"சப்தலா")</f>
        <v>சப்தலா</v>
      </c>
      <c r="E6" s="3" t="s">
        <v>95</v>
      </c>
      <c r="F6" s="3" t="str">
        <f ca="1">IFERROR(__xludf.DUMMYFUNCTION("GOOGLETRANSLATE(G6,""en"",""ta"")"),"சீயக்கை")</f>
        <v>சீயக்கை</v>
      </c>
      <c r="G6" s="3" t="s">
        <v>96</v>
      </c>
      <c r="H6" s="3" t="str">
        <f ca="1">IFERROR(__xludf.DUMMYFUNCTION("GOOGLETRANSLATE(I6,""en"",""ta"")"),"சோப்நட்")</f>
        <v>சோப்நட்</v>
      </c>
      <c r="I6" s="3" t="s">
        <v>97</v>
      </c>
      <c r="J6" s="3" t="str">
        <f ca="1">IFERROR(__xludf.DUMMYFUNCTION("GOOGLETRANSLATE(K6,""en"",""ta"")"),"சீக்காயா")</f>
        <v>சீக்காயா</v>
      </c>
      <c r="K6" s="3" t="s">
        <v>98</v>
      </c>
      <c r="L6" s="3" t="str">
        <f ca="1">IFERROR(__xludf.DUMMYFUNCTION("GOOGLETRANSLATE(M6,""en"",""ta"")"),"சீயா காய்")</f>
        <v>சீயா காய்</v>
      </c>
      <c r="M6" s="3" t="s">
        <v>99</v>
      </c>
      <c r="N6" s="3" t="str">
        <f ca="1">IFERROR(__xludf.DUMMYFUNCTION("GOOGLETRANSLATE(O6,""en"",""ta"")"),"கொச்சி")</f>
        <v>கொச்சி</v>
      </c>
      <c r="O6" s="3" t="s">
        <v>100</v>
      </c>
      <c r="P6" s="3"/>
      <c r="Q6" s="3" t="str">
        <f ca="1">IFERROR(__xludf.DUMMYFUNCTION("GOOGLETRANSLATE(R6,""en"",""ta"")"),"அடர் நிற பட்டையுடன் கூடிய தடிமனான, முட்கள் நிறைந்த புதர். இலைகள் கூர்முனை போன்ற கூட்டு வடிவத்தைக் கொண்டிருக்கும். மஞ்சரி ஒரு நீளமான ஸ்பைக். பழங்கள் உலர்ந்து போகும் பருப்பு வகைகள், விதைகள் ருகோஸ்.")</f>
        <v>அடர் நிற பட்டையுடன் கூடிய தடிமனான, முட்கள் நிறைந்த புதர். இலைகள் கூர்முனை போன்ற கூட்டு வடிவத்தைக் கொண்டிருக்கும். மஞ்சரி ஒரு நீளமான ஸ்பைக். பழங்கள் உலர்ந்து போகும் பருப்பு வகைகள், விதைகள் ருகோஸ்.</v>
      </c>
      <c r="R6" s="3" t="s">
        <v>101</v>
      </c>
      <c r="S6" s="3" t="str">
        <f ca="1">IFERROR(__xludf.DUMMYFUNCTION("GOOGLETRANSLATE(T6,""en"",""ta"")"),"இல்லை")</f>
        <v>இல்லை</v>
      </c>
      <c r="T6" s="3" t="s">
        <v>46</v>
      </c>
      <c r="U6" s="3" t="str">
        <f ca="1">IFERROR(__xludf.DUMMYFUNCTION("GOOGLETRANSLATE(V6,""en"",""ta"")"),"இல்லை")</f>
        <v>இல்லை</v>
      </c>
      <c r="V6" s="3" t="s">
        <v>46</v>
      </c>
      <c r="W6" s="3" t="str">
        <f ca="1">IFERROR(__xludf.DUMMYFUNCTION("GOOGLETRANSLATE(X6,""en"",""ta"")"),"மலேரியா காய்ச்சல், வாய்வு மற்றும் தோல் நோய்கள்")</f>
        <v>மலேரியா காய்ச்சல், வாய்வு மற்றும் தோல் நோய்கள்</v>
      </c>
      <c r="X6" s="3" t="s">
        <v>102</v>
      </c>
      <c r="Y6" s="3" t="str">
        <f ca="1">IFERROR(__xludf.DUMMYFUNCTION("GOOGLETRANSLATE(Z6,""en"",""ta"")"),"இல்லை")</f>
        <v>இல்லை</v>
      </c>
      <c r="Z6" s="3" t="s">
        <v>46</v>
      </c>
      <c r="AA6" s="3" t="str">
        <f ca="1">IFERROR(__xludf.DUMMYFUNCTION("GOOGLETRANSLATE(AB6,""en"",""ta"")"),"இல்லை")</f>
        <v>இல்லை</v>
      </c>
      <c r="AB6" s="3" t="s">
        <v>46</v>
      </c>
      <c r="AC6" s="3" t="str">
        <f ca="1">IFERROR(__xludf.DUMMYFUNCTION("GOOGLETRANSLATE(AD6,""en"",""ta"")"),"இல்லை")</f>
        <v>இல்லை</v>
      </c>
      <c r="AD6" s="3" t="s">
        <v>46</v>
      </c>
      <c r="AE6" s="3" t="str">
        <f ca="1">IFERROR(__xludf.DUMMYFUNCTION("GOOGLETRANSLATE(AF6,""en"",""ta"")"),"மலேரியா காய்ச்சல், வாய்வு மற்றும் தோல் நோய்கள்")</f>
        <v>மலேரியா காய்ச்சல், வாய்வு மற்றும் தோல் நோய்கள்</v>
      </c>
      <c r="AF6" s="3" t="s">
        <v>102</v>
      </c>
      <c r="AG6" s="3" t="str">
        <f ca="1">IFERROR(__xludf.DUMMYFUNCTION("GOOGLETRANSLATE(AH6,""en"",""ta"")"),"#VALUE!")</f>
        <v>#VALUE!</v>
      </c>
      <c r="AH6" s="3"/>
      <c r="AI6" s="3" t="str">
        <f ca="1">IFERROR(__xludf.DUMMYFUNCTION("GOOGLETRANSLATE(AJ6,""en"",""ta"")"),"இல்லை")</f>
        <v>இல்லை</v>
      </c>
      <c r="AJ6" s="3" t="s">
        <v>46</v>
      </c>
      <c r="AK6" s="3" t="str">
        <f ca="1">IFERROR(__xludf.DUMMYFUNCTION("GOOGLETRANSLATE(AL6,""en"",""ta"")"),"இல்லை")</f>
        <v>இல்லை</v>
      </c>
      <c r="AL6" s="3" t="s">
        <v>46</v>
      </c>
      <c r="AM6" s="3" t="str">
        <f ca="1">IFERROR(__xludf.DUMMYFUNCTION("GOOGLETRANSLATE(AN6,""en"",""ta"")"),"இல்லை")</f>
        <v>இல்லை</v>
      </c>
      <c r="AN6" s="3" t="s">
        <v>46</v>
      </c>
      <c r="AO6" s="3" t="str">
        <f ca="1">IFERROR(__xludf.DUMMYFUNCTION("GOOGLETRANSLATE(AP6,""en"",""ta"")"),"#VALUE!")</f>
        <v>#VALUE!</v>
      </c>
      <c r="AP6" s="3"/>
      <c r="AQ6" s="3"/>
      <c r="AR6" s="3" t="str">
        <f ca="1">IFERROR(__xludf.DUMMYFUNCTION("GOOGLETRANSLATE(AS6,""en"",""ta"")"),"சவர்க்காரம், அஸ்ட்ரிஜென்ட், அபிரியண்ட், எக்ஸ்பெக்டரண்ட், மலமிளக்கி மற்றும் வாந்தி.")</f>
        <v>சவர்க்காரம், அஸ்ட்ரிஜென்ட், அபிரியண்ட், எக்ஸ்பெக்டரண்ட், மலமிளக்கி மற்றும் வாந்தி.</v>
      </c>
      <c r="AS6" s="3" t="s">
        <v>103</v>
      </c>
      <c r="AT6" s="3" t="str">
        <f ca="1">IFERROR(__xludf.DUMMYFUNCTION("GOOGLETRANSLATE(AU6,""en"",""ta"")"),"ஆல்கலாய்டு, சபோனின், மாலிக் அமிலம், ரெசின் மற்றும் குளுக்கோஸ்")</f>
        <v>ஆல்கலாய்டு, சபோனின், மாலிக் அமிலம், ரெசின் மற்றும் குளுக்கோஸ்</v>
      </c>
      <c r="AU6" s="3" t="s">
        <v>104</v>
      </c>
      <c r="AV6" s="3"/>
      <c r="AW6" s="3" t="str">
        <f ca="1">IFERROR(__xludf.DUMMYFUNCTION("GOOGLETRANSLATE(AX6,""en"",""ta"")"),"பொடுகை நீக்க, காய்களின் கஷாயம் தலைமுடியைக் கழுவப் பயன்படுகிறது. இலைகளை ஆட்டுப் பாலுடன் அரைத்து, காயங்களுக்கு உள்ளுக்குக் கொடுக்க வேண்டும்.")</f>
        <v>பொடுகை நீக்க, காய்களின் கஷாயம் தலைமுடியைக் கழுவப் பயன்படுகிறது. இலைகளை ஆட்டுப் பாலுடன் அரைத்து, காயங்களுக்கு உள்ளுக்குக் கொடுக்க வேண்டும்.</v>
      </c>
      <c r="AX6" s="3" t="s">
        <v>105</v>
      </c>
      <c r="AY6" s="3"/>
      <c r="AZ6" s="3"/>
      <c r="BA6" s="3"/>
      <c r="BB6" s="3"/>
      <c r="BC6" s="3"/>
      <c r="BD6" s="3"/>
      <c r="BE6" s="3"/>
      <c r="BF6" s="3"/>
    </row>
    <row r="7" spans="1:58" ht="15.75" customHeight="1" x14ac:dyDescent="0.15">
      <c r="A7" s="3">
        <v>6</v>
      </c>
      <c r="B7" s="3" t="str">
        <f ca="1">IFERROR(__xludf.DUMMYFUNCTION("GOOGLETRANSLATE(C7,""en"",""ta"")"),"அகாசியா ஃபார்னேசியானா")</f>
        <v>அகாசியா ஃபார்னேசியானா</v>
      </c>
      <c r="C7" s="3" t="s">
        <v>106</v>
      </c>
      <c r="D7" s="3" t="str">
        <f ca="1">IFERROR(__xludf.DUMMYFUNCTION("GOOGLETRANSLATE(E7,""en"",""ta"")"),"அரிமேதா")</f>
        <v>அரிமேதா</v>
      </c>
      <c r="E7" s="3" t="s">
        <v>107</v>
      </c>
      <c r="F7" s="3" t="str">
        <f ca="1">IFERROR(__xludf.DUMMYFUNCTION("GOOGLETRANSLATE(G7,""en"",""ta"")"),"கடிவேல்")</f>
        <v>கடிவேல்</v>
      </c>
      <c r="G7" s="3" t="s">
        <v>108</v>
      </c>
      <c r="H7" s="3" t="str">
        <f ca="1">IFERROR(__xludf.DUMMYFUNCTION("GOOGLETRANSLATE(I7,""en"",""ta"")"),"துர்நாற்றம் வீசும் அகாசியா")</f>
        <v>துர்நாற்றம் வீசும் அகாசியா</v>
      </c>
      <c r="I7" s="3" t="s">
        <v>109</v>
      </c>
      <c r="J7" s="3" t="str">
        <f ca="1">IFERROR(__xludf.DUMMYFUNCTION("GOOGLETRANSLATE(K7,""en"",""ta"")"),"பிய்யதும்மா")</f>
        <v>பிய்யதும்மா</v>
      </c>
      <c r="K7" s="3" t="s">
        <v>110</v>
      </c>
      <c r="L7" s="3" t="str">
        <f ca="1">IFERROR(__xludf.DUMMYFUNCTION("GOOGLETRANSLATE(M7,""en"",""ta"")"),"பிவேலம்")</f>
        <v>பிவேலம்</v>
      </c>
      <c r="M7" s="3" t="s">
        <v>111</v>
      </c>
      <c r="N7" s="3" t="str">
        <f ca="1">IFERROR(__xludf.DUMMYFUNCTION("GOOGLETRANSLATE(O7,""en"",""ta"")"),"காந்த்பாபுல்")</f>
        <v>காந்த்பாபுல்</v>
      </c>
      <c r="O7" s="3" t="s">
        <v>112</v>
      </c>
      <c r="P7" s="3"/>
      <c r="Q7" s="3" t="str">
        <f ca="1">IFERROR(__xludf.DUMMYFUNCTION("GOOGLETRANSLATE(R7,""en"",""ta"")"),"சாம்பல் அல்லது வெளிர் பழுப்பு நிற புள்ளிகளால் குறிக்கப்பட்ட ஒரு புதர், முட்கள் இலைக்கோண வடிவானவை. இலைகள் 
இரு பின்னேட், இலைக்கோணங்கள் கடினமான மற்றும் கூர்மையானவை. பூக்கள் கோள வடிவ தலைகளில், மணம் மற்றும் ஆழமான மஞ்சள் நிறத்தில் இருக்கும். பழங்கள் காய்கள், த"&amp;"ுணை உருளை வடிவ, சற்று வளைந்த, உரோமங்களற்ற மற்றும் பழுப்பு நிறத்தில் இருக்கும். விதைகள் இருமுனை வடிவமாகவும் சுருக்கப்பட்டதாகவும் இருக்கும்.")</f>
        <v>சாம்பல் அல்லது வெளிர் பழுப்பு நிற புள்ளிகளால் குறிக்கப்பட்ட ஒரு புதர், முட்கள் இலைக்கோண வடிவானவை. இலைகள் 
இரு பின்னேட், இலைக்கோணங்கள் கடினமான மற்றும் கூர்மையானவை. பூக்கள் கோள வடிவ தலைகளில், மணம் மற்றும் ஆழமான மஞ்சள் நிறத்தில் இருக்கும். பழங்கள் காய்கள், துணை உருளை வடிவ, சற்று வளைந்த, உரோமங்களற்ற மற்றும் பழுப்பு நிறத்தில் இருக்கும். விதைகள் இருமுனை வடிவமாகவும் சுருக்கப்பட்டதாகவும் இருக்கும்.</v>
      </c>
      <c r="R7" s="3" t="s">
        <v>113</v>
      </c>
      <c r="S7" s="3" t="str">
        <f ca="1">IFERROR(__xludf.DUMMYFUNCTION("GOOGLETRANSLATE(T7,""en"",""ta"")"),"கருவுறாமை")</f>
        <v>கருவுறாமை</v>
      </c>
      <c r="T7" s="3" t="s">
        <v>114</v>
      </c>
      <c r="U7" s="3" t="str">
        <f ca="1">IFERROR(__xludf.DUMMYFUNCTION("GOOGLETRANSLATE(V7,""en"",""ta"")"),"இல்லை")</f>
        <v>இல்லை</v>
      </c>
      <c r="V7" s="3" t="s">
        <v>46</v>
      </c>
      <c r="W7" s="3" t="str">
        <f ca="1">IFERROR(__xludf.DUMMYFUNCTION("GOOGLETRANSLATE(X7,""en"",""ta"")"),"கோனோரியா, காயங்கள், புண்கள் மற்றும் கண் நோய்கள்.")</f>
        <v>கோனோரியா, காயங்கள், புண்கள் மற்றும் கண் நோய்கள்.</v>
      </c>
      <c r="X7" s="3" t="s">
        <v>115</v>
      </c>
      <c r="Y7" s="3" t="str">
        <f ca="1">IFERROR(__xludf.DUMMYFUNCTION("GOOGLETRANSLATE(Z7,""en"",""ta"")"),"இல்லை")</f>
        <v>இல்லை</v>
      </c>
      <c r="Z7" s="3" t="s">
        <v>46</v>
      </c>
      <c r="AA7" s="3" t="str">
        <f ca="1">IFERROR(__xludf.DUMMYFUNCTION("GOOGLETRANSLATE(AB7,""en"",""ta"")"),"அரிப்பு, மூச்சுக்குழாய் அழற்சி, வீக்கம், மலேரியா")</f>
        <v>அரிப்பு, மூச்சுக்குழாய் அழற்சி, வீக்கம், மலேரியா</v>
      </c>
      <c r="AB7" s="3" t="s">
        <v>116</v>
      </c>
      <c r="AC7" s="3" t="str">
        <f ca="1">IFERROR(__xludf.DUMMYFUNCTION("GOOGLETRANSLATE(AD7,""en"",""ta"")"),"இல்லை")</f>
        <v>இல்லை</v>
      </c>
      <c r="AD7" s="3" t="s">
        <v>46</v>
      </c>
      <c r="AE7" s="3" t="str">
        <f ca="1">IFERROR(__xludf.DUMMYFUNCTION("GOOGLETRANSLATE(AF7,""en"",""ta"")"),"இல்லை")</f>
        <v>இல்லை</v>
      </c>
      <c r="AF7" s="3" t="s">
        <v>46</v>
      </c>
      <c r="AG7" s="3" t="str">
        <f ca="1">IFERROR(__xludf.DUMMYFUNCTION("GOOGLETRANSLATE(AH7,""en"",""ta"")"),"இல்லை")</f>
        <v>இல்லை</v>
      </c>
      <c r="AH7" s="3" t="s">
        <v>46</v>
      </c>
      <c r="AI7" s="3" t="str">
        <f ca="1">IFERROR(__xludf.DUMMYFUNCTION("GOOGLETRANSLATE(AJ7,""en"",""ta"")"),"இல்லை")</f>
        <v>இல்லை</v>
      </c>
      <c r="AJ7" s="3" t="s">
        <v>46</v>
      </c>
      <c r="AK7" s="3" t="str">
        <f ca="1">IFERROR(__xludf.DUMMYFUNCTION("GOOGLETRANSLATE(AL7,""en"",""ta"")"),"இல்லை")</f>
        <v>இல்லை</v>
      </c>
      <c r="AL7" s="3" t="s">
        <v>46</v>
      </c>
      <c r="AM7" s="3" t="str">
        <f ca="1">IFERROR(__xludf.DUMMYFUNCTION("GOOGLETRANSLATE(AN7,""en"",""ta"")"),"இல்லை")</f>
        <v>இல்லை</v>
      </c>
      <c r="AN7" s="3" t="s">
        <v>46</v>
      </c>
      <c r="AO7" s="3" t="str">
        <f ca="1">IFERROR(__xludf.DUMMYFUNCTION("GOOGLETRANSLATE(AP7,""en"",""ta"")"),"#VALUE!")</f>
        <v>#VALUE!</v>
      </c>
      <c r="AP7" s="3"/>
      <c r="AQ7" s="3"/>
      <c r="AR7" s="3" t="str">
        <f ca="1">IFERROR(__xludf.DUMMYFUNCTION("GOOGLETRANSLATE(AS7,""en"",""ta"")"),"அலெக்ஸிடெரிக், ஆன்டெல்மிண்டிக், ஆன்டிடிஸ்டென்டெரிக் மற்றும் அஸ்ட்ரிஜென்ட்")</f>
        <v>அலெக்ஸிடெரிக், ஆன்டெல்மிண்டிக், ஆன்டிடிஸ்டென்டெரிக் மற்றும் அஸ்ட்ரிஜென்ட்</v>
      </c>
      <c r="AS7" s="3" t="s">
        <v>117</v>
      </c>
      <c r="AT7" s="3" t="str">
        <f ca="1">IFERROR(__xludf.DUMMYFUNCTION("GOOGLETRANSLATE(AU7,""en"",""ta"")"),"டானின்கள், ருட்டின், அரோமாடென்ட்ரின், நரிங்கெனின், குளுக்கோபிரனோசைடு, மெத்தில் கேலேட், எம்-டிகாலிக் அமிலம், சபோனின், மாலிக் அமிலம், ரெசின்கள் &amp; குளுக்கோசைடு.")</f>
        <v>டானின்கள், ருட்டின், அரோமாடென்ட்ரின், நரிங்கெனின், குளுக்கோபிரனோசைடு, மெத்தில் கேலேட், எம்-டிகாலிக் அமிலம், சபோனின், மாலிக் அமிலம், ரெசின்கள் &amp; குளுக்கோசைடு.</v>
      </c>
      <c r="AU7" s="3" t="s">
        <v>118</v>
      </c>
      <c r="AV7" s="3"/>
      <c r="AW7" s="3" t="str">
        <f ca="1">IFERROR(__xludf.DUMMYFUNCTION("GOOGLETRANSLATE(AX7,""en"",""ta"")"),"ஈறுகளில் இரத்தப்போக்கு ஏற்படுவதற்கு, பட்டையுடன் இஞ்சி சேர்த்து கஷாயம் செய்வது பயன்படுத்தப்படுகிறது. இளம் இலைகளை பேஸ்டாக தயாரித்து, வெள்ளையணுக்களுக்கு உள்ளே எடுத்துக் கொள்ளப்படுகிறது.")</f>
        <v>ஈறுகளில் இரத்தப்போக்கு ஏற்படுவதற்கு, பட்டையுடன் இஞ்சி சேர்த்து கஷாயம் செய்வது பயன்படுத்தப்படுகிறது. இளம் இலைகளை பேஸ்டாக தயாரித்து, வெள்ளையணுக்களுக்கு உள்ளே எடுத்துக் கொள்ளப்படுகிறது.</v>
      </c>
      <c r="AX7" s="3" t="s">
        <v>119</v>
      </c>
      <c r="AY7" s="3"/>
      <c r="AZ7" s="3"/>
      <c r="BA7" s="3"/>
      <c r="BB7" s="3"/>
      <c r="BC7" s="3"/>
      <c r="BD7" s="3"/>
      <c r="BE7" s="3"/>
      <c r="BF7" s="3"/>
    </row>
    <row r="8" spans="1:58" ht="15.75" customHeight="1" x14ac:dyDescent="0.15">
      <c r="A8" s="3">
        <v>7</v>
      </c>
      <c r="B8" s="3" t="str">
        <f ca="1">IFERROR(__xludf.DUMMYFUNCTION("GOOGLETRANSLATE(C8,""en"",""ta"")"),"அகாசியா லியூகோஃப்ளோயா")</f>
        <v>அகாசியா லியூகோஃப்ளோயா</v>
      </c>
      <c r="C8" s="3" t="s">
        <v>120</v>
      </c>
      <c r="D8" s="3" t="str">
        <f ca="1">IFERROR(__xludf.DUMMYFUNCTION("GOOGLETRANSLATE(E8,""en"",""ta"")"),"ஷ்வேதா - பார்புரா")</f>
        <v>ஷ்வேதா - பார்புரா</v>
      </c>
      <c r="E8" s="3" t="s">
        <v>121</v>
      </c>
      <c r="F8" s="3" t="str">
        <f ca="1">IFERROR(__xludf.DUMMYFUNCTION("GOOGLETRANSLATE(G8,""en"",""ta"")"),"வேல்வேலம்")</f>
        <v>வேல்வேலம்</v>
      </c>
      <c r="G8" s="3" t="s">
        <v>122</v>
      </c>
      <c r="H8" s="3" t="str">
        <f ca="1">IFERROR(__xludf.DUMMYFUNCTION("GOOGLETRANSLATE(I8,""en"",""ta"")"),"வெள்ளை பபூல்")</f>
        <v>வெள்ளை பபூல்</v>
      </c>
      <c r="I8" s="3" t="s">
        <v>123</v>
      </c>
      <c r="J8" s="3" t="str">
        <f ca="1">IFERROR(__xludf.DUMMYFUNCTION("GOOGLETRANSLATE(K8,""en"",""ta"")"),"தெல்லா தும்மா")</f>
        <v>தெல்லா தும்மா</v>
      </c>
      <c r="K8" s="3" t="s">
        <v>124</v>
      </c>
      <c r="L8" s="3" t="str">
        <f ca="1">IFERROR(__xludf.DUMMYFUNCTION("GOOGLETRANSLATE(M8,""en"",""ta"")"),"வேல்வேலம்")</f>
        <v>வேல்வேலம்</v>
      </c>
      <c r="M8" s="3" t="s">
        <v>122</v>
      </c>
      <c r="N8" s="3" t="str">
        <f ca="1">IFERROR(__xludf.DUMMYFUNCTION("GOOGLETRANSLATE(O8,""en"",""ta"")"),"சஃபேத் கிகார்")</f>
        <v>சஃபேத் கிகார்</v>
      </c>
      <c r="O8" s="3" t="s">
        <v>125</v>
      </c>
      <c r="P8" s="3"/>
      <c r="Q8" s="3" t="str">
        <f ca="1">IFERROR(__xludf.DUMMYFUNCTION("GOOGLETRANSLATE(R8,""en"",""ta"")"),"மிதமான அளவிலான இலையுதிர் மரம். இலைகள் இருமுனை வடிவிலானவை, முட்களுடன். மலர்கள் மஞ்சள் நிற தலைகள் முனையப் பேனிக்கிள்களில் அமைக்கப்பட்டிருக்கும். காய்கள் கருப்பு, நீளமானவை, குறுகியவை மற்றும் லிகுலேட். விதைகள் 10 - 20, சுருக்கப்பட்டவை.")</f>
        <v>மிதமான அளவிலான இலையுதிர் மரம். இலைகள் இருமுனை வடிவிலானவை, முட்களுடன். மலர்கள் மஞ்சள் நிற தலைகள் முனையப் பேனிக்கிள்களில் அமைக்கப்பட்டிருக்கும். காய்கள் கருப்பு, நீளமானவை, குறுகியவை மற்றும் லிகுலேட். விதைகள் 10 - 20, சுருக்கப்பட்டவை.</v>
      </c>
      <c r="R8" s="3" t="s">
        <v>126</v>
      </c>
      <c r="S8" s="3" t="str">
        <f ca="1">IFERROR(__xludf.DUMMYFUNCTION("GOOGLETRANSLATE(T8,""en"",""ta"")"),"கருக்கலைப்பு மருந்து")</f>
        <v>கருக்கலைப்பு மருந்து</v>
      </c>
      <c r="T8" s="3" t="s">
        <v>127</v>
      </c>
      <c r="U8" s="3" t="str">
        <f ca="1">IFERROR(__xludf.DUMMYFUNCTION("GOOGLETRANSLATE(V8,""en"",""ta"")"),"இல்லை")</f>
        <v>இல்லை</v>
      </c>
      <c r="V8" s="3" t="s">
        <v>46</v>
      </c>
      <c r="W8" s="3" t="str">
        <f ca="1">IFERROR(__xludf.DUMMYFUNCTION("GOOGLETRANSLATE(X8,""en"",""ta"")"),"இல்லை")</f>
        <v>இல்லை</v>
      </c>
      <c r="X8" s="3" t="s">
        <v>46</v>
      </c>
      <c r="Y8" s="3" t="str">
        <f ca="1">IFERROR(__xludf.DUMMYFUNCTION("GOOGLETRANSLATE(Z8,""en"",""ta"")"),"இல்லை")</f>
        <v>இல்லை</v>
      </c>
      <c r="Z8" s="3" t="s">
        <v>46</v>
      </c>
      <c r="AA8" s="3" t="str">
        <f ca="1">IFERROR(__xludf.DUMMYFUNCTION("GOOGLETRANSLATE(AB8,""en"",""ta"")"),"சுவாசக்குழாய் தொற்று, பல் சொத்தை, வாய்ப் புண் மற்றும் மலக்குடல் தொங்கல்")</f>
        <v>சுவாசக்குழாய் தொற்று, பல் சொத்தை, வாய்ப் புண் மற்றும் மலக்குடல் தொங்கல்</v>
      </c>
      <c r="AB8" s="3" t="s">
        <v>128</v>
      </c>
      <c r="AC8" s="3" t="str">
        <f ca="1">IFERROR(__xludf.DUMMYFUNCTION("GOOGLETRANSLATE(AD8,""en"",""ta"")"),"இல்லை")</f>
        <v>இல்லை</v>
      </c>
      <c r="AD8" s="3" t="s">
        <v>46</v>
      </c>
      <c r="AE8" s="3" t="str">
        <f ca="1">IFERROR(__xludf.DUMMYFUNCTION("GOOGLETRANSLATE(AF8,""en"",""ta"")"),"இல்லை")</f>
        <v>இல்லை</v>
      </c>
      <c r="AF8" s="3" t="s">
        <v>46</v>
      </c>
      <c r="AG8" s="3" t="str">
        <f ca="1">IFERROR(__xludf.DUMMYFUNCTION("GOOGLETRANSLATE(AH8,""en"",""ta"")"),"இல்லை")</f>
        <v>இல்லை</v>
      </c>
      <c r="AH8" s="3" t="s">
        <v>46</v>
      </c>
      <c r="AI8" s="3" t="str">
        <f ca="1">IFERROR(__xludf.DUMMYFUNCTION("GOOGLETRANSLATE(AJ8,""en"",""ta"")"),"இல்லை")</f>
        <v>இல்லை</v>
      </c>
      <c r="AJ8" s="3" t="s">
        <v>46</v>
      </c>
      <c r="AK8" s="3" t="str">
        <f ca="1">IFERROR(__xludf.DUMMYFUNCTION("GOOGLETRANSLATE(AL8,""en"",""ta"")"),"இல்லை")</f>
        <v>இல்லை</v>
      </c>
      <c r="AL8" s="3" t="s">
        <v>46</v>
      </c>
      <c r="AM8" s="3" t="str">
        <f ca="1">IFERROR(__xludf.DUMMYFUNCTION("GOOGLETRANSLATE(AN8,""en"",""ta"")"),"இல்லை")</f>
        <v>இல்லை</v>
      </c>
      <c r="AN8" s="3" t="s">
        <v>46</v>
      </c>
      <c r="AO8" s="3" t="str">
        <f ca="1">IFERROR(__xludf.DUMMYFUNCTION("GOOGLETRANSLATE(AP8,""en"",""ta"")"),"#VALUE!")</f>
        <v>#VALUE!</v>
      </c>
      <c r="AP8" s="3"/>
      <c r="AQ8" s="3"/>
      <c r="AR8" s="3" t="str">
        <f ca="1">IFERROR(__xludf.DUMMYFUNCTION("GOOGLETRANSLATE(AS8,""en"",""ta"")"),"தெர்மோஜெனிக், ஸ்டிப்டிக், அலெக்ஸிடெரிக், ஆன்டெல்மிண்டிக், டெமல்சென்ட், எக்ஸ்பெக்டோரண்ட், ஆன்டிபிரைடிக், பாக்டீரியா எதிர்ப்பு, பாலுணர்வைத் தூண்டும் மற்றும் ஆன்டிசிபிலிடிக்.")</f>
        <v>தெர்மோஜெனிக், ஸ்டிப்டிக், அலெக்ஸிடெரிக், ஆன்டெல்மிண்டிக், டெமல்சென்ட், எக்ஸ்பெக்டோரண்ட், ஆன்டிபிரைடிக், பாக்டீரியா எதிர்ப்பு, பாலுணர்வைத் தூண்டும் மற்றும் ஆன்டிசிபிலிடிக்.</v>
      </c>
      <c r="AS8" s="3" t="s">
        <v>129</v>
      </c>
      <c r="AT8" s="3" t="str">
        <f ca="1">IFERROR(__xludf.DUMMYFUNCTION("GOOGLETRANSLATE(AU8,""en"",""ta"")"),"ஹெக்ஸாகோசனால், பி-அமிரின், பி-சிட்டோஸ்டெரால், பென்சால்டிஹைடு, சாலிசிலிக் அமிலம் மற்றும் மீத்தில் சாலிசிலேட்")</f>
        <v>ஹெக்ஸாகோசனால், பி-அமிரின், பி-சிட்டோஸ்டெரால், பென்சால்டிஹைடு, சாலிசிலிக் அமிலம் மற்றும் மீத்தில் சாலிசிலேட்</v>
      </c>
      <c r="AU8" s="3" t="s">
        <v>130</v>
      </c>
      <c r="AV8" s="3"/>
      <c r="AW8" s="3" t="str">
        <f ca="1">IFERROR(__xludf.DUMMYFUNCTION("GOOGLETRANSLATE(AX8,""en"",""ta"")"),"பட்டையின் கஷாயம் உட்புறமாக ஒரு மண்புழு நீக்கியாக கொடுக்கப்படுகிறது. தலைச்சுற்றல் ஏற்பட்டால், பட்டை எண்ணெய் எண்ணெய் குளியலுக்குப் பயன்படுத்தப்படுகிறது.")</f>
        <v>பட்டையின் கஷாயம் உட்புறமாக ஒரு மண்புழு நீக்கியாக கொடுக்கப்படுகிறது. தலைச்சுற்றல் ஏற்பட்டால், பட்டை எண்ணெய் எண்ணெய் குளியலுக்குப் பயன்படுத்தப்படுகிறது.</v>
      </c>
      <c r="AX8" s="3" t="s">
        <v>131</v>
      </c>
      <c r="AY8" s="3"/>
      <c r="AZ8" s="3"/>
      <c r="BA8" s="3"/>
      <c r="BB8" s="3"/>
      <c r="BC8" s="3"/>
      <c r="BD8" s="3"/>
      <c r="BE8" s="3"/>
      <c r="BF8" s="3"/>
    </row>
    <row r="9" spans="1:58" ht="15.75" customHeight="1" x14ac:dyDescent="0.15">
      <c r="A9" s="3">
        <v>8</v>
      </c>
      <c r="B9" s="3" t="str">
        <f ca="1">IFERROR(__xludf.DUMMYFUNCTION("GOOGLETRANSLATE(C9,""en"",""ta"")"),"அகலிஃபா இண்டிகா")</f>
        <v>அகலிஃபா இண்டிகா</v>
      </c>
      <c r="C9" s="3" t="s">
        <v>132</v>
      </c>
      <c r="D9" s="3" t="str">
        <f ca="1">IFERROR(__xludf.DUMMYFUNCTION("GOOGLETRANSLATE(E9,""en"",""ta"")"),"ஹரிதமஞ்சரி")</f>
        <v>ஹரிதமஞ்சரி</v>
      </c>
      <c r="E9" s="3" t="s">
        <v>133</v>
      </c>
      <c r="F9" s="3" t="str">
        <f ca="1">IFERROR(__xludf.DUMMYFUNCTION("GOOGLETRANSLATE(G9,""en"",""ta"")"),"குப்பாய்மெனி")</f>
        <v>குப்பாய்மெனி</v>
      </c>
      <c r="G9" s="3" t="s">
        <v>134</v>
      </c>
      <c r="H9" s="3" t="str">
        <f ca="1">IFERROR(__xludf.DUMMYFUNCTION("GOOGLETRANSLATE(I9,""en"",""ta"")"),"இந்திய அகாலிஃபா")</f>
        <v>இந்திய அகாலிஃபா</v>
      </c>
      <c r="I9" s="3" t="s">
        <v>135</v>
      </c>
      <c r="J9" s="3" t="str">
        <f ca="1">IFERROR(__xludf.DUMMYFUNCTION("GOOGLETRANSLATE(K9,""en"",""ta"")"),"மூர்கொண்டா சேட்டு")</f>
        <v>மூர்கொண்டா சேட்டு</v>
      </c>
      <c r="K9" s="4" t="s">
        <v>136</v>
      </c>
      <c r="L9" s="3" t="str">
        <f ca="1">IFERROR(__xludf.DUMMYFUNCTION("GOOGLETRANSLATE(M9,""en"",""ta"")"),"குப்பமணி")</f>
        <v>குப்பமணி</v>
      </c>
      <c r="M9" s="3" t="s">
        <v>137</v>
      </c>
      <c r="N9" s="3" t="str">
        <f ca="1">IFERROR(__xludf.DUMMYFUNCTION("GOOGLETRANSLATE(O9,""en"",""ta"")"),"கோகாலி")</f>
        <v>கோகாலி</v>
      </c>
      <c r="O9" s="3" t="s">
        <v>138</v>
      </c>
      <c r="P9" s="3"/>
      <c r="Q9" s="3" t="str">
        <f ca="1">IFERROR(__xludf.DUMMYFUNCTION("GOOGLETRANSLATE(R9,""en"",""ta"")"),"நிமிர்ந்த வருடாந்திர மூலிகை, தண்டு உருளை வடிவமானது மற்றும் மரமானது. இலைகள் எளிமையானவை, மாற்று வடிவானது, இலைக்காம்பு வடிவானது, விளிம்பு ரம்பம் போன்றது மற்றும் வலைப்பின்னல் நரம்புகளுடன் மொசைக் பைலோடாக்ஸியைக் கொண்டுள்ளது. மஞ்சரி பூனை, பூக்கள் ஒரு பாலினம். பழ"&amp;"ங்கள் காப்ஸ்யூல், விதைகள் கருகியவை.")</f>
        <v>நிமிர்ந்த வருடாந்திர மூலிகை, தண்டு உருளை வடிவமானது மற்றும் மரமானது. இலைகள் எளிமையானவை, மாற்று வடிவானது, இலைக்காம்பு வடிவானது, விளிம்பு ரம்பம் போன்றது மற்றும் வலைப்பின்னல் நரம்புகளுடன் மொசைக் பைலோடாக்ஸியைக் கொண்டுள்ளது. மஞ்சரி பூனை, பூக்கள் ஒரு பாலினம். பழங்கள் காப்ஸ்யூல், விதைகள் கருகியவை.</v>
      </c>
      <c r="R9" s="3" t="s">
        <v>139</v>
      </c>
      <c r="S9" s="3" t="str">
        <f ca="1">IFERROR(__xludf.DUMMYFUNCTION("GOOGLETRANSLATE(T9,""en"",""ta"")"),"இல்லை")</f>
        <v>இல்லை</v>
      </c>
      <c r="T9" s="3" t="s">
        <v>46</v>
      </c>
      <c r="U9" s="3" t="str">
        <f ca="1">IFERROR(__xludf.DUMMYFUNCTION("GOOGLETRANSLATE(V9,""en"",""ta"")"),"இல்லை")</f>
        <v>இல்லை</v>
      </c>
      <c r="V9" s="3" t="s">
        <v>46</v>
      </c>
      <c r="W9" s="3" t="str">
        <f ca="1">IFERROR(__xludf.DUMMYFUNCTION("GOOGLETRANSLATE(X9,""en"",""ta"")"),"சிரங்கு, முடக்கு வாதம், மூட்டுவலி ஆஸ்துமா, மூச்சுக்குழாய் அழற்சி மற்றும் படுக்கைப் புண்கள்.")</f>
        <v>சிரங்கு, முடக்கு வாதம், மூட்டுவலி ஆஸ்துமா, மூச்சுக்குழாய் அழற்சி மற்றும் படுக்கைப் புண்கள்.</v>
      </c>
      <c r="X9" s="3" t="s">
        <v>140</v>
      </c>
      <c r="Y9" s="3" t="str">
        <f ca="1">IFERROR(__xludf.DUMMYFUNCTION("GOOGLETRANSLATE(Z9,""en"",""ta"")"),"மன அழுத்தம் மற்றும் வெறி")</f>
        <v>மன அழுத்தம் மற்றும் வெறி</v>
      </c>
      <c r="Z9" s="3" t="s">
        <v>141</v>
      </c>
      <c r="AA9" s="3" t="str">
        <f ca="1">IFERROR(__xludf.DUMMYFUNCTION("GOOGLETRANSLATE(AB9,""en"",""ta"")"),"இல்லை")</f>
        <v>இல்லை</v>
      </c>
      <c r="AB9" s="3" t="s">
        <v>46</v>
      </c>
      <c r="AC9" s="3" t="str">
        <f ca="1">IFERROR(__xludf.DUMMYFUNCTION("GOOGLETRANSLATE(AD9,""en"",""ta"")"),"இல்லை")</f>
        <v>இல்லை</v>
      </c>
      <c r="AD9" s="3" t="s">
        <v>46</v>
      </c>
      <c r="AE9" s="3" t="str">
        <f ca="1">IFERROR(__xludf.DUMMYFUNCTION("GOOGLETRANSLATE(AF9,""en"",""ta"")"),"இல்லை")</f>
        <v>இல்லை</v>
      </c>
      <c r="AF9" s="3" t="s">
        <v>46</v>
      </c>
      <c r="AG9" s="3" t="str">
        <f ca="1">IFERROR(__xludf.DUMMYFUNCTION("GOOGLETRANSLATE(AH9,""en"",""ta"")"),"இல்லை")</f>
        <v>இல்லை</v>
      </c>
      <c r="AH9" s="3" t="s">
        <v>46</v>
      </c>
      <c r="AI9" s="3" t="str">
        <f ca="1">IFERROR(__xludf.DUMMYFUNCTION("GOOGLETRANSLATE(AJ9,""en"",""ta"")"),"மன அழுத்தம் மற்றும் வெறி")</f>
        <v>மன அழுத்தம் மற்றும் வெறி</v>
      </c>
      <c r="AJ9" s="3" t="s">
        <v>141</v>
      </c>
      <c r="AK9" s="3" t="str">
        <f ca="1">IFERROR(__xludf.DUMMYFUNCTION("GOOGLETRANSLATE(AL9,""en"",""ta"")"),"இல்லை")</f>
        <v>இல்லை</v>
      </c>
      <c r="AL9" s="3" t="s">
        <v>46</v>
      </c>
      <c r="AM9" s="3" t="str">
        <f ca="1">IFERROR(__xludf.DUMMYFUNCTION("GOOGLETRANSLATE(AN9,""en"",""ta"")"),"இல்லை")</f>
        <v>இல்லை</v>
      </c>
      <c r="AN9" s="3" t="s">
        <v>46</v>
      </c>
      <c r="AO9" s="3" t="str">
        <f ca="1">IFERROR(__xludf.DUMMYFUNCTION("GOOGLETRANSLATE(AP9,""en"",""ta"")"),"#VALUE!")</f>
        <v>#VALUE!</v>
      </c>
      <c r="AP9" s="3"/>
      <c r="AQ9" s="3"/>
      <c r="AR9" s="3" t="str">
        <f ca="1">IFERROR(__xludf.DUMMYFUNCTION("GOOGLETRANSLATE(AS9,""en"",""ta"")"),"கத்தார்டிக், ஆன்டெல்மிண்டிக், எக்ஸ்பெக்டோரண்ட், வாந்தி, அனோடைன், டையூரிடிக், கார்மினேட்டிவ் &amp; ஹிப்னாடிக்.")</f>
        <v>கத்தார்டிக், ஆன்டெல்மிண்டிக், எக்ஸ்பெக்டோரண்ட், வாந்தி, அனோடைன், டையூரிடிக், கார்மினேட்டிவ் &amp; ஹிப்னாடிக்.</v>
      </c>
      <c r="AS9" s="3" t="s">
        <v>142</v>
      </c>
      <c r="AT9" s="3" t="str">
        <f ca="1">IFERROR(__xludf.DUMMYFUNCTION("GOOGLETRANSLATE(AU9,""en"",""ta"")"),"அகாலிஃபைன், ட்ரையசெட்டோனமைன், கேம்ப்ஃபெரால், கியூப்ராச்சிட்டால், டானின், பி-சிட்டோஸ்டெரால் மற்றும் ரெசின்")</f>
        <v>அகாலிஃபைன், ட்ரையசெட்டோனமைன், கேம்ப்ஃபெரால், கியூப்ராச்சிட்டால், டானின், பி-சிட்டோஸ்டெரால் மற்றும் ரெசின்</v>
      </c>
      <c r="AU9" s="3" t="s">
        <v>143</v>
      </c>
      <c r="AV9" s="3"/>
      <c r="AW9" s="3" t="str">
        <f ca="1">IFERROR(__xludf.DUMMYFUNCTION("GOOGLETRANSLATE(AX9,""en"",""ta"")"),"குழந்தைகளுக்கு ஏற்படும் புழு தொல்லை மற்றும் இருமலை குணப்படுத்த இலைச்சாற்றில் தேன் கலந்து உள்ளே கொடுக்கப்படுகிறது. இலை, மஞ்சள் மற்றும் உப்பு ஆகியவற்றை பேஸ்டாக தயாரித்து, சிரங்கு மற்றும் பிற தோல் நோய்களுக்கு வெளிப்புறமாகப் பூசப்படுகிறது.")</f>
        <v>குழந்தைகளுக்கு ஏற்படும் புழு தொல்லை மற்றும் இருமலை குணப்படுத்த இலைச்சாற்றில் தேன் கலந்து உள்ளே கொடுக்கப்படுகிறது. இலை, மஞ்சள் மற்றும் உப்பு ஆகியவற்றை பேஸ்டாக தயாரித்து, சிரங்கு மற்றும் பிற தோல் நோய்களுக்கு வெளிப்புறமாகப் பூசப்படுகிறது.</v>
      </c>
      <c r="AX9" s="3" t="s">
        <v>144</v>
      </c>
      <c r="AY9" s="3"/>
      <c r="AZ9" s="3"/>
      <c r="BA9" s="3"/>
      <c r="BB9" s="3"/>
      <c r="BC9" s="3"/>
      <c r="BD9" s="3"/>
      <c r="BE9" s="3"/>
      <c r="BF9" s="3"/>
    </row>
    <row r="10" spans="1:58" ht="15.75" customHeight="1" x14ac:dyDescent="0.15">
      <c r="A10" s="3">
        <v>9</v>
      </c>
      <c r="B10" s="3" t="str">
        <f ca="1">IFERROR(__xludf.DUMMYFUNCTION("GOOGLETRANSLATE(C10,""en"",""ta"")"),"அகலிஃபா சாண்டேரி")</f>
        <v>அகலிஃபா சாண்டேரி</v>
      </c>
      <c r="C10" s="3" t="s">
        <v>145</v>
      </c>
      <c r="D10" s="3" t="str">
        <f ca="1">IFERROR(__xludf.DUMMYFUNCTION("GOOGLETRANSLATE(E10,""en"",""ta"")"),"இல்லை")</f>
        <v>இல்லை</v>
      </c>
      <c r="E10" s="3" t="s">
        <v>46</v>
      </c>
      <c r="F10" s="3" t="str">
        <f ca="1">IFERROR(__xludf.DUMMYFUNCTION("GOOGLETRANSLATE(G10,""en"",""ta"")"),"குரங்குவல்")</f>
        <v>குரங்குவல்</v>
      </c>
      <c r="G10" s="3" t="s">
        <v>146</v>
      </c>
      <c r="H10" s="3" t="str">
        <f ca="1">IFERROR(__xludf.DUMMYFUNCTION("GOOGLETRANSLATE(I10,""en"",""ta"")"),"சிவப்பு சூடான பூனை வால்")</f>
        <v>சிவப்பு சூடான பூனை வால்</v>
      </c>
      <c r="I10" s="3" t="s">
        <v>147</v>
      </c>
      <c r="J10" s="3" t="str">
        <f ca="1">IFERROR(__xludf.DUMMYFUNCTION("GOOGLETRANSLATE(K10,""en"",""ta"")"),"மூருகொண்டா")</f>
        <v>மூருகொண்டா</v>
      </c>
      <c r="K10" s="3" t="s">
        <v>148</v>
      </c>
      <c r="L10" s="3" t="str">
        <f ca="1">IFERROR(__xludf.DUMMYFUNCTION("GOOGLETRANSLATE(M10,""en"",""ta"")"),"வட்டாட்டாலி")</f>
        <v>வட்டாட்டாலி</v>
      </c>
      <c r="M10" s="3" t="s">
        <v>149</v>
      </c>
      <c r="N10" s="3" t="str">
        <f ca="1">IFERROR(__xludf.DUMMYFUNCTION("GOOGLETRANSLATE(O10,""en"",""ta"")"),"இல்லை")</f>
        <v>இல்லை</v>
      </c>
      <c r="O10" s="3" t="s">
        <v>46</v>
      </c>
      <c r="P10" s="3"/>
      <c r="Q10" s="3" t="str">
        <f ca="1">IFERROR(__xludf.DUMMYFUNCTION("GOOGLETRANSLATE(R10,""en"",""ta"")"),"பச்சை, நீளமான, இலைக்காம்பு வடிவ, ரோம்பிக், முட்டை வடிவ, நீண்ட இலைகளைக் கொண்ட நடுத்தர அளவிலான புதர். மஞ்சரி ஒரு நீளமான சிவப்பு நிற ஸ்பைக். பழ காப்ஸ்யூல்.")</f>
        <v>பச்சை, நீளமான, இலைக்காம்பு வடிவ, ரோம்பிக், முட்டை வடிவ, நீண்ட இலைகளைக் கொண்ட நடுத்தர அளவிலான புதர். மஞ்சரி ஒரு நீளமான சிவப்பு நிற ஸ்பைக். பழ காப்ஸ்யூல்.</v>
      </c>
      <c r="R10" s="3" t="s">
        <v>150</v>
      </c>
      <c r="S10" s="3" t="str">
        <f ca="1">IFERROR(__xludf.DUMMYFUNCTION("GOOGLETRANSLATE(T10,""en"",""ta"")"),"இல்லை")</f>
        <v>இல்லை</v>
      </c>
      <c r="T10" s="3" t="s">
        <v>46</v>
      </c>
      <c r="U10" s="3" t="str">
        <f ca="1">IFERROR(__xludf.DUMMYFUNCTION("GOOGLETRANSLATE(V10,""en"",""ta"")"),"இல்லை")</f>
        <v>இல்லை</v>
      </c>
      <c r="V10" s="3" t="s">
        <v>46</v>
      </c>
      <c r="W10" s="3" t="str">
        <f ca="1">IFERROR(__xludf.DUMMYFUNCTION("GOOGLETRANSLATE(X10,""en"",""ta"")"),"புண்")</f>
        <v>புண்</v>
      </c>
      <c r="X10" s="3" t="s">
        <v>151</v>
      </c>
      <c r="Y10" s="3" t="str">
        <f ca="1">IFERROR(__xludf.DUMMYFUNCTION("GOOGLETRANSLATE(Z10,""en"",""ta"")"),"வயிற்றுப்போக்கு")</f>
        <v>வயிற்றுப்போக்கு</v>
      </c>
      <c r="Z10" s="3" t="s">
        <v>152</v>
      </c>
      <c r="AA10" s="3" t="str">
        <f ca="1">IFERROR(__xludf.DUMMYFUNCTION("GOOGLETRANSLATE(AB10,""en"",""ta"")"),"இல்லை")</f>
        <v>இல்லை</v>
      </c>
      <c r="AB10" s="3" t="s">
        <v>46</v>
      </c>
      <c r="AC10" s="3" t="str">
        <f ca="1">IFERROR(__xludf.DUMMYFUNCTION("GOOGLETRANSLATE(AD10,""en"",""ta"")"),"இல்லை")</f>
        <v>இல்லை</v>
      </c>
      <c r="AD10" s="3" t="s">
        <v>46</v>
      </c>
      <c r="AE10" s="3" t="str">
        <f ca="1">IFERROR(__xludf.DUMMYFUNCTION("GOOGLETRANSLATE(AF10,""en"",""ta"")"),"இல்லை")</f>
        <v>இல்லை</v>
      </c>
      <c r="AF10" s="3" t="s">
        <v>46</v>
      </c>
      <c r="AG10" s="3" t="str">
        <f ca="1">IFERROR(__xludf.DUMMYFUNCTION("GOOGLETRANSLATE(AH10,""en"",""ta"")"),"இல்லை")</f>
        <v>இல்லை</v>
      </c>
      <c r="AH10" s="3" t="s">
        <v>46</v>
      </c>
      <c r="AI10" s="3" t="str">
        <f ca="1">IFERROR(__xludf.DUMMYFUNCTION("GOOGLETRANSLATE(AJ10,""en"",""ta"")"),"இல்லை")</f>
        <v>இல்லை</v>
      </c>
      <c r="AJ10" s="3" t="s">
        <v>46</v>
      </c>
      <c r="AK10" s="3" t="str">
        <f ca="1">IFERROR(__xludf.DUMMYFUNCTION("GOOGLETRANSLATE(AL10,""en"",""ta"")"),"இல்லை")</f>
        <v>இல்லை</v>
      </c>
      <c r="AL10" s="3" t="s">
        <v>46</v>
      </c>
      <c r="AM10" s="3" t="str">
        <f ca="1">IFERROR(__xludf.DUMMYFUNCTION("GOOGLETRANSLATE(AN10,""en"",""ta"")"),"இல்லை")</f>
        <v>இல்லை</v>
      </c>
      <c r="AN10" s="3" t="s">
        <v>46</v>
      </c>
      <c r="AO10" s="3" t="str">
        <f ca="1">IFERROR(__xludf.DUMMYFUNCTION("GOOGLETRANSLATE(AP10,""en"",""ta"")"),"#VALUE!")</f>
        <v>#VALUE!</v>
      </c>
      <c r="AP10" s="3"/>
      <c r="AQ10" s="3"/>
      <c r="AR10" s="3" t="str">
        <f ca="1">IFERROR(__xludf.DUMMYFUNCTION("GOOGLETRANSLATE(AS10,""en"",""ta"")"),"டையூரிடிக், கார்மினேட்டிவ், எக்ஸ்பெக்டோரண்ட் மற்றும் வாந்தி மருந்து")</f>
        <v>டையூரிடிக், கார்மினேட்டிவ், எக்ஸ்பெக்டோரண்ட் மற்றும் வாந்தி மருந்து</v>
      </c>
      <c r="AS10" s="3" t="s">
        <v>153</v>
      </c>
      <c r="AT10" s="3" t="str">
        <f ca="1">IFERROR(__xludf.DUMMYFUNCTION("GOOGLETRANSLATE(AU10,""en"",""ta"")"),"அகாலிஃபின், ட்ரையசெட்டோனமைன், டானின், ரெசின், ஹைட்ரோசியானிக் அமிலம்.")</f>
        <v>அகாலிஃபின், ட்ரையசெட்டோனமைன், டானின், ரெசின், ஹைட்ரோசியானிக் அமிலம்.</v>
      </c>
      <c r="AU10" s="3" t="s">
        <v>154</v>
      </c>
      <c r="AV10" s="3"/>
      <c r="AW10" s="3" t="str">
        <f ca="1">IFERROR(__xludf.DUMMYFUNCTION("GOOGLETRANSLATE(AX10,""en"",""ta"")"),"இலைகளைப் பொடியாக்கி, படுக்கைப் புண்கள் மற்றும் புழுக்களால் பாதிக்கப்பட்ட காயங்களுக்குப் பயன்படுத்தலாம். இலைகளை விழுது தீக்காயங்களுக்குப் பூசலாம்.")</f>
        <v>இலைகளைப் பொடியாக்கி, படுக்கைப் புண்கள் மற்றும் புழுக்களால் பாதிக்கப்பட்ட காயங்களுக்குப் பயன்படுத்தலாம். இலைகளை விழுது தீக்காயங்களுக்குப் பூசலாம்.</v>
      </c>
      <c r="AX10" s="3" t="s">
        <v>155</v>
      </c>
      <c r="AY10" s="3"/>
      <c r="AZ10" s="3"/>
      <c r="BA10" s="3"/>
      <c r="BB10" s="3"/>
      <c r="BC10" s="3"/>
      <c r="BD10" s="3"/>
      <c r="BE10" s="3"/>
      <c r="BF10" s="3"/>
    </row>
    <row r="11" spans="1:58" ht="15.75" customHeight="1" x14ac:dyDescent="0.15">
      <c r="A11" s="3">
        <v>10</v>
      </c>
      <c r="B11" s="3" t="str">
        <f ca="1">IFERROR(__xludf.DUMMYFUNCTION("GOOGLETRANSLATE(C11,""en"",""ta"")"),"அகாந்தஸ் இலிசிஃபோலியஸ்")</f>
        <v>அகாந்தஸ் இலிசிஃபோலியஸ்</v>
      </c>
      <c r="C11" s="3" t="s">
        <v>156</v>
      </c>
      <c r="D11" s="3" t="str">
        <f ca="1">IFERROR(__xludf.DUMMYFUNCTION("GOOGLETRANSLATE(E11,""en"",""ta"")"),"ஹரிகுசா")</f>
        <v>ஹரிகுசா</v>
      </c>
      <c r="E11" s="3" t="s">
        <v>157</v>
      </c>
      <c r="F11" s="3" t="str">
        <f ca="1">IFERROR(__xludf.DUMMYFUNCTION("GOOGLETRANSLATE(G11,""en"",""ta"")"),"அட்டுமுல்லி")</f>
        <v>அட்டுமுல்லி</v>
      </c>
      <c r="G11" s="3" t="s">
        <v>158</v>
      </c>
      <c r="H11" s="3" t="str">
        <f ca="1">IFERROR(__xludf.DUMMYFUNCTION("GOOGLETRANSLATE(I11,""en"",""ta"")"),"புனித இலைகள் கொண்ட அகந்தஸ்")</f>
        <v>புனித இலைகள் கொண்ட அகந்தஸ்</v>
      </c>
      <c r="I11" s="3" t="s">
        <v>2452</v>
      </c>
      <c r="J11" s="3" t="str">
        <f ca="1">IFERROR(__xludf.DUMMYFUNCTION("GOOGLETRANSLATE(K11,""en"",""ta"")"),"அலஸ்யகம்பா")</f>
        <v>அலஸ்யகம்பா</v>
      </c>
      <c r="K11" s="3" t="s">
        <v>159</v>
      </c>
      <c r="L11" s="3" t="str">
        <f ca="1">IFERROR(__xludf.DUMMYFUNCTION("GOOGLETRANSLATE(M11,""en"",""ta"")"),"சக்கரமுல்லி")</f>
        <v>சக்கரமுல்லி</v>
      </c>
      <c r="M11" s="3" t="s">
        <v>160</v>
      </c>
      <c r="N11" s="3" t="str">
        <f ca="1">IFERROR(__xludf.DUMMYFUNCTION("GOOGLETRANSLATE(O11,""en"",""ta"")"),"ஹர்கோசா")</f>
        <v>ஹர்கோசா</v>
      </c>
      <c r="O11" s="3" t="s">
        <v>161</v>
      </c>
      <c r="P11" s="3"/>
      <c r="Q11" s="3" t="str">
        <f ca="1">IFERROR(__xludf.DUMMYFUNCTION("GOOGLETRANSLATE(R11,""en"",""ta"")"),"கூட்டமாக வளரும், குறைந்த கிளைகளைக் கொண்ட, எப்போதும் பச்சை நிற ஹாலோஃபைடிக் புதர். இலைகள் நீள்வட்ட வடிவிலானவை அல்லது நீள்வட்ட வடிவிலானவை, இறகு போன்ற பற்கள் கொண்டவை, உரோமங்களற்றவை, முள்ளந்தண்டு வடிவானவை. மலர்கள் நீலம், காம்பற்றவை, முனையத்தில் அல்லது குறுக்கி"&amp;"டப்பட்ட கூர்முனை கொண்டவை. பழங்கள் நீள்வட்ட வடிவிலானவை, பழுப்பு நிறமானவை. விதைகள் அகலமானவை.
- முட்டை வடிவானது.")</f>
        <v>கூட்டமாக வளரும், குறைந்த கிளைகளைக் கொண்ட, எப்போதும் பச்சை நிற ஹாலோஃபைடிக் புதர். இலைகள் நீள்வட்ட வடிவிலானவை அல்லது நீள்வட்ட வடிவிலானவை, இறகு போன்ற பற்கள் கொண்டவை, உரோமங்களற்றவை, முள்ளந்தண்டு வடிவானவை. மலர்கள் நீலம், காம்பற்றவை, முனையத்தில் அல்லது குறுக்கிடப்பட்ட கூர்முனை கொண்டவை. பழங்கள் நீள்வட்ட வடிவிலானவை, பழுப்பு நிறமானவை. விதைகள் அகலமானவை.
- முட்டை வடிவானது.</v>
      </c>
      <c r="R11" s="3" t="s">
        <v>162</v>
      </c>
      <c r="S11" s="3" t="str">
        <f ca="1">IFERROR(__xludf.DUMMYFUNCTION("GOOGLETRANSLATE(T11,""en"",""ta"")"),"ஆஸ்துமா, பக்கவாதம், பல் வலி")</f>
        <v>ஆஸ்துமா, பக்கவாதம், பல் வலி</v>
      </c>
      <c r="T11" s="3" t="s">
        <v>163</v>
      </c>
      <c r="U11" s="3" t="str">
        <f ca="1">IFERROR(__xludf.DUMMYFUNCTION("GOOGLETRANSLATE(V11,""en"",""ta"")"),"இல்லை")</f>
        <v>இல்லை</v>
      </c>
      <c r="V11" s="3" t="s">
        <v>46</v>
      </c>
      <c r="W11" s="3" t="str">
        <f ca="1">IFERROR(__xludf.DUMMYFUNCTION("GOOGLETRANSLATE(X11,""en"",""ta"")"),"வாத நோய், நரம்புத் தளர்ச்சி")</f>
        <v>வாத நோய், நரம்புத் தளர்ச்சி</v>
      </c>
      <c r="X11" s="3" t="s">
        <v>164</v>
      </c>
      <c r="Y11" s="3" t="str">
        <f ca="1">IFERROR(__xludf.DUMMYFUNCTION("GOOGLETRANSLATE(Z11,""en"",""ta"")"),"இல்லை")</f>
        <v>இல்லை</v>
      </c>
      <c r="Z11" s="3" t="s">
        <v>46</v>
      </c>
      <c r="AA11" s="3" t="str">
        <f ca="1">IFERROR(__xludf.DUMMYFUNCTION("GOOGLETRANSLATE(AB11,""en"",""ta"")"),"இல்லை")</f>
        <v>இல்லை</v>
      </c>
      <c r="AB11" s="3" t="s">
        <v>46</v>
      </c>
      <c r="AC11" s="3" t="str">
        <f ca="1">IFERROR(__xludf.DUMMYFUNCTION("GOOGLETRANSLATE(AD11,""en"",""ta"")"),"இல்லை")</f>
        <v>இல்லை</v>
      </c>
      <c r="AD11" s="3" t="s">
        <v>46</v>
      </c>
      <c r="AE11" s="3" t="str">
        <f ca="1">IFERROR(__xludf.DUMMYFUNCTION("GOOGLETRANSLATE(AF11,""en"",""ta"")"),"இல்லை")</f>
        <v>இல்லை</v>
      </c>
      <c r="AF11" s="3" t="s">
        <v>46</v>
      </c>
      <c r="AG11" s="3" t="str">
        <f ca="1">IFERROR(__xludf.DUMMYFUNCTION("GOOGLETRANSLATE(AH11,""en"",""ta"")"),"இல்லை")</f>
        <v>இல்லை</v>
      </c>
      <c r="AH11" s="3" t="s">
        <v>46</v>
      </c>
      <c r="AI11" s="3" t="str">
        <f ca="1">IFERROR(__xludf.DUMMYFUNCTION("GOOGLETRANSLATE(AJ11,""en"",""ta"")"),"இல்லை")</f>
        <v>இல்லை</v>
      </c>
      <c r="AJ11" s="3" t="s">
        <v>46</v>
      </c>
      <c r="AK11" s="3" t="str">
        <f ca="1">IFERROR(__xludf.DUMMYFUNCTION("GOOGLETRANSLATE(AL11,""en"",""ta"")"),"இல்லை")</f>
        <v>இல்லை</v>
      </c>
      <c r="AL11" s="3" t="s">
        <v>46</v>
      </c>
      <c r="AM11" s="3" t="str">
        <f ca="1">IFERROR(__xludf.DUMMYFUNCTION("GOOGLETRANSLATE(AN11,""en"",""ta"")"),"இல்லை")</f>
        <v>இல்லை</v>
      </c>
      <c r="AN11" s="3" t="s">
        <v>46</v>
      </c>
      <c r="AO11" s="3" t="str">
        <f ca="1">IFERROR(__xludf.DUMMYFUNCTION("GOOGLETRANSLATE(AP11,""en"",""ta"")"),"#VALUE!")</f>
        <v>#VALUE!</v>
      </c>
      <c r="AP11" s="3"/>
      <c r="AQ11" s="3"/>
      <c r="AR11" s="3" t="str">
        <f ca="1">IFERROR(__xludf.DUMMYFUNCTION("GOOGLETRANSLATE(AS11,""en"",""ta"")"),"அஸ்ட்ரிஜென்ட், நர்வின் டானிக், எக்ஸ்பெக்டரண்ட், ஸ்டிமுலண்ட்")</f>
        <v>அஸ்ட்ரிஜென்ட், நர்வின் டானிக், எக்ஸ்பெக்டரண்ட், ஸ்டிமுலண்ட்</v>
      </c>
      <c r="AS11" s="3" t="s">
        <v>165</v>
      </c>
      <c r="AT11" s="3" t="str">
        <f ca="1">IFERROR(__xludf.DUMMYFUNCTION("GOOGLETRANSLATE(AU11,""en"",""ta"")"),"அகாந்திசிஃபோலின், 4, 7- டைமெதில்ஸ்குடெல்லாரின், 2-பென்சோக்சசோலினோன்")</f>
        <v>அகாந்திசிஃபோலின், 4, 7- டைமெதில்ஸ்குடெல்லாரின், 2-பென்சோக்சசோலினோன்</v>
      </c>
      <c r="AU11" s="3" t="s">
        <v>166</v>
      </c>
      <c r="AV11" s="3"/>
      <c r="AW11" s="3" t="str">
        <f ca="1">IFERROR(__xludf.DUMMYFUNCTION("GOOGLETRANSLATE(AX11,""en"",""ta"")"),"சர்க்கரை மிட்டாய் மற்றும் சீரகத்துடன் கூடிய செடியின் கஷாயம் அமில வெடிப்புடன் கூடிய டிஸ்பெப்சியாவில் பயன்படுத்தப்படுகிறது. இலைகள் வாத நோய் மற்றும் நரம்பு வலிக்கு மென்மையாக்கும் தூண்டுதலாகப் பயன்படுத்தப்படுகின்றன.")</f>
        <v>சர்க்கரை மிட்டாய் மற்றும் சீரகத்துடன் கூடிய செடியின் கஷாயம் அமில வெடிப்புடன் கூடிய டிஸ்பெப்சியாவில் பயன்படுத்தப்படுகிறது. இலைகள் வாத நோய் மற்றும் நரம்பு வலிக்கு மென்மையாக்கும் தூண்டுதலாகப் பயன்படுத்தப்படுகின்றன.</v>
      </c>
      <c r="AX11" s="3" t="s">
        <v>167</v>
      </c>
      <c r="AY11" s="3"/>
      <c r="AZ11" s="3"/>
      <c r="BA11" s="3"/>
      <c r="BB11" s="3"/>
      <c r="BC11" s="3"/>
      <c r="BD11" s="3"/>
      <c r="BE11" s="3"/>
      <c r="BF11" s="3"/>
    </row>
    <row r="12" spans="1:58" ht="15.75" customHeight="1" x14ac:dyDescent="0.15">
      <c r="A12" s="3">
        <v>11</v>
      </c>
      <c r="B12" s="3" t="str">
        <f ca="1">IFERROR(__xludf.DUMMYFUNCTION("GOOGLETRANSLATE(C12,""en"",""ta"")"),"அச்சிராந்தஸ் ஆஸ்பெரா")</f>
        <v>அச்சிராந்தஸ் ஆஸ்பெரா</v>
      </c>
      <c r="C12" s="3" t="s">
        <v>168</v>
      </c>
      <c r="D12" s="3" t="str">
        <f ca="1">IFERROR(__xludf.DUMMYFUNCTION("GOOGLETRANSLATE(E12,""en"",""ta"")"),"அபமார்கா")</f>
        <v>அபமார்கா</v>
      </c>
      <c r="E12" s="3" t="s">
        <v>169</v>
      </c>
      <c r="F12" s="3" t="str">
        <f ca="1">IFERROR(__xludf.DUMMYFUNCTION("GOOGLETRANSLATE(G12,""en"",""ta"")"),"நாயுருவி")</f>
        <v>நாயுருவி</v>
      </c>
      <c r="G12" s="3" t="s">
        <v>170</v>
      </c>
      <c r="H12" s="3" t="str">
        <f ca="1">IFERROR(__xludf.DUMMYFUNCTION("GOOGLETRANSLATE(I12,""en"",""ta"")"),"முட்கள் நிறைந்த சாஃப் பூ")</f>
        <v>முட்கள் நிறைந்த சாஃப் பூ</v>
      </c>
      <c r="I12" s="3" t="s">
        <v>171</v>
      </c>
      <c r="J12" s="3" t="str">
        <f ca="1">IFERROR(__xludf.DUMMYFUNCTION("GOOGLETRANSLATE(K12,""en"",""ta"")"),"அபமார்கமு")</f>
        <v>அபமார்கமு</v>
      </c>
      <c r="K12" s="3" t="s">
        <v>172</v>
      </c>
      <c r="L12" s="3" t="str">
        <f ca="1">IFERROR(__xludf.DUMMYFUNCTION("GOOGLETRANSLATE(M12,""en"",""ta"")"),"கடலாடி")</f>
        <v>கடலாடி</v>
      </c>
      <c r="M12" s="3" t="s">
        <v>173</v>
      </c>
      <c r="N12" s="3" t="str">
        <f ca="1">IFERROR(__xludf.DUMMYFUNCTION("GOOGLETRANSLATE(O12,""en"",""ta"")"),"சிர்-சிரா")</f>
        <v>சிர்-சிரா</v>
      </c>
      <c r="O12" s="3" t="s">
        <v>174</v>
      </c>
      <c r="P12" s="3"/>
      <c r="Q12" s="3" t="str">
        <f ca="1">IFERROR(__xludf.DUMMYFUNCTION("GOOGLETRANSLATE(R12,""en"",""ta"")"),"ஒரு சிறிய நிமிர்ந்த அல்லது குப்புற வளரும், வருடாந்திர அல்லது வற்றாத மூலிகை. இலைகள் எளிமையானவை, சிறியவை, காம்பற்றவை, முட்டை வடிவானது, அகன்றவை, மென்மையானவை, ரோமங்கள் நிறைந்தவை மற்றும் வயிற்றுப் பக்கத்தில் வெண்மையானவை. மஞ்சரி கூர்முனை கொண்டது, பூக்கள் பச்சை "&amp;"மற்றும் சிறியவை. பழங்கள் மெல்லியவை, நீள்வட்ட மற்றும் சாம்பல் நிற யூட்ரிக்கிள்கள்.")</f>
        <v>ஒரு சிறிய நிமிர்ந்த அல்லது குப்புற வளரும், வருடாந்திர அல்லது வற்றாத மூலிகை. இலைகள் எளிமையானவை, சிறியவை, காம்பற்றவை, முட்டை வடிவானது, அகன்றவை, மென்மையானவை, ரோமங்கள் நிறைந்தவை மற்றும் வயிற்றுப் பக்கத்தில் வெண்மையானவை. மஞ்சரி கூர்முனை கொண்டது, பூக்கள் பச்சை மற்றும் சிறியவை. பழங்கள் மெல்லியவை, நீள்வட்ட மற்றும் சாம்பல் நிற யூட்ரிக்கிள்கள்.</v>
      </c>
      <c r="R12" s="3" t="s">
        <v>175</v>
      </c>
      <c r="S12" s="3" t="str">
        <f ca="1">IFERROR(__xludf.DUMMYFUNCTION("GOOGLETRANSLATE(T12,""en"",""ta"")"),"குடல் கோளாறுகள், இருமல், ஆஸ்கைட்ஸ் &amp;
அனசர்கா.")</f>
        <v>குடல் கோளாறுகள், இருமல், ஆஸ்கைட்ஸ் &amp;
அனசர்கா.</v>
      </c>
      <c r="T12" s="3" t="s">
        <v>176</v>
      </c>
      <c r="U12" s="3" t="str">
        <f ca="1">IFERROR(__xludf.DUMMYFUNCTION("GOOGLETRANSLATE(V12,""en"",""ta"")"),"குமட்டல், இரத்தப்போக்கு மூல நோய் மற்றும் ஃபிஸ்துலா.")</f>
        <v>குமட்டல், இரத்தப்போக்கு மூல நோய் மற்றும் ஃபிஸ்துலா.</v>
      </c>
      <c r="V12" s="3" t="s">
        <v>177</v>
      </c>
      <c r="W12" s="3" t="str">
        <f ca="1">IFERROR(__xludf.DUMMYFUNCTION("GOOGLETRANSLATE(X12,""en"",""ta"")"),"காயங்கள் மற்றும் தேள் கொட்டுதல்.")</f>
        <v>காயங்கள் மற்றும் தேள் கொட்டுதல்.</v>
      </c>
      <c r="X12" s="3" t="s">
        <v>178</v>
      </c>
      <c r="Y12" s="3" t="str">
        <f ca="1">IFERROR(__xludf.DUMMYFUNCTION("GOOGLETRANSLATE(Z12,""en"",""ta"")"),"இல்லை")</f>
        <v>இல்லை</v>
      </c>
      <c r="Z12" s="3" t="s">
        <v>46</v>
      </c>
      <c r="AA12" s="3" t="str">
        <f ca="1">IFERROR(__xludf.DUMMYFUNCTION("GOOGLETRANSLATE(AB12,""en"",""ta"")"),"இல்லை")</f>
        <v>இல்லை</v>
      </c>
      <c r="AB12" s="3" t="s">
        <v>46</v>
      </c>
      <c r="AC12" s="3" t="str">
        <f ca="1">IFERROR(__xludf.DUMMYFUNCTION("GOOGLETRANSLATE(AD12,""en"",""ta"")"),"இல்லை")</f>
        <v>இல்லை</v>
      </c>
      <c r="AD12" s="3" t="s">
        <v>46</v>
      </c>
      <c r="AE12" s="3" t="str">
        <f ca="1">IFERROR(__xludf.DUMMYFUNCTION("GOOGLETRANSLATE(AF12,""en"",""ta"")"),"இல்லை")</f>
        <v>இல்லை</v>
      </c>
      <c r="AF12" s="3" t="s">
        <v>46</v>
      </c>
      <c r="AG12" s="3" t="str">
        <f ca="1">IFERROR(__xludf.DUMMYFUNCTION("GOOGLETRANSLATE(AH12,""en"",""ta"")"),"இல்லை")</f>
        <v>இல்லை</v>
      </c>
      <c r="AH12" s="3" t="s">
        <v>46</v>
      </c>
      <c r="AI12" s="3" t="str">
        <f ca="1">IFERROR(__xludf.DUMMYFUNCTION("GOOGLETRANSLATE(AJ12,""en"",""ta"")"),"இல்லை")</f>
        <v>இல்லை</v>
      </c>
      <c r="AJ12" s="3" t="s">
        <v>46</v>
      </c>
      <c r="AK12" s="3" t="str">
        <f ca="1">IFERROR(__xludf.DUMMYFUNCTION("GOOGLETRANSLATE(AL12,""en"",""ta"")"),"இல்லை")</f>
        <v>இல்லை</v>
      </c>
      <c r="AL12" s="3" t="s">
        <v>46</v>
      </c>
      <c r="AM12" s="3" t="str">
        <f ca="1">IFERROR(__xludf.DUMMYFUNCTION("GOOGLETRANSLATE(AN12,""en"",""ta"")"),"இல்லை")</f>
        <v>இல்லை</v>
      </c>
      <c r="AN12" s="3" t="s">
        <v>46</v>
      </c>
      <c r="AO12" s="3" t="str">
        <f ca="1">IFERROR(__xludf.DUMMYFUNCTION("GOOGLETRANSLATE(AP12,""en"",""ta"")"),"#VALUE!")</f>
        <v>#VALUE!</v>
      </c>
      <c r="AP12" s="3"/>
      <c r="AQ12" s="3"/>
      <c r="AR12" s="3" t="str">
        <f ca="1">IFERROR(__xludf.DUMMYFUNCTION("GOOGLETRANSLATE(AS12,""en"",""ta"")"),"துவர்ப்பு மருந்து, சிறுநீர் பெருக்கி, மாற்று மருந்து, கால எதிர்ப்பு சுத்திகரிப்பு மருந்து, பூஞ்சை எதிர்ப்பு மருந்து")</f>
        <v>துவர்ப்பு மருந்து, சிறுநீர் பெருக்கி, மாற்று மருந்து, கால எதிர்ப்பு சுத்திகரிப்பு மருந்து, பூஞ்சை எதிர்ப்பு மருந்து</v>
      </c>
      <c r="AS12" s="3" t="s">
        <v>179</v>
      </c>
      <c r="AT12" s="3" t="str">
        <f ca="1">IFERROR(__xludf.DUMMYFUNCTION("GOOGLETRANSLATE(AU12,""en"",""ta"")"),"எக்டிஸ்டிரோன், ஓலியானோலிக் அமிலம், எக்டிசோன், பொட்டாஷ் மற்றும் ட்ரைகோன்டனால்.")</f>
        <v>எக்டிஸ்டிரோன், ஓலியானோலிக் அமிலம், எக்டிசோன், பொட்டாஷ் மற்றும் ட்ரைகோன்டனால்.</v>
      </c>
      <c r="AU12" s="3" t="s">
        <v>180</v>
      </c>
      <c r="AV12" s="3"/>
      <c r="AW12" s="3" t="str">
        <f ca="1">IFERROR(__xludf.DUMMYFUNCTION("GOOGLETRANSLATE(AX12,""en"",""ta"")"),"இந்த மூலிகையின் கஷாயம் சிறுநீர் வெளியேற்றத்தை அதிகரிக்கிறது மற்றும் சிறுநீரக சொட்டு மருந்து மற்றும் ஜெனரல் அனசர்காவில் பயனுள்ளதாக இருக்கும். வேர்கள் பல் துலக்குதலாகப் பயன்படுத்தப்படுகின்றன, இது பற்களை வலுப்படுத்துகிறது மற்றும் ஈறுகளில் இரத்தப்போக்கு குணப்"&amp;"படுத்துகிறது.
")</f>
        <v xml:space="preserve">இந்த மூலிகையின் கஷாயம் சிறுநீர் வெளியேற்றத்தை அதிகரிக்கிறது மற்றும் சிறுநீரக சொட்டு மருந்து மற்றும் ஜெனரல் அனசர்காவில் பயனுள்ளதாக இருக்கும். வேர்கள் பல் துலக்குதலாகப் பயன்படுத்தப்படுகின்றன, இது பற்களை வலுப்படுத்துகிறது மற்றும் ஈறுகளில் இரத்தப்போக்கு குணப்படுத்துகிறது.
</v>
      </c>
      <c r="AX12" s="3" t="s">
        <v>181</v>
      </c>
      <c r="AY12" s="3"/>
      <c r="AZ12" s="3"/>
      <c r="BA12" s="3"/>
      <c r="BB12" s="3"/>
      <c r="BC12" s="3"/>
      <c r="BD12" s="3"/>
      <c r="BE12" s="3"/>
      <c r="BF12" s="3"/>
    </row>
    <row r="13" spans="1:58" ht="15.75" customHeight="1" x14ac:dyDescent="0.15">
      <c r="A13" s="3">
        <v>12</v>
      </c>
      <c r="B13" s="3" t="str">
        <f ca="1">IFERROR(__xludf.DUMMYFUNCTION("GOOGLETRANSLATE(C13,""en"",""ta"")"),"அச்சிராந்தஸ் பிடென்டேட்டா")</f>
        <v>அச்சிராந்தஸ் பிடென்டேட்டா</v>
      </c>
      <c r="C13" s="3" t="s">
        <v>182</v>
      </c>
      <c r="D13" s="3" t="str">
        <f ca="1">IFERROR(__xludf.DUMMYFUNCTION("GOOGLETRANSLATE(E13,""en"",""ta"")"),"ரக்த அபமார்கா")</f>
        <v>ரக்த அபமார்கா</v>
      </c>
      <c r="E13" s="3" t="s">
        <v>183</v>
      </c>
      <c r="F13" s="3" t="str">
        <f ca="1">IFERROR(__xludf.DUMMYFUNCTION("GOOGLETRANSLATE(G13,""en"",""ta"")"),"சென்னையுருவி")</f>
        <v>சென்னையுருவி</v>
      </c>
      <c r="G13" s="3" t="s">
        <v>184</v>
      </c>
      <c r="H13" s="3" t="str">
        <f ca="1">IFERROR(__xludf.DUMMYFUNCTION("GOOGLETRANSLATE(I13,""en"",""ta"")"),"சிவப்பு முட்கள் நிறைந்த சாஃப் பூ")</f>
        <v>சிவப்பு முட்கள் நிறைந்த சாஃப் பூ</v>
      </c>
      <c r="I13" s="3" t="s">
        <v>185</v>
      </c>
      <c r="J13" s="3" t="str">
        <f ca="1">IFERROR(__xludf.DUMMYFUNCTION("GOOGLETRANSLATE(K13,""en"",""ta"")"),"அபமார்கமு")</f>
        <v>அபமார்கமு</v>
      </c>
      <c r="K13" s="3" t="s">
        <v>172</v>
      </c>
      <c r="L13" s="3" t="str">
        <f ca="1">IFERROR(__xludf.DUMMYFUNCTION("GOOGLETRANSLATE(M13,""en"",""ta"")"),"செங்கடலாடி")</f>
        <v>செங்கடலாடி</v>
      </c>
      <c r="M13" s="3" t="s">
        <v>186</v>
      </c>
      <c r="N13" s="3" t="str">
        <f ca="1">IFERROR(__xludf.DUMMYFUNCTION("GOOGLETRANSLATE(O13,""en"",""ta"")"),"சிர்-சிரா")</f>
        <v>சிர்-சிரா</v>
      </c>
      <c r="O13" s="3" t="s">
        <v>174</v>
      </c>
      <c r="P13" s="3"/>
      <c r="Q13" s="3" t="str">
        <f ca="1">IFERROR(__xludf.DUMMYFUNCTION("GOOGLETRANSLATE(R13,""en"",""ta"")"),"ஒரு சிறிய நிமிர்ந்த அல்லது குப்புற வளரும், வருடாந்திர அல்லது வற்றாத மூலிகை. இலைகள் எளிமையானவை, சிறியவை, காம்பற்றவை, முட்டை வடிவானவை, அகலமானவை, மென்மையானவை, முடிகள் மற்றும் சிவப்பு நிறமுடையவை, இருபுறமும் பூக்கள் சிவப்பு மற்றும் சிறியவை. பழங்கள் மெல்லியவை, "&amp;"நீள்வட்ட வடிவானவை மற்றும் சிவப்பு நிற முள்ளந்தண்டு வடிவானவை.
")</f>
        <v xml:space="preserve">ஒரு சிறிய நிமிர்ந்த அல்லது குப்புற வளரும், வருடாந்திர அல்லது வற்றாத மூலிகை. இலைகள் எளிமையானவை, சிறியவை, காம்பற்றவை, முட்டை வடிவானவை, அகலமானவை, மென்மையானவை, முடிகள் மற்றும் சிவப்பு நிறமுடையவை, இருபுறமும் பூக்கள் சிவப்பு மற்றும் சிறியவை. பழங்கள் மெல்லியவை, நீள்வட்ட வடிவானவை மற்றும் சிவப்பு நிற முள்ளந்தண்டு வடிவானவை.
</v>
      </c>
      <c r="R13" s="3" t="s">
        <v>187</v>
      </c>
      <c r="S13" s="3" t="str">
        <f ca="1">IFERROR(__xludf.DUMMYFUNCTION("GOOGLETRANSLATE(T13,""en"",""ta"")"),"குடல் கோளாறுகள், இருமல், ஹெமிக்ரேனியா மற்றும் மஞ்சள் காமாலை.")</f>
        <v>குடல் கோளாறுகள், இருமல், ஹெமிக்ரேனியா மற்றும் மஞ்சள் காமாலை.</v>
      </c>
      <c r="T13" s="3" t="s">
        <v>188</v>
      </c>
      <c r="U13" s="3" t="str">
        <f ca="1">IFERROR(__xludf.DUMMYFUNCTION("GOOGLETRANSLATE(V13,""en"",""ta"")"),"குமட்டல், இரத்தப்போக்கு மூல நோய் மற்றும் ஃபிஸ்துலா.")</f>
        <v>குமட்டல், இரத்தப்போக்கு மூல நோய் மற்றும் ஃபிஸ்துலா.</v>
      </c>
      <c r="V13" s="3" t="s">
        <v>177</v>
      </c>
      <c r="W13" s="3" t="str">
        <f ca="1">IFERROR(__xludf.DUMMYFUNCTION("GOOGLETRANSLATE(X13,""en"",""ta"")"),"வீக்கம் மற்றும் இரத்த சோகை")</f>
        <v>வீக்கம் மற்றும் இரத்த சோகை</v>
      </c>
      <c r="X13" s="3" t="s">
        <v>189</v>
      </c>
      <c r="Y13" s="3" t="str">
        <f ca="1">IFERROR(__xludf.DUMMYFUNCTION("GOOGLETRANSLATE(Z13,""en"",""ta"")"),"இல்லை")</f>
        <v>இல்லை</v>
      </c>
      <c r="Z13" s="3" t="s">
        <v>46</v>
      </c>
      <c r="AA13" s="3" t="str">
        <f ca="1">IFERROR(__xludf.DUMMYFUNCTION("GOOGLETRANSLATE(AB13,""en"",""ta"")"),"இல்லை")</f>
        <v>இல்லை</v>
      </c>
      <c r="AB13" s="3" t="s">
        <v>46</v>
      </c>
      <c r="AC13" s="3" t="str">
        <f ca="1">IFERROR(__xludf.DUMMYFUNCTION("GOOGLETRANSLATE(AD13,""en"",""ta"")"),"இல்லை")</f>
        <v>இல்லை</v>
      </c>
      <c r="AD13" s="3" t="s">
        <v>46</v>
      </c>
      <c r="AE13" s="3" t="str">
        <f ca="1">IFERROR(__xludf.DUMMYFUNCTION("GOOGLETRANSLATE(AF13,""en"",""ta"")"),"இல்லை")</f>
        <v>இல்லை</v>
      </c>
      <c r="AF13" s="3" t="s">
        <v>46</v>
      </c>
      <c r="AG13" s="3" t="str">
        <f ca="1">IFERROR(__xludf.DUMMYFUNCTION("GOOGLETRANSLATE(AH13,""en"",""ta"")"),"இல்லை")</f>
        <v>இல்லை</v>
      </c>
      <c r="AH13" s="3" t="s">
        <v>46</v>
      </c>
      <c r="AI13" s="3" t="str">
        <f ca="1">IFERROR(__xludf.DUMMYFUNCTION("GOOGLETRANSLATE(AJ13,""en"",""ta"")"),"இல்லை")</f>
        <v>இல்லை</v>
      </c>
      <c r="AJ13" s="3" t="s">
        <v>46</v>
      </c>
      <c r="AK13" s="3" t="str">
        <f ca="1">IFERROR(__xludf.DUMMYFUNCTION("GOOGLETRANSLATE(AL13,""en"",""ta"")"),"இல்லை")</f>
        <v>இல்லை</v>
      </c>
      <c r="AL13" s="3" t="s">
        <v>46</v>
      </c>
      <c r="AM13" s="3" t="str">
        <f ca="1">IFERROR(__xludf.DUMMYFUNCTION("GOOGLETRANSLATE(AN13,""en"",""ta"")"),"இல்லை")</f>
        <v>இல்லை</v>
      </c>
      <c r="AN13" s="3" t="s">
        <v>46</v>
      </c>
      <c r="AO13" s="3" t="str">
        <f ca="1">IFERROR(__xludf.DUMMYFUNCTION("GOOGLETRANSLATE(AP13,""en"",""ta"")"),"#VALUE!")</f>
        <v>#VALUE!</v>
      </c>
      <c r="AP13" s="3"/>
      <c r="AQ13" s="3"/>
      <c r="AR13" s="3" t="str">
        <f ca="1">IFERROR(__xludf.DUMMYFUNCTION("GOOGLETRANSLATE(AS13,""en"",""ta"")"),"துவர்ப்பு மருந்து, சிறுநீர் பெருக்கி, மாற்று மருந்து, கால எதிர்ப்பு மற்றும் மலமிளக்கி")</f>
        <v>துவர்ப்பு மருந்து, சிறுநீர் பெருக்கி, மாற்று மருந்து, கால எதிர்ப்பு மற்றும் மலமிளக்கி</v>
      </c>
      <c r="AS13" s="3" t="s">
        <v>190</v>
      </c>
      <c r="AT13" s="3" t="str">
        <f ca="1">IFERROR(__xludf.DUMMYFUNCTION("GOOGLETRANSLATE(AU13,""en"",""ta"")"),"எக்டிஸ்டிரோன், ஓலியானோலிக் அமிலம், சபோனின்கள், இனோகோஸ்டிரோன் மற்றும் ரூப்ரோஸ்டிரோன்.")</f>
        <v>எக்டிஸ்டிரோன், ஓலியானோலிக் அமிலம், சபோனின்கள், இனோகோஸ்டிரோன் மற்றும் ரூப்ரோஸ்டிரோன்.</v>
      </c>
      <c r="AU13" s="3" t="s">
        <v>191</v>
      </c>
      <c r="AV13" s="3"/>
      <c r="AW13" s="3" t="str">
        <f ca="1">IFERROR(__xludf.DUMMYFUNCTION("GOOGLETRANSLATE(AX13,""en"",""ta"")"),"இந்த முழு மூலிகையும் மூல நோய் சிகிச்சையில் பயன்படுத்தப்படுகிறது. இலைச் சாறு வயிற்று வலியைக் குணப்படுத்த உட்புறமாகக் கொடுக்கப்படுகிறது.")</f>
        <v>இந்த முழு மூலிகையும் மூல நோய் சிகிச்சையில் பயன்படுத்தப்படுகிறது. இலைச் சாறு வயிற்று வலியைக் குணப்படுத்த உட்புறமாகக் கொடுக்கப்படுகிறது.</v>
      </c>
      <c r="AX13" s="3" t="s">
        <v>192</v>
      </c>
      <c r="AY13" s="3"/>
      <c r="AZ13" s="3"/>
      <c r="BA13" s="3"/>
      <c r="BB13" s="3"/>
      <c r="BC13" s="3"/>
      <c r="BD13" s="3"/>
      <c r="BE13" s="3"/>
      <c r="BF13" s="3"/>
    </row>
    <row r="14" spans="1:58" ht="15.75" customHeight="1" x14ac:dyDescent="0.15">
      <c r="A14" s="3">
        <v>13</v>
      </c>
      <c r="B14" s="3" t="str">
        <f ca="1">IFERROR(__xludf.DUMMYFUNCTION("GOOGLETRANSLATE(C14,""en"",""ta"")"),"அகோனிட்டம் ஃபெராக்ஸ்")</f>
        <v>அகோனிட்டம் ஃபெராக்ஸ்</v>
      </c>
      <c r="C14" s="3" t="s">
        <v>193</v>
      </c>
      <c r="D14" s="3" t="str">
        <f ca="1">IFERROR(__xludf.DUMMYFUNCTION("GOOGLETRANSLATE(E14,""en"",""ta"")"),"வட்சனாபா")</f>
        <v>வட்சனாபா</v>
      </c>
      <c r="E14" s="3" t="s">
        <v>194</v>
      </c>
      <c r="F14" s="3" t="str">
        <f ca="1">IFERROR(__xludf.DUMMYFUNCTION("GOOGLETRANSLATE(G14,""en"",""ta"")"),"விஷனாபி")</f>
        <v>விஷனாபி</v>
      </c>
      <c r="G14" s="3" t="s">
        <v>195</v>
      </c>
      <c r="H14" s="3" t="str">
        <f ca="1">IFERROR(__xludf.DUMMYFUNCTION("GOOGLETRANSLATE(I14,""en"",""ta"")"),"துறவியின் பேட்டை")</f>
        <v>துறவியின் பேட்டை</v>
      </c>
      <c r="I14" s="3" t="s">
        <v>196</v>
      </c>
      <c r="J14" s="3" t="str">
        <f ca="1">IFERROR(__xludf.DUMMYFUNCTION("GOOGLETRANSLATE(K14,""en"",""ta"")"),"வாசனுபி")</f>
        <v>வாசனுபி</v>
      </c>
      <c r="K14" s="3" t="s">
        <v>197</v>
      </c>
      <c r="L14" s="3" t="str">
        <f ca="1">IFERROR(__xludf.DUMMYFUNCTION("GOOGLETRANSLATE(M14,""en"",""ta"")"),"வத்சனாபி")</f>
        <v>வத்சனாபி</v>
      </c>
      <c r="M14" s="3" t="s">
        <v>198</v>
      </c>
      <c r="N14" s="3" t="str">
        <f ca="1">IFERROR(__xludf.DUMMYFUNCTION("GOOGLETRANSLATE(O14,""en"",""ta"")"),"மிதசாஹர்")</f>
        <v>மிதசாஹர்</v>
      </c>
      <c r="O14" s="3" t="s">
        <v>199</v>
      </c>
      <c r="P14" s="3"/>
      <c r="Q14" s="3" t="str">
        <f ca="1">IFERROR(__xludf.DUMMYFUNCTION("GOOGLETRANSLATE(R14,""en"",""ta"")"),"ஜோடியாக வேர் கிழங்குகளைக் கொண்ட ஒரு வற்றாத மூலிகை. இலைகள் எளிமையானவை, உள்ளங்கை வடிவ மடல்களுடன் குறுகிய இலைக்காம்புடன் மற்றும் முடிகளால் மூடப்பட்டிருக்கும். பூக்கள் அடர்த்தியான முனைய ரேஸ்மீயில் நீல நிறத்தில் இருக்கும். பழங்கள் முட்கள், விதைகள் கருப்பு மற்ற"&amp;"ும் இறக்கைகள் கொண்டவை.")</f>
        <v>ஜோடியாக வேர் கிழங்குகளைக் கொண்ட ஒரு வற்றாத மூலிகை. இலைகள் எளிமையானவை, உள்ளங்கை வடிவ மடல்களுடன் குறுகிய இலைக்காம்புடன் மற்றும் முடிகளால் மூடப்பட்டிருக்கும். பூக்கள் அடர்த்தியான முனைய ரேஸ்மீயில் நீல நிறத்தில் இருக்கும். பழங்கள் முட்கள், விதைகள் கருப்பு மற்றும் இறக்கைகள் கொண்டவை.</v>
      </c>
      <c r="R14" s="3" t="s">
        <v>200</v>
      </c>
      <c r="S14" s="3" t="str">
        <f ca="1">IFERROR(__xludf.DUMMYFUNCTION("GOOGLETRANSLATE(T14,""en"",""ta"")"),"தோல் நோய், தசை வாத நோய், டான்சில்லிடிஸ், கடுமையான மற்றும் நாள்பட்ட அரிப்பு, எரித்மா, கோரிசா, கடுமையான கீல்வாதம், தொழுநோய், விந்தணு மற்றும் நீரிழிவு நோய்")</f>
        <v>தோல் நோய், தசை வாத நோய், டான்சில்லிடிஸ், கடுமையான மற்றும் நாள்பட்ட அரிப்பு, எரித்மா, கோரிசா, கடுமையான கீல்வாதம், தொழுநோய், விந்தணு மற்றும் நீரிழிவு நோய்</v>
      </c>
      <c r="T14" s="3" t="s">
        <v>201</v>
      </c>
      <c r="U14" s="3" t="str">
        <f ca="1">IFERROR(__xludf.DUMMYFUNCTION("GOOGLETRANSLATE(V14,""en"",""ta"")"),"இல்லை")</f>
        <v>இல்லை</v>
      </c>
      <c r="V14" s="3" t="s">
        <v>46</v>
      </c>
      <c r="W14" s="3" t="str">
        <f ca="1">IFERROR(__xludf.DUMMYFUNCTION("GOOGLETRANSLATE(X14,""en"",""ta"")"),"இல்லை")</f>
        <v>இல்லை</v>
      </c>
      <c r="X14" s="3" t="s">
        <v>46</v>
      </c>
      <c r="Y14" s="3" t="str">
        <f ca="1">IFERROR(__xludf.DUMMYFUNCTION("GOOGLETRANSLATE(Z14,""en"",""ta"")"),"இல்லை")</f>
        <v>இல்லை</v>
      </c>
      <c r="Z14" s="3" t="s">
        <v>46</v>
      </c>
      <c r="AA14" s="3" t="str">
        <f ca="1">IFERROR(__xludf.DUMMYFUNCTION("GOOGLETRANSLATE(AB14,""en"",""ta"")"),"இல்லை")</f>
        <v>இல்லை</v>
      </c>
      <c r="AB14" s="3" t="s">
        <v>46</v>
      </c>
      <c r="AC14" s="3" t="str">
        <f ca="1">IFERROR(__xludf.DUMMYFUNCTION("GOOGLETRANSLATE(AD14,""en"",""ta"")"),"இல்லை")</f>
        <v>இல்லை</v>
      </c>
      <c r="AD14" s="3" t="s">
        <v>46</v>
      </c>
      <c r="AE14" s="3" t="str">
        <f ca="1">IFERROR(__xludf.DUMMYFUNCTION("GOOGLETRANSLATE(AF14,""en"",""ta"")"),"இல்லை")</f>
        <v>இல்லை</v>
      </c>
      <c r="AF14" s="3" t="s">
        <v>46</v>
      </c>
      <c r="AG14" s="3" t="str">
        <f ca="1">IFERROR(__xludf.DUMMYFUNCTION("GOOGLETRANSLATE(AH14,""en"",""ta"")"),"இல்லை")</f>
        <v>இல்லை</v>
      </c>
      <c r="AH14" s="3" t="s">
        <v>46</v>
      </c>
      <c r="AI14" s="3" t="str">
        <f ca="1">IFERROR(__xludf.DUMMYFUNCTION("GOOGLETRANSLATE(AJ14,""en"",""ta"")"),"இல்லை")</f>
        <v>இல்லை</v>
      </c>
      <c r="AJ14" s="3" t="s">
        <v>46</v>
      </c>
      <c r="AK14" s="3" t="str">
        <f ca="1">IFERROR(__xludf.DUMMYFUNCTION("GOOGLETRANSLATE(AL14,""en"",""ta"")"),"இல்லை")</f>
        <v>இல்லை</v>
      </c>
      <c r="AL14" s="3" t="s">
        <v>46</v>
      </c>
      <c r="AM14" s="3" t="str">
        <f ca="1">IFERROR(__xludf.DUMMYFUNCTION("GOOGLETRANSLATE(AN14,""en"",""ta"")"),"இல்லை")</f>
        <v>இல்லை</v>
      </c>
      <c r="AN14" s="3" t="s">
        <v>46</v>
      </c>
      <c r="AO14" s="3" t="str">
        <f ca="1">IFERROR(__xludf.DUMMYFUNCTION("GOOGLETRANSLATE(AP14,""en"",""ta"")"),"#VALUE!")</f>
        <v>#VALUE!</v>
      </c>
      <c r="AP14" s="3"/>
      <c r="AQ14" s="3"/>
      <c r="AR14" s="3" t="str">
        <f ca="1">IFERROR(__xludf.DUMMYFUNCTION("GOOGLETRANSLATE(AS14,""en"",""ta"")"),"டயாபோரெடிக், டையூரிடிக், ஆன்டிபீரியோடிக், அனோடைன், நீரிழிவு எதிர்ப்பு, ஆன்டிபிலாஜிஸ்டிக் மற்றும் ஆன்டிபிரைடிக்.")</f>
        <v>டயாபோரெடிக், டையூரிடிக், ஆன்டிபீரியோடிக், அனோடைன், நீரிழிவு எதிர்ப்பு, ஆன்டிபிலாஜிஸ்டிக் மற்றும் ஆன்டிபிரைடிக்.</v>
      </c>
      <c r="AS14" s="3" t="s">
        <v>202</v>
      </c>
      <c r="AT14" s="3" t="str">
        <f ca="1">IFERROR(__xludf.DUMMYFUNCTION("GOOGLETRANSLATE(AU14,""en"",""ta"")"),"அகோனிடைன், அகோரின், நேப்லின் பிகாகோனிடைன், சாஸ்மா கோனிடைன், சூடோகானிடைன், இண்டகோனிடைன் மற்றும் 2(1H) - குயினோலினோன்")</f>
        <v>அகோனிடைன், அகோரின், நேப்லின் பிகாகோனிடைன், சாஸ்மா கோனிடைன், சூடோகானிடைன், இண்டகோனிடைன் மற்றும் 2(1H) - குயினோலினோன்</v>
      </c>
      <c r="AU14" s="3" t="s">
        <v>203</v>
      </c>
      <c r="AV14" s="3"/>
      <c r="AW14" s="3" t="str">
        <f ca="1">IFERROR(__xludf.DUMMYFUNCTION("GOOGLETRANSLATE(AX14,""en"",""ta"")"),"வேர் கிழங்குகளை சுத்திகரித்த பிறகு, எந்த வகையான காய்ச்சலுக்கும் கொடுக்கப்படுகிறது. வேர் பேஸ்ட் நரம்பு வலி மற்றும் தசை வலிக்கு வெளிப்புறமாகப் பயன்படுத்தப்படுகிறது.")</f>
        <v>வேர் கிழங்குகளை சுத்திகரித்த பிறகு, எந்த வகையான காய்ச்சலுக்கும் கொடுக்கப்படுகிறது. வேர் பேஸ்ட் நரம்பு வலி மற்றும் தசை வலிக்கு வெளிப்புறமாகப் பயன்படுத்தப்படுகிறது.</v>
      </c>
      <c r="AX14" s="3" t="s">
        <v>204</v>
      </c>
      <c r="AY14" s="3"/>
      <c r="AZ14" s="3"/>
      <c r="BA14" s="3"/>
      <c r="BB14" s="3"/>
      <c r="BC14" s="3"/>
      <c r="BD14" s="3"/>
      <c r="BE14" s="3"/>
      <c r="BF14" s="3"/>
    </row>
    <row r="15" spans="1:58" ht="15.75" customHeight="1" x14ac:dyDescent="0.15">
      <c r="A15" s="3">
        <v>14</v>
      </c>
      <c r="B15" s="3" t="str">
        <f ca="1">IFERROR(__xludf.DUMMYFUNCTION("GOOGLETRANSLATE(C15,""en"",""ta"")"),"அகோனிட்டம் ஹெட்டோரோபில்லம்")</f>
        <v>அகோனிட்டம் ஹெட்டோரோபில்லம்</v>
      </c>
      <c r="C15" s="3" t="s">
        <v>205</v>
      </c>
      <c r="D15" s="3" t="str">
        <f ca="1">IFERROR(__xludf.DUMMYFUNCTION("GOOGLETRANSLATE(E15,""en"",""ta"")"),"அதிவிஷா")</f>
        <v>அதிவிஷா</v>
      </c>
      <c r="E15" s="3" t="s">
        <v>206</v>
      </c>
      <c r="F15" s="3" t="str">
        <f ca="1">IFERROR(__xludf.DUMMYFUNCTION("GOOGLETRANSLATE(G15,""en"",""ta"")"),"அதிவிதையம்")</f>
        <v>அதிவிதையம்</v>
      </c>
      <c r="G15" s="3" t="s">
        <v>207</v>
      </c>
      <c r="H15" s="3" t="str">
        <f ca="1">IFERROR(__xludf.DUMMYFUNCTION("GOOGLETRANSLATE(I15,""en"",""ta"")"),"இந்திய மதிய உணவு உண்பவர்கள்")</f>
        <v>இந்திய மதிய உணவு உண்பவர்கள்</v>
      </c>
      <c r="I15" s="3" t="s">
        <v>208</v>
      </c>
      <c r="J15" s="3" t="str">
        <f ca="1">IFERROR(__xludf.DUMMYFUNCTION("GOOGLETRANSLATE(K15,""en"",""ta"")"),"அதிவாச")</f>
        <v>அதிவாச</v>
      </c>
      <c r="K15" s="3" t="s">
        <v>209</v>
      </c>
      <c r="L15" s="3" t="str">
        <f ca="1">IFERROR(__xludf.DUMMYFUNCTION("GOOGLETRANSLATE(M15,""en"",""ta"")"),"அதிவிதையம்")</f>
        <v>அதிவிதையம்</v>
      </c>
      <c r="M15" s="3" t="s">
        <v>207</v>
      </c>
      <c r="N15" s="3" t="str">
        <f ca="1">IFERROR(__xludf.DUMMYFUNCTION("GOOGLETRANSLATE(O15,""en"",""ta"")"),"அடிஸ்")</f>
        <v>அடிஸ்</v>
      </c>
      <c r="O15" s="3" t="s">
        <v>210</v>
      </c>
      <c r="P15" s="3"/>
      <c r="Q15" s="3" t="str">
        <f ca="1">IFERROR(__xludf.DUMMYFUNCTION("GOOGLETRANSLATE(R15,""en"",""ta"")"),"தட்டையான தண்டு கொண்ட உயரமான மூலிகை. இலைகள் எளிமையானவை, வேறுபட்டவை, முட்டை வடிவானவை, வட்ட வடிவமானவை அல்லது இதய வடிவானவை, மேல் இலைகள் ஆம்ப்ளெக்ஸிகல் மற்றும் கீழ் இலைக்காம்புகள் நீண்ட இலைக்காம்புகளைக் கொண்டுள்ளன. பூக்கள் பிரகாசமான மற்றும் நீல நிற பேனிக்கிள்க"&amp;"ளில் உள்ளன. பழங்கள் இருபுறமும் உள்ளன. விதைகள் கருப்பு-பழுப்பு நிறத்தில் இருக்கும்.")</f>
        <v>தட்டையான தண்டு கொண்ட உயரமான மூலிகை. இலைகள் எளிமையானவை, வேறுபட்டவை, முட்டை வடிவானவை, வட்ட வடிவமானவை அல்லது இதய வடிவானவை, மேல் இலைகள் ஆம்ப்ளெக்ஸிகல் மற்றும் கீழ் இலைக்காம்புகள் நீண்ட இலைக்காம்புகளைக் கொண்டுள்ளன. பூக்கள் பிரகாசமான மற்றும் நீல நிற பேனிக்கிள்களில் உள்ளன. பழங்கள் இருபுறமும் உள்ளன. விதைகள் கருப்பு-பழுப்பு நிறத்தில் இருக்கும்.</v>
      </c>
      <c r="R15" s="3" t="s">
        <v>211</v>
      </c>
      <c r="S15" s="3" t="str">
        <f ca="1">IFERROR(__xludf.DUMMYFUNCTION("GOOGLETRANSLATE(T15,""en"",""ta"")"),"காய்ச்சல், பலவீனம், வயிற்றுப்போக்கு, வயிற்றுப்போக்கு, கடுமையான
அழற்சி நோய், இருமல் மற்றும்
டிஸ்பெப்சியா.")</f>
        <v>காய்ச்சல், பலவீனம், வயிற்றுப்போக்கு, வயிற்றுப்போக்கு, கடுமையான
அழற்சி நோய், இருமல் மற்றும்
டிஸ்பெப்சியா.</v>
      </c>
      <c r="T15" s="3" t="s">
        <v>212</v>
      </c>
      <c r="U15" s="3" t="str">
        <f ca="1">IFERROR(__xludf.DUMMYFUNCTION("GOOGLETRANSLATE(V15,""en"",""ta"")"),"இல்லை")</f>
        <v>இல்லை</v>
      </c>
      <c r="V15" s="3" t="s">
        <v>46</v>
      </c>
      <c r="W15" s="3" t="str">
        <f ca="1">IFERROR(__xludf.DUMMYFUNCTION("GOOGLETRANSLATE(X15,""en"",""ta"")"),"இல்லை")</f>
        <v>இல்லை</v>
      </c>
      <c r="X15" s="3" t="s">
        <v>46</v>
      </c>
      <c r="Y15" s="3" t="str">
        <f ca="1">IFERROR(__xludf.DUMMYFUNCTION("GOOGLETRANSLATE(Z15,""en"",""ta"")"),"இல்லை")</f>
        <v>இல்லை</v>
      </c>
      <c r="Z15" s="3" t="s">
        <v>46</v>
      </c>
      <c r="AA15" s="3" t="str">
        <f ca="1">IFERROR(__xludf.DUMMYFUNCTION("GOOGLETRANSLATE(AB15,""en"",""ta"")"),"இல்லை")</f>
        <v>இல்லை</v>
      </c>
      <c r="AB15" s="3" t="s">
        <v>46</v>
      </c>
      <c r="AC15" s="3" t="str">
        <f ca="1">IFERROR(__xludf.DUMMYFUNCTION("GOOGLETRANSLATE(AD15,""en"",""ta"")"),"இல்லை")</f>
        <v>இல்லை</v>
      </c>
      <c r="AD15" s="3" t="s">
        <v>46</v>
      </c>
      <c r="AE15" s="3" t="str">
        <f ca="1">IFERROR(__xludf.DUMMYFUNCTION("GOOGLETRANSLATE(AF15,""en"",""ta"")"),"இல்லை")</f>
        <v>இல்லை</v>
      </c>
      <c r="AF15" s="3" t="s">
        <v>46</v>
      </c>
      <c r="AG15" s="3" t="str">
        <f ca="1">IFERROR(__xludf.DUMMYFUNCTION("GOOGLETRANSLATE(AH15,""en"",""ta"")"),"இல்லை")</f>
        <v>இல்லை</v>
      </c>
      <c r="AH15" s="3" t="s">
        <v>46</v>
      </c>
      <c r="AI15" s="3" t="str">
        <f ca="1">IFERROR(__xludf.DUMMYFUNCTION("GOOGLETRANSLATE(AJ15,""en"",""ta"")"),"இல்லை")</f>
        <v>இல்லை</v>
      </c>
      <c r="AJ15" s="3" t="s">
        <v>46</v>
      </c>
      <c r="AK15" s="3" t="str">
        <f ca="1">IFERROR(__xludf.DUMMYFUNCTION("GOOGLETRANSLATE(AL15,""en"",""ta"")"),"இல்லை")</f>
        <v>இல்லை</v>
      </c>
      <c r="AL15" s="3" t="s">
        <v>46</v>
      </c>
      <c r="AM15" s="3" t="str">
        <f ca="1">IFERROR(__xludf.DUMMYFUNCTION("GOOGLETRANSLATE(AN15,""en"",""ta"")"),"இல்லை")</f>
        <v>இல்லை</v>
      </c>
      <c r="AN15" s="3" t="s">
        <v>46</v>
      </c>
      <c r="AO15" s="3" t="str">
        <f ca="1">IFERROR(__xludf.DUMMYFUNCTION("GOOGLETRANSLATE(AP15,""en"",""ta"")"),"#VALUE!")</f>
        <v>#VALUE!</v>
      </c>
      <c r="AP15" s="3"/>
      <c r="AQ15" s="3"/>
      <c r="AR15" s="3" t="str">
        <f ca="1">IFERROR(__xludf.DUMMYFUNCTION("GOOGLETRANSLATE(AS15,""en"",""ta"")"),"கசப்பு, டானிக், துவர்ப்பு, நோய் எதிர்ப்பு சக்தியைத் தூண்டும், வயிற்று வலியைத் தூண்டும், காலத்தை எதிர்க்கும் மற்றும் பாலுணர்வைத் தூண்டும்.")</f>
        <v>கசப்பு, டானிக், துவர்ப்பு, நோய் எதிர்ப்பு சக்தியைத் தூண்டும், வயிற்று வலியைத் தூண்டும், காலத்தை எதிர்க்கும் மற்றும் பாலுணர்வைத் தூண்டும்.</v>
      </c>
      <c r="AS15" s="3" t="s">
        <v>213</v>
      </c>
      <c r="AT15" s="3" t="str">
        <f ca="1">IFERROR(__xludf.DUMMYFUNCTION("GOOGLETRANSLATE(AU15,""en"",""ta"")"),"ஹெட்டெராடிசின், அட்டிசின், டைஹைட்ராடிசின், ஹெட்டிசின், ஹெட்டெரோபிலின் மற்றும் டானிக் அமிலம்")</f>
        <v>ஹெட்டெராடிசின், அட்டிசின், டைஹைட்ராடிசின், ஹெட்டிசின், ஹெட்டெரோபிலின் மற்றும் டானிக் அமிலம்</v>
      </c>
      <c r="AU15" s="3" t="s">
        <v>214</v>
      </c>
      <c r="AV15" s="3"/>
      <c r="AW15" s="3" t="str">
        <f ca="1">IFERROR(__xludf.DUMMYFUNCTION("GOOGLETRANSLATE(AX15,""en"",""ta"")"),"குழந்தைகளுக்கு ஏற்படும் இருமல், காய்ச்சல், வாந்தி மற்றும் வாந்திக்கு கிழங்கு வேரின் பொடியை தேனுடன் கலந்து கொடுக்க வேண்டும். இடைப்பட்ட காய்ச்சலுக்கு கிழங்கு வேரின் கஷாயம் கொடுக்க வேண்டும்.")</f>
        <v>குழந்தைகளுக்கு ஏற்படும் இருமல், காய்ச்சல், வாந்தி மற்றும் வாந்திக்கு கிழங்கு வேரின் பொடியை தேனுடன் கலந்து கொடுக்க வேண்டும். இடைப்பட்ட காய்ச்சலுக்கு கிழங்கு வேரின் கஷாயம் கொடுக்க வேண்டும்.</v>
      </c>
      <c r="AX15" s="3" t="s">
        <v>215</v>
      </c>
      <c r="AY15" s="3"/>
      <c r="AZ15" s="3"/>
      <c r="BA15" s="3"/>
      <c r="BB15" s="3"/>
      <c r="BC15" s="3"/>
      <c r="BD15" s="3"/>
      <c r="BE15" s="3"/>
      <c r="BF15" s="3"/>
    </row>
    <row r="16" spans="1:58" ht="15.75" customHeight="1" x14ac:dyDescent="0.15">
      <c r="A16" s="3">
        <v>15</v>
      </c>
      <c r="B16" s="3" t="str">
        <f ca="1">IFERROR(__xludf.DUMMYFUNCTION("GOOGLETRANSLATE(C16,""en"",""ta"")"),"அகோரஸ் கலமஸ்")</f>
        <v>அகோரஸ் கலமஸ்</v>
      </c>
      <c r="C16" s="3" t="s">
        <v>216</v>
      </c>
      <c r="D16" s="3" t="str">
        <f ca="1">IFERROR(__xludf.DUMMYFUNCTION("GOOGLETRANSLATE(E16,""en"",""ta"")"),"வச்சா")</f>
        <v>வச்சா</v>
      </c>
      <c r="E16" s="3" t="s">
        <v>217</v>
      </c>
      <c r="F16" s="3" t="str">
        <f ca="1">IFERROR(__xludf.DUMMYFUNCTION("GOOGLETRANSLATE(G16,""en"",""ta"")"),"வசம்பு")</f>
        <v>வசம்பு</v>
      </c>
      <c r="G16" s="3" t="s">
        <v>218</v>
      </c>
      <c r="H16" s="3" t="str">
        <f ca="1">IFERROR(__xludf.DUMMYFUNCTION("GOOGLETRANSLATE(I16,""en"",""ta"")"),"இனிமையான கொடி")</f>
        <v>இனிமையான கொடி</v>
      </c>
      <c r="I16" s="3" t="s">
        <v>219</v>
      </c>
      <c r="J16" s="3" t="str">
        <f ca="1">IFERROR(__xludf.DUMMYFUNCTION("GOOGLETRANSLATE(K16,""en"",""ta"")"),"வாசா")</f>
        <v>வாசா</v>
      </c>
      <c r="K16" s="3" t="s">
        <v>220</v>
      </c>
      <c r="L16" s="3" t="str">
        <f ca="1">IFERROR(__xludf.DUMMYFUNCTION("GOOGLETRANSLATE(M16,""en"",""ta"")"),"வயம்பு")</f>
        <v>வயம்பு</v>
      </c>
      <c r="M16" s="3" t="s">
        <v>221</v>
      </c>
      <c r="N16" s="3" t="str">
        <f ca="1">IFERROR(__xludf.DUMMYFUNCTION("GOOGLETRANSLATE(O16,""en"",""ta"")"),"கோரா-பாக்")</f>
        <v>கோரா-பாக்</v>
      </c>
      <c r="O16" s="3" t="s">
        <v>222</v>
      </c>
      <c r="P16" s="3"/>
      <c r="Q16" s="3" t="str">
        <f ca="1">IFERROR(__xludf.DUMMYFUNCTION("GOOGLETRANSLATE(R16,""en"",""ta"")"),"பசுமையான, அரை நீர்வாழ், வற்றாத நறுமண மூலிகை, ஊர்ந்து செல்லும் வேர்த்தண்டுக்கிழங்கு கொண்டது. இலைகள் எளிமையானவை, நேரியல், பளபளப்பான, பச்சை மற்றும் நீளமானவை. மஞ்சரி ஒரு ஸ்பேடிக்ஸ். பூக்கள் மஞ்சள் நிற வெள்ளை நிறத்தில் உள்ளன. பழங்கள் நீள்வட்ட பெர்ரிகளுடன் சில "&amp;"நீள்வட்ட விதைகள் கொண்டவை.")</f>
        <v>பசுமையான, அரை நீர்வாழ், வற்றாத நறுமண மூலிகை, ஊர்ந்து செல்லும் வேர்த்தண்டுக்கிழங்கு கொண்டது. இலைகள் எளிமையானவை, நேரியல், பளபளப்பான, பச்சை மற்றும் நீளமானவை. மஞ்சரி ஒரு ஸ்பேடிக்ஸ். பூக்கள் மஞ்சள் நிற வெள்ளை நிறத்தில் உள்ளன. பழங்கள் நீள்வட்ட பெர்ரிகளுடன் சில நீள்வட்ட விதைகள் கொண்டவை.</v>
      </c>
      <c r="R16" s="3" t="s">
        <v>223</v>
      </c>
      <c r="S16" s="3" t="str">
        <f ca="1">IFERROR(__xludf.DUMMYFUNCTION("GOOGLETRANSLATE(T16,""en"",""ta"")"),"உலர்ந்த வேர் தண்டு")</f>
        <v>உலர்ந்த வேர் தண்டு</v>
      </c>
      <c r="T16" s="3" t="s">
        <v>224</v>
      </c>
      <c r="U16" s="3" t="str">
        <f ca="1">IFERROR(__xludf.DUMMYFUNCTION("GOOGLETRANSLATE(V16,""en"",""ta"")"),"இல்லை")</f>
        <v>இல்லை</v>
      </c>
      <c r="V16" s="3" t="s">
        <v>46</v>
      </c>
      <c r="W16" s="3" t="str">
        <f ca="1">IFERROR(__xludf.DUMMYFUNCTION("GOOGLETRANSLATE(X16,""en"",""ta"")"),"இல்லை")</f>
        <v>இல்லை</v>
      </c>
      <c r="X16" s="3" t="s">
        <v>46</v>
      </c>
      <c r="Y16" s="3" t="str">
        <f ca="1">IFERROR(__xludf.DUMMYFUNCTION("GOOGLETRANSLATE(Z16,""en"",""ta"")"),"இல்லை")</f>
        <v>இல்லை</v>
      </c>
      <c r="Z16" s="3" t="s">
        <v>46</v>
      </c>
      <c r="AA16" s="3" t="str">
        <f ca="1">IFERROR(__xludf.DUMMYFUNCTION("GOOGLETRANSLATE(AB16,""en"",""ta"")"),"இல்லை")</f>
        <v>இல்லை</v>
      </c>
      <c r="AB16" s="3" t="s">
        <v>46</v>
      </c>
      <c r="AC16" s="3" t="str">
        <f ca="1">IFERROR(__xludf.DUMMYFUNCTION("GOOGLETRANSLATE(AD16,""en"",""ta"")"),"இல்லை")</f>
        <v>இல்லை</v>
      </c>
      <c r="AD16" s="3" t="s">
        <v>46</v>
      </c>
      <c r="AE16" s="3" t="str">
        <f ca="1">IFERROR(__xludf.DUMMYFUNCTION("GOOGLETRANSLATE(AF16,""en"",""ta"")"),"இல்லை")</f>
        <v>இல்லை</v>
      </c>
      <c r="AF16" s="3" t="s">
        <v>46</v>
      </c>
      <c r="AG16" s="3" t="str">
        <f ca="1">IFERROR(__xludf.DUMMYFUNCTION("GOOGLETRANSLATE(AH16,""en"",""ta"")"),"இல்லை")</f>
        <v>இல்லை</v>
      </c>
      <c r="AH16" s="3" t="s">
        <v>46</v>
      </c>
      <c r="AI16" s="3" t="str">
        <f ca="1">IFERROR(__xludf.DUMMYFUNCTION("GOOGLETRANSLATE(AJ16,""en"",""ta"")"),"இல்லை")</f>
        <v>இல்லை</v>
      </c>
      <c r="AJ16" s="3" t="s">
        <v>46</v>
      </c>
      <c r="AK16" s="3" t="str">
        <f ca="1">IFERROR(__xludf.DUMMYFUNCTION("GOOGLETRANSLATE(AL16,""en"",""ta"")"),"இல்லை")</f>
        <v>இல்லை</v>
      </c>
      <c r="AL16" s="3" t="s">
        <v>46</v>
      </c>
      <c r="AM16" s="3" t="str">
        <f ca="1">IFERROR(__xludf.DUMMYFUNCTION("GOOGLETRANSLATE(AN16,""en"",""ta"")"),"இல்லை")</f>
        <v>இல்லை</v>
      </c>
      <c r="AN16" s="3" t="s">
        <v>46</v>
      </c>
      <c r="AO16" s="3" t="str">
        <f ca="1">IFERROR(__xludf.DUMMYFUNCTION("GOOGLETRANSLATE(AP16,""en"",""ta"")"),"#VALUE!")</f>
        <v>#VALUE!</v>
      </c>
      <c r="AP16" s="3"/>
      <c r="AQ16" s="3"/>
      <c r="AR16" s="3" t="str">
        <f ca="1">IFERROR(__xludf.DUMMYFUNCTION("GOOGLETRANSLATE(AS16,""en"",""ta"")"),"தூண்டுதல், வாந்தி, குமட்டல், வயிற்று வலி, சளி நீக்கி, இரைப்பை குடல் வலி நிவாரணி, வலி ​​நிவாரணி, வலி ​​நிவாரணி மற்றும் மயக்க மருந்து.")</f>
        <v>தூண்டுதல், வாந்தி, குமட்டல், வயிற்று வலி, சளி நீக்கி, இரைப்பை குடல் வலி நிவாரணி, வலி ​​நிவாரணி, வலி ​​நிவாரணி மற்றும் மயக்க மருந்து.</v>
      </c>
      <c r="AS16" s="3" t="s">
        <v>225</v>
      </c>
      <c r="AT16" s="3" t="str">
        <f ca="1">IFERROR(__xludf.DUMMYFUNCTION("GOOGLETRANSLATE(AU16,""en"",""ta"")"),"அகோரின், அகோரிடின், அகோராடின், கேலமைன், ஷியோபுனோன், எபிஷ்யோபுனோன், ஐசோஷ்யோபுனோன் மற்றும் கேலமென்டியோல்.")</f>
        <v>அகோரின், அகோரிடின், அகோராடின், கேலமைன், ஷியோபுனோன், எபிஷ்யோபுனோன், ஐசோஷ்யோபுனோன் மற்றும் கேலமென்டியோல்.</v>
      </c>
      <c r="AU16" s="3" t="s">
        <v>226</v>
      </c>
      <c r="AV16" s="3"/>
      <c r="AW16" s="3" t="str">
        <f ca="1">IFERROR(__xludf.DUMMYFUNCTION("GOOGLETRANSLATE(AX16,""en"",""ta"")"),"சுட்ட வேர் குழம்பின் பொடி குழந்தை வயிற்றுப்போக்கு மற்றும் பெருங்குடலை நீக்குகிறது. இருமல், காய்ச்சல் மற்றும் கேபிலரி மூச்சுக்குழாய் அழற்சிக்கு அதிமதுர வேருடன் வேர் குழம்பு கொடுக்கப்படுகிறது.")</f>
        <v>சுட்ட வேர் குழம்பின் பொடி குழந்தை வயிற்றுப்போக்கு மற்றும் பெருங்குடலை நீக்குகிறது. இருமல், காய்ச்சல் மற்றும் கேபிலரி மூச்சுக்குழாய் அழற்சிக்கு அதிமதுர வேருடன் வேர் குழம்பு கொடுக்கப்படுகிறது.</v>
      </c>
      <c r="AX16" s="3" t="s">
        <v>227</v>
      </c>
      <c r="AY16" s="3"/>
      <c r="AZ16" s="3"/>
      <c r="BA16" s="3"/>
      <c r="BB16" s="3"/>
      <c r="BC16" s="3"/>
      <c r="BD16" s="3"/>
      <c r="BE16" s="3"/>
      <c r="BF16" s="3"/>
    </row>
    <row r="17" spans="1:58" ht="15.75" customHeight="1" x14ac:dyDescent="0.15">
      <c r="A17" s="3">
        <v>16</v>
      </c>
      <c r="B17" s="3" t="str">
        <f ca="1">IFERROR(__xludf.DUMMYFUNCTION("GOOGLETRANSLATE(C17,""en"",""ta"")"),"அடான்சோனியா டிஜிடேட்டா")</f>
        <v>அடான்சோனியா டிஜிடேட்டா</v>
      </c>
      <c r="C17" s="3" t="s">
        <v>228</v>
      </c>
      <c r="D17" s="3" t="str">
        <f ca="1">IFERROR(__xludf.DUMMYFUNCTION("GOOGLETRANSLATE(E17,""en"",""ta"")"),"கோரக்-சின்ச்")</f>
        <v>கோரக்-சின்ச்</v>
      </c>
      <c r="E17" s="3" t="s">
        <v>229</v>
      </c>
      <c r="F17" s="3" t="str">
        <f ca="1">IFERROR(__xludf.DUMMYFUNCTION("GOOGLETRANSLATE(G17,""en"",""ta"")"),"அணைப்புலிய மரம்")</f>
        <v>அணைப்புலிய மரம்</v>
      </c>
      <c r="G17" s="3" t="s">
        <v>230</v>
      </c>
      <c r="H17" s="3" t="str">
        <f ca="1">IFERROR(__xludf.DUMMYFUNCTION("GOOGLETRANSLATE(I17,""en"",""ta"")"),"குரங்கு ரொட்டி மரம்")</f>
        <v>குரங்கு ரொட்டி மரம்</v>
      </c>
      <c r="I17" s="3" t="s">
        <v>231</v>
      </c>
      <c r="J17" s="3" t="str">
        <f ca="1">IFERROR(__xludf.DUMMYFUNCTION("GOOGLETRANSLATE(K17,""en"",""ta"")"),"பிரம்ம மாலிகா")</f>
        <v>பிரம்ம மாலிகா</v>
      </c>
      <c r="K17" s="3" t="s">
        <v>232</v>
      </c>
      <c r="L17" s="3" t="str">
        <f ca="1">IFERROR(__xludf.DUMMYFUNCTION("GOOGLETRANSLATE(M17,""en"",""ta"")"),"அனைபுலி")</f>
        <v>அனைபுலி</v>
      </c>
      <c r="M17" s="3" t="s">
        <v>233</v>
      </c>
      <c r="N17" s="3" t="str">
        <f ca="1">IFERROR(__xludf.DUMMYFUNCTION("GOOGLETRANSLATE(O17,""en"",""ta"")"),"கோரகாம்லி")</f>
        <v>கோரகாம்லி</v>
      </c>
      <c r="O17" s="3" t="s">
        <v>234</v>
      </c>
      <c r="P17" s="3"/>
      <c r="Q17" s="3" t="str">
        <f ca="1">IFERROR(__xludf.DUMMYFUNCTION("GOOGLETRANSLATE(R17,""en"",""ta"")"),"ஒரு பெரிய மரம், பட்டை மென்மையானது, சாம்பல் நிறத்தில் பெரும்பாலும் ஊதா நிறத்தில் இருக்கும். மரத்தின் தண்டு மற்ற மரங்களை விட பெரியது. இலைகள் இலக்க வடிவிலும், இளம் செடிகளில் மூன்று சிற்றிலைகளாகவும் இருக்கும். இலைக்கோணங்களில் உள்ள மஞ்சரித் தண்டுகளில் பூக்கள் "&amp;"தனித்திருக்கும். இது பாட்டில் வடிவ பழங்களைத் தருகிறது, அவை கடினமான ஓட்டால் சூழப்பட்டு பச்சை நிற மஞ்சள் நிற சிலியாவைக் கொண்டிருக்கும். விதைகள் சிறுநீரக வடிவிலானவை, அடர்த்தியான டெஸ்டாவுடன் பளபளப்பான பழுப்பு நிறத்தில் இருக்கும்.")</f>
        <v>ஒரு பெரிய மரம், பட்டை மென்மையானது, சாம்பல் நிறத்தில் பெரும்பாலும் ஊதா நிறத்தில் இருக்கும். மரத்தின் தண்டு மற்ற மரங்களை விட பெரியது. இலைகள் இலக்க வடிவிலும், இளம் செடிகளில் மூன்று சிற்றிலைகளாகவும் இருக்கும். இலைக்கோணங்களில் உள்ள மஞ்சரித் தண்டுகளில் பூக்கள் தனித்திருக்கும். இது பாட்டில் வடிவ பழங்களைத் தருகிறது, அவை கடினமான ஓட்டால் சூழப்பட்டு பச்சை நிற மஞ்சள் நிற சிலியாவைக் கொண்டிருக்கும். விதைகள் சிறுநீரக வடிவிலானவை, அடர்த்தியான டெஸ்டாவுடன் பளபளப்பான பழுப்பு நிறத்தில் இருக்கும்.</v>
      </c>
      <c r="R17" s="3" t="s">
        <v>235</v>
      </c>
      <c r="S17" s="3" t="str">
        <f ca="1">IFERROR(__xludf.DUMMYFUNCTION("GOOGLETRANSLATE(T17,""en"",""ta"")"),"இல்லை")</f>
        <v>இல்லை</v>
      </c>
      <c r="T17" s="3" t="s">
        <v>46</v>
      </c>
      <c r="U17" s="3" t="str">
        <f ca="1">IFERROR(__xludf.DUMMYFUNCTION("GOOGLETRANSLATE(V17,""en"",""ta"")"),"வயிற்றுப்போக்கு, வயிற்றுப்போக்கு மற்றும் தோல் நோய்கள்")</f>
        <v>வயிற்றுப்போக்கு, வயிற்றுப்போக்கு மற்றும் தோல் நோய்கள்</v>
      </c>
      <c r="V17" s="3" t="s">
        <v>236</v>
      </c>
      <c r="W17" s="3" t="str">
        <f ca="1">IFERROR(__xludf.DUMMYFUNCTION("GOOGLETRANSLATE(X17,""en"",""ta"")"),"வலிமிகுந்த மூட்டுகள் மற்றும் சிபிலிடிக் புண்கள்")</f>
        <v>வலிமிகுந்த மூட்டுகள் மற்றும் சிபிலிடிக் புண்கள்</v>
      </c>
      <c r="X17" s="3" t="s">
        <v>237</v>
      </c>
      <c r="Y17" s="3" t="str">
        <f ca="1">IFERROR(__xludf.DUMMYFUNCTION("GOOGLETRANSLATE(Z17,""en"",""ta"")"),"இல்லை")</f>
        <v>இல்லை</v>
      </c>
      <c r="Z17" s="3" t="s">
        <v>46</v>
      </c>
      <c r="AA17" s="3" t="str">
        <f ca="1">IFERROR(__xludf.DUMMYFUNCTION("GOOGLETRANSLATE(AB17,""en"",""ta"")"),"தாகம், இடைவிடாத காய்ச்சல்")</f>
        <v>தாகம், இடைவிடாத காய்ச்சல்</v>
      </c>
      <c r="AB17" s="3" t="s">
        <v>238</v>
      </c>
      <c r="AC17" s="3" t="str">
        <f ca="1">IFERROR(__xludf.DUMMYFUNCTION("GOOGLETRANSLATE(AD17,""en"",""ta"")"),"இல்லை")</f>
        <v>இல்லை</v>
      </c>
      <c r="AD17" s="3" t="s">
        <v>46</v>
      </c>
      <c r="AE17" s="3" t="str">
        <f ca="1">IFERROR(__xludf.DUMMYFUNCTION("GOOGLETRANSLATE(AF17,""en"",""ta"")"),"இல்லை")</f>
        <v>இல்லை</v>
      </c>
      <c r="AF17" s="3" t="s">
        <v>46</v>
      </c>
      <c r="AG17" s="3" t="str">
        <f ca="1">IFERROR(__xludf.DUMMYFUNCTION("GOOGLETRANSLATE(AH17,""en"",""ta"")"),"இல்லை")</f>
        <v>இல்லை</v>
      </c>
      <c r="AH17" s="3" t="s">
        <v>46</v>
      </c>
      <c r="AI17" s="3" t="str">
        <f ca="1">IFERROR(__xludf.DUMMYFUNCTION("GOOGLETRANSLATE(AJ17,""en"",""ta"")"),"இல்லை")</f>
        <v>இல்லை</v>
      </c>
      <c r="AJ17" s="3" t="s">
        <v>46</v>
      </c>
      <c r="AK17" s="3" t="str">
        <f ca="1">IFERROR(__xludf.DUMMYFUNCTION("GOOGLETRANSLATE(AL17,""en"",""ta"")"),"இல்லை")</f>
        <v>இல்லை</v>
      </c>
      <c r="AL17" s="3" t="s">
        <v>46</v>
      </c>
      <c r="AM17" s="3" t="str">
        <f ca="1">IFERROR(__xludf.DUMMYFUNCTION("GOOGLETRANSLATE(AN17,""en"",""ta"")"),"இல்லை")</f>
        <v>இல்லை</v>
      </c>
      <c r="AN17" s="3" t="s">
        <v>46</v>
      </c>
      <c r="AO17" s="3" t="str">
        <f ca="1">IFERROR(__xludf.DUMMYFUNCTION("GOOGLETRANSLATE(AP17,""en"",""ta"")"),"#VALUE!")</f>
        <v>#VALUE!</v>
      </c>
      <c r="AP17" s="3"/>
      <c r="AQ17" s="3"/>
      <c r="AR17" s="3" t="str">
        <f ca="1">IFERROR(__xludf.DUMMYFUNCTION("GOOGLETRANSLATE(AS17,""en"",""ta"")"),"குளிரூட்டி, டையூரிடிக், அஸ்ட்ரிஜென்ட், டெமல்சென்ட், வயிறு, ஆன்டிஸ்கார்புடிக், ஏபிரியண்ட், ஆண்டிபெரியோடிக்.")</f>
        <v>குளிரூட்டி, டையூரிடிக், அஸ்ட்ரிஜென்ட், டெமல்சென்ட், வயிறு, ஆன்டிஸ்கார்புடிக், ஏபிரியண்ட், ஆண்டிபெரியோடிக்.</v>
      </c>
      <c r="AS17" s="3" t="s">
        <v>239</v>
      </c>
      <c r="AT17" s="3" t="str">
        <f ca="1">IFERROR(__xludf.DUMMYFUNCTION("GOOGLETRANSLATE(AU17,""en"",""ta"")"),"கேலக்டூரோனிக் அமிலம், குளுகுரோனிக் அமிலம், ராம்னோஸ், அரபினோஸ், கேலக்டோஸ், பி-அமிரின், பி-சிட்டோஸ்டெரால் மற்றும் டார்டரேட்")</f>
        <v>கேலக்டூரோனிக் அமிலம், குளுகுரோனிக் அமிலம், ராம்னோஸ், அரபினோஸ், கேலக்டோஸ், பி-அமிரின், பி-சிட்டோஸ்டெரால் மற்றும் டார்டரேட்</v>
      </c>
      <c r="AU17" s="3" t="s">
        <v>240</v>
      </c>
      <c r="AV17" s="3"/>
      <c r="AW17" s="3" t="str">
        <f ca="1">IFERROR(__xludf.DUMMYFUNCTION("GOOGLETRANSLATE(AX17,""en"",""ta"")"),"புதிய இலைச்சாறு மற்றும் உலர்ந்த இஞ்சிப் பொடியை சால்வடோரா வேர் சேர்த்துக் குடிப்பது வலிமிகுந்த மூட்டுகள் மற்றும் மந்தமான சிபிலிடிக் புண்களுக்கு பயனுள்ளதாக இருக்கும். இலைகள் மூட்டுகளில் ஏற்படும் வாத நோய்கள் மற்றும் எரிச்சலூட்டும் அழற்சி புண்களுக்கு உமிழ்நீர"&amp;"ாகவும், மருந்தாகவும் பயன்படுத்தப்படுகின்றன.")</f>
        <v>புதிய இலைச்சாறு மற்றும் உலர்ந்த இஞ்சிப் பொடியை சால்வடோரா வேர் சேர்த்துக் குடிப்பது வலிமிகுந்த மூட்டுகள் மற்றும் மந்தமான சிபிலிடிக் புண்களுக்கு பயனுள்ளதாக இருக்கும். இலைகள் மூட்டுகளில் ஏற்படும் வாத நோய்கள் மற்றும் எரிச்சலூட்டும் அழற்சி புண்களுக்கு உமிழ்நீராகவும், மருந்தாகவும் பயன்படுத்தப்படுகின்றன.</v>
      </c>
      <c r="AX17" s="3" t="s">
        <v>241</v>
      </c>
      <c r="AY17" s="3"/>
      <c r="AZ17" s="3"/>
      <c r="BA17" s="3"/>
      <c r="BB17" s="3"/>
      <c r="BC17" s="3"/>
      <c r="BD17" s="3"/>
      <c r="BE17" s="3"/>
      <c r="BF17" s="3"/>
    </row>
    <row r="18" spans="1:58" ht="15.75" customHeight="1" x14ac:dyDescent="0.15">
      <c r="A18" s="3">
        <v>17</v>
      </c>
      <c r="B18" s="3" t="str">
        <f ca="1">IFERROR(__xludf.DUMMYFUNCTION("GOOGLETRANSLATE(C18,""en"",""ta"")"),"அததோடா வாசிகா")</f>
        <v>அததோடா வாசிகா</v>
      </c>
      <c r="C18" s="3" t="s">
        <v>242</v>
      </c>
      <c r="D18" s="3" t="str">
        <f ca="1">IFERROR(__xludf.DUMMYFUNCTION("GOOGLETRANSLATE(E18,""en"",""ta"")"),"வாசா")</f>
        <v>வாசா</v>
      </c>
      <c r="E18" s="3" t="s">
        <v>220</v>
      </c>
      <c r="F18" s="3" t="str">
        <f ca="1">IFERROR(__xludf.DUMMYFUNCTION("GOOGLETRANSLATE(G18,""en"",""ta"")"),"அடதோடை")</f>
        <v>அடதோடை</v>
      </c>
      <c r="G18" s="3" t="s">
        <v>243</v>
      </c>
      <c r="H18" s="3" t="str">
        <f ca="1">IFERROR(__xludf.DUMMYFUNCTION("GOOGLETRANSLATE(I18,""en"",""ta"")"),"மலபார் கொட்டை")</f>
        <v>மலபார் கொட்டை</v>
      </c>
      <c r="I18" s="3" t="s">
        <v>244</v>
      </c>
      <c r="J18" s="3" t="str">
        <f ca="1">IFERROR(__xludf.DUMMYFUNCTION("GOOGLETRANSLATE(K18,""en"",""ta"")"),"அட்டாசரம்")</f>
        <v>அட்டாசரம்</v>
      </c>
      <c r="K18" s="3" t="s">
        <v>245</v>
      </c>
      <c r="L18" s="3" t="str">
        <f ca="1">IFERROR(__xludf.DUMMYFUNCTION("GOOGLETRANSLATE(M18,""en"",""ta"")"),"அடலோடேகம்")</f>
        <v>அடலோடேகம்</v>
      </c>
      <c r="M18" s="3" t="s">
        <v>246</v>
      </c>
      <c r="N18" s="3" t="str">
        <f ca="1">IFERROR(__xludf.DUMMYFUNCTION("GOOGLETRANSLATE(O18,""en"",""ta"")"),"அடோசா")</f>
        <v>அடோசா</v>
      </c>
      <c r="O18" s="3" t="s">
        <v>247</v>
      </c>
      <c r="P18" s="3"/>
      <c r="Q18" s="3" t="str">
        <f ca="1">IFERROR(__xludf.DUMMYFUNCTION("GOOGLETRANSLATE(R18,""en"",""ta"")"),"ஒரு வற்றாத புதர், துர்நாற்றம் வீசும். தண்டு உருளை வடிவமானது, உப்பிய முனைகளுடன். இலைகள் எளிமையானவை, இலைக்காம்பு வடிவானது, ஈட்டி வடிவானது, எதிரெதிர் மற்றும் குறுக்கு வடிவமானது. மஞ்சரி ஒரு பேனிக்கிள் ஆகும், இது கூட்டமாக பூக்கள் மற்றும் பூக்கள் கொண்ட பூக்கள்."&amp;" பூக்கள் வெள்ளை நிறத்தில் இருக்கும். பழங்கள் கொண்ட காப்ஸ்யூல்.")</f>
        <v>ஒரு வற்றாத புதர், துர்நாற்றம் வீசும். தண்டு உருளை வடிவமானது, உப்பிய முனைகளுடன். இலைகள் எளிமையானவை, இலைக்காம்பு வடிவானது, ஈட்டி வடிவானது, எதிரெதிர் மற்றும் குறுக்கு வடிவமானது. மஞ்சரி ஒரு பேனிக்கிள் ஆகும், இது கூட்டமாக பூக்கள் மற்றும் பூக்கள் கொண்ட பூக்கள். பூக்கள் வெள்ளை நிறத்தில் இருக்கும். பழங்கள் கொண்ட காப்ஸ்யூல்.</v>
      </c>
      <c r="R18" s="3" t="s">
        <v>248</v>
      </c>
      <c r="S18" s="3" t="str">
        <f ca="1">IFERROR(__xludf.DUMMYFUNCTION("GOOGLETRANSLATE(T18,""en"",""ta"")"),"ஃபிதிசிஸ்")</f>
        <v>ஃபிதிசிஸ்</v>
      </c>
      <c r="T18" s="3" t="s">
        <v>249</v>
      </c>
      <c r="U18" s="3" t="str">
        <f ca="1">IFERROR(__xludf.DUMMYFUNCTION("GOOGLETRANSLATE(V18,""en"",""ta"")"),"இல்லை")</f>
        <v>இல்லை</v>
      </c>
      <c r="V18" s="3" t="s">
        <v>46</v>
      </c>
      <c r="W18" s="3" t="str">
        <f ca="1">IFERROR(__xludf.DUMMYFUNCTION("GOOGLETRANSLATE(X18,""en"",""ta"")"),"நாள்பட்ட மூச்சுக்குழாய் அழற்சி, ஆஸ்துமா, மூச்சுக்குழாய் அழற்சி, வயிற்றுப்போக்கு, வயிற்றுப்போக்கு மற்றும் காய்ச்சல்")</f>
        <v>நாள்பட்ட மூச்சுக்குழாய் அழற்சி, ஆஸ்துமா, மூச்சுக்குழாய் அழற்சி, வயிற்றுப்போக்கு, வயிற்றுப்போக்கு மற்றும் காய்ச்சல்</v>
      </c>
      <c r="X18" s="3" t="s">
        <v>250</v>
      </c>
      <c r="Y18" s="3" t="str">
        <f ca="1">IFERROR(__xludf.DUMMYFUNCTION("GOOGLETRANSLATE(Z18,""en"",""ta"")"),"கண் நோய்.")</f>
        <v>கண் நோய்.</v>
      </c>
      <c r="Z18" s="3" t="s">
        <v>251</v>
      </c>
      <c r="AA18" s="3" t="str">
        <f ca="1">IFERROR(__xludf.DUMMYFUNCTION("GOOGLETRANSLATE(AB18,""en"",""ta"")"),"இல்லை")</f>
        <v>இல்லை</v>
      </c>
      <c r="AB18" s="3" t="s">
        <v>46</v>
      </c>
      <c r="AC18" s="3" t="str">
        <f ca="1">IFERROR(__xludf.DUMMYFUNCTION("GOOGLETRANSLATE(AD18,""en"",""ta"")"),"இல்லை")</f>
        <v>இல்லை</v>
      </c>
      <c r="AD18" s="3" t="s">
        <v>46</v>
      </c>
      <c r="AE18" s="3" t="str">
        <f ca="1">IFERROR(__xludf.DUMMYFUNCTION("GOOGLETRANSLATE(AF18,""en"",""ta"")"),"இல்லை")</f>
        <v>இல்லை</v>
      </c>
      <c r="AF18" s="3" t="s">
        <v>46</v>
      </c>
      <c r="AG18" s="3" t="str">
        <f ca="1">IFERROR(__xludf.DUMMYFUNCTION("GOOGLETRANSLATE(AH18,""en"",""ta"")"),"இல்லை")</f>
        <v>இல்லை</v>
      </c>
      <c r="AH18" s="3" t="s">
        <v>46</v>
      </c>
      <c r="AI18" s="3" t="str">
        <f ca="1">IFERROR(__xludf.DUMMYFUNCTION("GOOGLETRANSLATE(AJ18,""en"",""ta"")"),"இல்லை")</f>
        <v>இல்லை</v>
      </c>
      <c r="AJ18" s="3" t="s">
        <v>46</v>
      </c>
      <c r="AK18" s="3" t="str">
        <f ca="1">IFERROR(__xludf.DUMMYFUNCTION("GOOGLETRANSLATE(AL18,""en"",""ta"")"),"மார்பு வலிப்பு, கால்-கை வலிப்பு, வெறி, பைத்தியம் மற்றும் ஸ்கர்வி.")</f>
        <v>மார்பு வலிப்பு, கால்-கை வலிப்பு, வெறி, பைத்தியம் மற்றும் ஸ்கர்வி.</v>
      </c>
      <c r="AL18" s="3" t="s">
        <v>252</v>
      </c>
      <c r="AM18" s="3" t="str">
        <f ca="1">IFERROR(__xludf.DUMMYFUNCTION("GOOGLETRANSLATE(AN18,""en"",""ta"")"),"இல்லை")</f>
        <v>இல்லை</v>
      </c>
      <c r="AN18" s="3" t="s">
        <v>46</v>
      </c>
      <c r="AO18" s="3" t="str">
        <f ca="1">IFERROR(__xludf.DUMMYFUNCTION("GOOGLETRANSLATE(AP18,""en"",""ta"")"),"#VALUE!")</f>
        <v>#VALUE!</v>
      </c>
      <c r="AP18" s="3"/>
      <c r="AQ18" s="3"/>
      <c r="AR18" s="3" t="str">
        <f ca="1">IFERROR(__xludf.DUMMYFUNCTION("GOOGLETRANSLATE(AS18,""en"",""ta"")"),"எக்ஸ்பெக்டோரண்ட், டையூரிடிக், ஆண்டிஸ்பாஸ்மோடிக் மற்றும் ஆல்டெரேட்டிவ்.")</f>
        <v>எக்ஸ்பெக்டோரண்ட், டையூரிடிக், ஆண்டிஸ்பாஸ்மோடிக் மற்றும் ஆல்டெரேட்டிவ்.</v>
      </c>
      <c r="AS18" s="3" t="s">
        <v>253</v>
      </c>
      <c r="AT18" s="3" t="str">
        <f ca="1">IFERROR(__xludf.DUMMYFUNCTION("GOOGLETRANSLATE(AU18,""en"",""ta"")"),"வாசிகோலினோம், வாசிசினோன், வாசிசின், அனிசோடின், அடாடோடின், அடாவாசினோன் &amp; அடாடோடிக் அமிலம்")</f>
        <v>வாசிகோலினோம், வாசிசினோன், வாசிசின், அனிசோடின், அடாடோடின், அடாவாசினோன் &amp; அடாடோடிக் அமிலம்</v>
      </c>
      <c r="AU18" s="3" t="s">
        <v>254</v>
      </c>
      <c r="AV18" s="3"/>
      <c r="AW18" s="3" t="str">
        <f ca="1">IFERROR(__xludf.DUMMYFUNCTION("GOOGLETRANSLATE(AX18,""en"",""ta"")"),"மூச்சுக்குழாய் அழற்சி, ஆஸ்துமா மற்றும் மூச்சுக்குழாய் அழற்சிக்கு இலைகளின் புதிய சாறு தேனுடன் கலந்து கொடுக்கப்படுகிறது. தொண்டை வலி மற்றும் குரல் இழப்புக்கு இலைகள் மற்றும் சிறுகீரை இலைகளின் கஷாயம் உட்புறமாக கொடுக்கப்படுகிறது.")</f>
        <v>மூச்சுக்குழாய் அழற்சி, ஆஸ்துமா மற்றும் மூச்சுக்குழாய் அழற்சிக்கு இலைகளின் புதிய சாறு தேனுடன் கலந்து கொடுக்கப்படுகிறது. தொண்டை வலி மற்றும் குரல் இழப்புக்கு இலைகள் மற்றும் சிறுகீரை இலைகளின் கஷாயம் உட்புறமாக கொடுக்கப்படுகிறது.</v>
      </c>
      <c r="AX18" s="3" t="s">
        <v>255</v>
      </c>
      <c r="AY18" s="3"/>
      <c r="AZ18" s="3"/>
      <c r="BA18" s="3"/>
      <c r="BB18" s="3"/>
      <c r="BC18" s="3"/>
      <c r="BD18" s="3"/>
      <c r="BE18" s="3"/>
      <c r="BF18" s="3"/>
    </row>
    <row r="19" spans="1:58" ht="15.75" customHeight="1" x14ac:dyDescent="0.15">
      <c r="A19" s="3">
        <v>18</v>
      </c>
      <c r="B19" s="3" t="str">
        <f ca="1">IFERROR(__xludf.DUMMYFUNCTION("GOOGLETRANSLATE(C19,""en"",""ta"")"),"ஏகிள் மார்மெலோஸ்")</f>
        <v>ஏகிள் மார்மெலோஸ்</v>
      </c>
      <c r="C19" s="3" t="s">
        <v>256</v>
      </c>
      <c r="D19" s="3" t="str">
        <f ca="1">IFERROR(__xludf.DUMMYFUNCTION("GOOGLETRANSLATE(E19,""en"",""ta"")"),"வில்வம்")</f>
        <v>வில்வம்</v>
      </c>
      <c r="E19" s="3" t="s">
        <v>257</v>
      </c>
      <c r="F19" s="3" t="str">
        <f ca="1">IFERROR(__xludf.DUMMYFUNCTION("GOOGLETRANSLATE(G19,""en"",""ta"")"),"வில்வம்")</f>
        <v>வில்வம்</v>
      </c>
      <c r="G19" s="3" t="s">
        <v>258</v>
      </c>
      <c r="H19" s="3" t="str">
        <f ca="1">IFERROR(__xludf.DUMMYFUNCTION("GOOGLETRANSLATE(I19,""en"",""ta"")"),"பேல் மரம்")</f>
        <v>பேல் மரம்</v>
      </c>
      <c r="I19" s="3" t="s">
        <v>259</v>
      </c>
      <c r="J19" s="3" t="str">
        <f ca="1">IFERROR(__xludf.DUMMYFUNCTION("GOOGLETRANSLATE(K19,""en"",""ta"")"),"பிலவமு")</f>
        <v>பிலவமு</v>
      </c>
      <c r="K19" s="3" t="s">
        <v>260</v>
      </c>
      <c r="L19" s="3" t="str">
        <f ca="1">IFERROR(__xludf.DUMMYFUNCTION("GOOGLETRANSLATE(M19,""en"",""ta"")"),"கூவளம்")</f>
        <v>கூவளம்</v>
      </c>
      <c r="M19" s="3" t="s">
        <v>261</v>
      </c>
      <c r="N19" s="3" t="str">
        <f ca="1">IFERROR(__xludf.DUMMYFUNCTION("GOOGLETRANSLATE(O19,""en"",""ta"")"),"பேல்")</f>
        <v>பேல்</v>
      </c>
      <c r="O19" s="3" t="s">
        <v>262</v>
      </c>
      <c r="P19" s="3"/>
      <c r="Q19" s="3" t="str">
        <f ca="1">IFERROR(__xludf.DUMMYFUNCTION("GOOGLETRANSLATE(R19,""en"",""ta"")"),"நீண்ட முட்கள் கொண்ட கிளைகளைக் கொண்ட நறுமணமுள்ள மரம். இலைகள் மூன்று கூட்டு இலைகளாகும், அதன் தனித்துவமான மணம் கொண்டது. பூக்கள் பச்சை வெள்ளை நிறத்தில் பேனிக்கிள்களில் இருக்கும். பழங்கள் பெரியவை, கடினமானவை, வட்டமானவை மற்றும் சாம்பல் அல்லது மஞ்சள் நிறத்தில் இர"&amp;"ுக்கும். விதைகள் சிறியவை, ஏராளமானவை, நீள்வட்டமானவை மற்றும் சுருக்கப்பட்டவை. மரங்கள் மே மாதத்தில் பூக்களைத் தருகின்றன, 10-14 மாதங்களுக்குப் பிறகு பழங்களைத் தருகின்றன.")</f>
        <v>நீண்ட முட்கள் கொண்ட கிளைகளைக் கொண்ட நறுமணமுள்ள மரம். இலைகள் மூன்று கூட்டு இலைகளாகும், அதன் தனித்துவமான மணம் கொண்டது. பூக்கள் பச்சை வெள்ளை நிறத்தில் பேனிக்கிள்களில் இருக்கும். பழங்கள் பெரியவை, கடினமானவை, வட்டமானவை மற்றும் சாம்பல் அல்லது மஞ்சள் நிறத்தில் இருக்கும். விதைகள் சிறியவை, ஏராளமானவை, நீள்வட்டமானவை மற்றும் சுருக்கப்பட்டவை. மரங்கள் மே மாதத்தில் பூக்களைத் தருகின்றன, 10-14 மாதங்களுக்குப் பிறகு பழங்களைத் தருகின்றன.</v>
      </c>
      <c r="R19" s="3" t="s">
        <v>263</v>
      </c>
      <c r="S19" s="3" t="str">
        <f ca="1">IFERROR(__xludf.DUMMYFUNCTION("GOOGLETRANSLATE(T19,""en"",""ta"")"),"இடைவிடாத காய்ச்சல், ஹைபோகாண்ட்ரியாசிஸ், மெலஞ்சோலியா, பெப்டிக் அல்சர், இதயத் துடிப்பு.")</f>
        <v>இடைவிடாத காய்ச்சல், ஹைபோகாண்ட்ரியாசிஸ், மெலஞ்சோலியா, பெப்டிக் அல்சர், இதயத் துடிப்பு.</v>
      </c>
      <c r="T19" s="3" t="s">
        <v>264</v>
      </c>
      <c r="U19" s="3" t="str">
        <f ca="1">IFERROR(__xludf.DUMMYFUNCTION("GOOGLETRANSLATE(V19,""en"",""ta"")"),"இல்லை")</f>
        <v>இல்லை</v>
      </c>
      <c r="V19" s="3" t="s">
        <v>46</v>
      </c>
      <c r="W19" s="3" t="str">
        <f ca="1">IFERROR(__xludf.DUMMYFUNCTION("GOOGLETRANSLATE(X19,""en"",""ta"")"),"மஞ்சள் காமாலை மற்றும் வீக்கம்")</f>
        <v>மஞ்சள் காமாலை மற்றும் வீக்கம்</v>
      </c>
      <c r="X19" s="3" t="s">
        <v>265</v>
      </c>
      <c r="Y19" s="3" t="str">
        <f ca="1">IFERROR(__xludf.DUMMYFUNCTION("GOOGLETRANSLATE(Z19,""en"",""ta"")"),"இல்லை")</f>
        <v>இல்லை</v>
      </c>
      <c r="Z19" s="3" t="s">
        <v>46</v>
      </c>
      <c r="AA19" s="3" t="str">
        <f ca="1">IFERROR(__xludf.DUMMYFUNCTION("GOOGLETRANSLATE(AB19,""en"",""ta"")"),"இல்லை")</f>
        <v>இல்லை</v>
      </c>
      <c r="AB19" s="3" t="s">
        <v>46</v>
      </c>
      <c r="AC19" s="3" t="str">
        <f ca="1">IFERROR(__xludf.DUMMYFUNCTION("GOOGLETRANSLATE(AD19,""en"",""ta"")"),"இல்லை")</f>
        <v>இல்லை</v>
      </c>
      <c r="AD19" s="3" t="s">
        <v>46</v>
      </c>
      <c r="AE19" s="3" t="str">
        <f ca="1">IFERROR(__xludf.DUMMYFUNCTION("GOOGLETRANSLATE(AF19,""en"",""ta"")"),"இல்லை")</f>
        <v>இல்லை</v>
      </c>
      <c r="AF19" s="3" t="s">
        <v>46</v>
      </c>
      <c r="AG19" s="3" t="str">
        <f ca="1">IFERROR(__xludf.DUMMYFUNCTION("GOOGLETRANSLATE(AH19,""en"",""ta"")"),"இல்லை")</f>
        <v>இல்லை</v>
      </c>
      <c r="AH19" s="3" t="s">
        <v>46</v>
      </c>
      <c r="AI19" s="3" t="str">
        <f ca="1">IFERROR(__xludf.DUMMYFUNCTION("GOOGLETRANSLATE(AJ19,""en"",""ta"")"),"இல்லை")</f>
        <v>இல்லை</v>
      </c>
      <c r="AJ19" s="3" t="s">
        <v>46</v>
      </c>
      <c r="AK19" s="3" t="str">
        <f ca="1">IFERROR(__xludf.DUMMYFUNCTION("GOOGLETRANSLATE(AL19,""en"",""ta"")"),"இல்லை")</f>
        <v>இல்லை</v>
      </c>
      <c r="AL19" s="3" t="s">
        <v>46</v>
      </c>
      <c r="AM19" s="3" t="str">
        <f ca="1">IFERROR(__xludf.DUMMYFUNCTION("GOOGLETRANSLATE(AN19,""en"",""ta"")"),"நாள்பட்ட வயிற்றுப்போக்கு மற்றும் வயிற்றுக்கடுப்பு")</f>
        <v>நாள்பட்ட வயிற்றுப்போக்கு மற்றும் வயிற்றுக்கடுப்பு</v>
      </c>
      <c r="AN19" s="3" t="s">
        <v>266</v>
      </c>
      <c r="AO19" s="3" t="str">
        <f ca="1">IFERROR(__xludf.DUMMYFUNCTION("GOOGLETRANSLATE(AP19,""en"",""ta"")"),"#VALUE!")</f>
        <v>#VALUE!</v>
      </c>
      <c r="AP19" s="3"/>
      <c r="AQ19" s="3"/>
      <c r="AR19" s="3" t="str">
        <f ca="1">IFERROR(__xludf.DUMMYFUNCTION("GOOGLETRANSLATE(AS19,""en"",""ta"")"),"தூண்டுதல், காய்ச்சல் எதிர்ப்பு மருந்து, ஸ்கார்ப்யூடிக் எதிர்ப்பு மருந்து, நறுமணப் பொருள், குளிர்ச்சியூட்டும் மருந்து, மாற்று மருந்து, ஊட்டச்சத்து மருந்து, மலமிளக்கி, துவர்ப்பு மருந்து, செரிமான மருந்து மற்றும் வயிற்றுப் பதார்த்தம்.")</f>
        <v>தூண்டுதல், காய்ச்சல் எதிர்ப்பு மருந்து, ஸ்கார்ப்யூடிக் எதிர்ப்பு மருந்து, நறுமணப் பொருள், குளிர்ச்சியூட்டும் மருந்து, மாற்று மருந்து, ஊட்டச்சத்து மருந்து, மலமிளக்கி, துவர்ப்பு மருந்து, செரிமான மருந்து மற்றும் வயிற்றுப் பதார்த்தம்.</v>
      </c>
      <c r="AS19" s="3" t="s">
        <v>267</v>
      </c>
      <c r="AT19" s="3" t="str">
        <f ca="1">IFERROR(__xludf.DUMMYFUNCTION("GOOGLETRANSLATE(AU19,""en"",""ta"")"),"Aegeline, Marmelosin, b-Sitosterol, lupeol, Allo-imperatorin, g-itophenlic ஆல்கலாய்டுகள், பெக்டின், Marmin, Aurapten மற்றும் டானின்.")</f>
        <v>Aegeline, Marmelosin, b-Sitosterol, lupeol, Allo-imperatorin, g-itophenlic ஆல்கலாய்டுகள், பெக்டின், Marmin, Aurapten மற்றும் டானின்.</v>
      </c>
      <c r="AU19" s="3" t="s">
        <v>268</v>
      </c>
      <c r="AV19" s="3"/>
      <c r="AW19" s="3" t="str">
        <f ca="1">IFERROR(__xludf.DUMMYFUNCTION("GOOGLETRANSLATE(AX19,""en"",""ta"")"),"பழக்கமான மலச்சிக்கல், நாள்பட்ட வயிற்றுப்போக்கு மற்றும் டிஸ்ஸ்பெசியா ஆகியவற்றில் பழம் மிகவும் மதிப்புமிக்கது. வேர், வேர் பட்டை மற்றும் தண்டு பட்டை ஆகியவற்றின் கஷாயம் இடைப்பட்ட காய்ச்சல் மற்றும் இதயத் துடிப்பைக் குணப்படுத்துகிறது.")</f>
        <v>பழக்கமான மலச்சிக்கல், நாள்பட்ட வயிற்றுப்போக்கு மற்றும் டிஸ்ஸ்பெசியா ஆகியவற்றில் பழம் மிகவும் மதிப்புமிக்கது. வேர், வேர் பட்டை மற்றும் தண்டு பட்டை ஆகியவற்றின் கஷாயம் இடைப்பட்ட காய்ச்சல் மற்றும் இதயத் துடிப்பைக் குணப்படுத்துகிறது.</v>
      </c>
      <c r="AX19" s="3" t="s">
        <v>269</v>
      </c>
      <c r="AY19" s="3"/>
      <c r="AZ19" s="3"/>
      <c r="BA19" s="3"/>
      <c r="BB19" s="3"/>
      <c r="BC19" s="3"/>
      <c r="BD19" s="3"/>
      <c r="BE19" s="3"/>
      <c r="BF19" s="3"/>
    </row>
    <row r="20" spans="1:58" ht="15.75" customHeight="1" x14ac:dyDescent="0.15">
      <c r="A20" s="3">
        <v>19</v>
      </c>
      <c r="B20" s="3" t="str">
        <f ca="1">IFERROR(__xludf.DUMMYFUNCTION("GOOGLETRANSLATE(C20,""en"",""ta"")"),"ஏர்வா லனாட்டா")</f>
        <v>ஏர்வா லனாட்டா</v>
      </c>
      <c r="C20" s="3" t="s">
        <v>270</v>
      </c>
      <c r="D20" s="3" t="str">
        <f ca="1">IFERROR(__xludf.DUMMYFUNCTION("GOOGLETRANSLATE(E20,""en"",""ta"")"),"பாஷானபேதா")</f>
        <v>பாஷானபேதா</v>
      </c>
      <c r="E20" s="3" t="s">
        <v>271</v>
      </c>
      <c r="F20" s="3" t="str">
        <f ca="1">IFERROR(__xludf.DUMMYFUNCTION("GOOGLETRANSLATE(G20,""en"",""ta"")"),"சிறுகன் பீலை")</f>
        <v>சிறுகன் பீலை</v>
      </c>
      <c r="G20" s="3" t="s">
        <v>272</v>
      </c>
      <c r="H20" s="3" t="str">
        <f ca="1">IFERROR(__xludf.DUMMYFUNCTION("GOOGLETRANSLATE(I20,""en"",""ta"")"),"ஐரிஸ் எஸ்பிஎஸ்")</f>
        <v>ஐரிஸ் எஸ்பிஎஸ்</v>
      </c>
      <c r="I20" s="3" t="s">
        <v>273</v>
      </c>
      <c r="J20" s="3" t="str">
        <f ca="1">IFERROR(__xludf.DUMMYFUNCTION("GOOGLETRANSLATE(K20,""en"",""ta"")"),"கொண்டபிண்டி")</f>
        <v>கொண்டபிண்டி</v>
      </c>
      <c r="K20" s="3" t="s">
        <v>274</v>
      </c>
      <c r="L20" s="3" t="str">
        <f ca="1">IFERROR(__xludf.DUMMYFUNCTION("GOOGLETRANSLATE(M20,""en"",""ta"")"),"செரு பூலா")</f>
        <v>செரு பூலா</v>
      </c>
      <c r="M20" s="3" t="s">
        <v>275</v>
      </c>
      <c r="N20" s="3" t="str">
        <f ca="1">IFERROR(__xludf.DUMMYFUNCTION("GOOGLETRANSLATE(O20,""en"",""ta"")"),"கபுரிஜாடி")</f>
        <v>கபுரிஜாடி</v>
      </c>
      <c r="O20" s="3" t="s">
        <v>276</v>
      </c>
      <c r="P20" s="3"/>
      <c r="Q20" s="3" t="str">
        <f ca="1">IFERROR(__xludf.DUMMYFUNCTION("GOOGLETRANSLATE(R20,""en"",""ta"")"),"நிமிர்ந்த அல்லது சாய்ந்த நிலையில் காணப்படும் ஒரு வற்றாத மூலிகை. இலைகள் நீள்வட்ட வடிவிலான முட்டை வடிவிலானவை அல்லது வட்ட வடிவிலானவை, மழுங்கியவை, மேலே உரோமங்களுடையவை மற்றும் கீழே வெள்ளை கம்பளி போன்றது. மலர்கள் கூர்முனைகளில் காணப்படும், இலைக்கோணங்களில் அமைந்த"&amp;"ுள்ளன, ஹெர்மோஃப்ரோடைட், சிறிய அடர்த்தியான பச்சை நிற வெள்ளை தலைகள் அல்லது கூர்முனைகளில், பெரும்பாலும் கணுவைச் சுற்றி கொத்தாக காணப்படும். பழங்கள் முட்டை வடிவிலானவை, விதைகள் கருப்பு.")</f>
        <v>நிமிர்ந்த அல்லது சாய்ந்த நிலையில் காணப்படும் ஒரு வற்றாத மூலிகை. இலைகள் நீள்வட்ட வடிவிலான முட்டை வடிவிலானவை அல்லது வட்ட வடிவிலானவை, மழுங்கியவை, மேலே உரோமங்களுடையவை மற்றும் கீழே வெள்ளை கம்பளி போன்றது. மலர்கள் கூர்முனைகளில் காணப்படும், இலைக்கோணங்களில் அமைந்துள்ளன, ஹெர்மோஃப்ரோடைட், சிறிய அடர்த்தியான பச்சை நிற வெள்ளை தலைகள் அல்லது கூர்முனைகளில், பெரும்பாலும் கணுவைச் சுற்றி கொத்தாக காணப்படும். பழங்கள் முட்டை வடிவிலானவை, விதைகள் கருப்பு.</v>
      </c>
      <c r="R20" s="3" t="s">
        <v>277</v>
      </c>
      <c r="S20" s="3" t="str">
        <f ca="1">IFERROR(__xludf.DUMMYFUNCTION("GOOGLETRANSLATE(T20,""en"",""ta"")"),"புழுக்களிலிருந்து விடுபடும் மருந்து, சிறுநீர்ப் பெருக்கி மற்றும் மலமிளக்கி")</f>
        <v>புழுக்களிலிருந்து விடுபடும் மருந்து, சிறுநீர்ப் பெருக்கி மற்றும் மலமிளக்கி</v>
      </c>
      <c r="T20" s="3" t="s">
        <v>278</v>
      </c>
      <c r="U20" s="3" t="str">
        <f ca="1">IFERROR(__xludf.DUMMYFUNCTION("GOOGLETRANSLATE(V20,""en"",""ta"")"),"புழுக்களிலிருந்து விடுபடும் மருந்து, சிறுநீர்ப் பெருக்கி மற்றும் மலமிளக்கி")</f>
        <v>புழுக்களிலிருந்து விடுபடும் மருந்து, சிறுநீர்ப் பெருக்கி மற்றும் மலமிளக்கி</v>
      </c>
      <c r="V20" s="3" t="s">
        <v>278</v>
      </c>
      <c r="W20" s="3" t="str">
        <f ca="1">IFERROR(__xludf.DUMMYFUNCTION("GOOGLETRANSLATE(X20,""en"",""ta"")"),"புழுக்களிலிருந்து விடுபடும் மருந்து, சிறுநீர்ப் பெருக்கி மற்றும் மலமிளக்கி")</f>
        <v>புழுக்களிலிருந்து விடுபடும் மருந்து, சிறுநீர்ப் பெருக்கி மற்றும் மலமிளக்கி</v>
      </c>
      <c r="X20" s="3" t="s">
        <v>278</v>
      </c>
      <c r="Y20" s="3" t="str">
        <f ca="1">IFERROR(__xludf.DUMMYFUNCTION("GOOGLETRANSLATE(Z20,""en"",""ta"")"),"புழுக்களிலிருந்து விடுபடும் மருந்து, சிறுநீர்ப் பெருக்கி மற்றும் மலமிளக்கி")</f>
        <v>புழுக்களிலிருந்து விடுபடும் மருந்து, சிறுநீர்ப் பெருக்கி மற்றும் மலமிளக்கி</v>
      </c>
      <c r="Z20" s="3" t="s">
        <v>278</v>
      </c>
      <c r="AA20" s="3" t="str">
        <f ca="1">IFERROR(__xludf.DUMMYFUNCTION("GOOGLETRANSLATE(AB20,""en"",""ta"")"),"இல்லை")</f>
        <v>இல்லை</v>
      </c>
      <c r="AB20" s="3" t="s">
        <v>46</v>
      </c>
      <c r="AC20" s="3" t="str">
        <f ca="1">IFERROR(__xludf.DUMMYFUNCTION("GOOGLETRANSLATE(AD20,""en"",""ta"")"),"இல்லை")</f>
        <v>இல்லை</v>
      </c>
      <c r="AD20" s="3" t="s">
        <v>46</v>
      </c>
      <c r="AE20" s="3" t="str">
        <f ca="1">IFERROR(__xludf.DUMMYFUNCTION("GOOGLETRANSLATE(AF20,""en"",""ta"")"),"இல்லை")</f>
        <v>இல்லை</v>
      </c>
      <c r="AF20" s="3" t="s">
        <v>46</v>
      </c>
      <c r="AG20" s="3" t="str">
        <f ca="1">IFERROR(__xludf.DUMMYFUNCTION("GOOGLETRANSLATE(AH20,""en"",""ta"")"),"இல்லை")</f>
        <v>இல்லை</v>
      </c>
      <c r="AH20" s="3" t="s">
        <v>46</v>
      </c>
      <c r="AI20" s="3" t="str">
        <f ca="1">IFERROR(__xludf.DUMMYFUNCTION("GOOGLETRANSLATE(AJ20,""en"",""ta"")"),"இல்லை")</f>
        <v>இல்லை</v>
      </c>
      <c r="AJ20" s="3" t="s">
        <v>46</v>
      </c>
      <c r="AK20" s="3" t="str">
        <f ca="1">IFERROR(__xludf.DUMMYFUNCTION("GOOGLETRANSLATE(AL20,""en"",""ta"")"),"இல்லை")</f>
        <v>இல்லை</v>
      </c>
      <c r="AL20" s="3" t="s">
        <v>46</v>
      </c>
      <c r="AM20" s="3" t="str">
        <f ca="1">IFERROR(__xludf.DUMMYFUNCTION("GOOGLETRANSLATE(AN20,""en"",""ta"")"),"இல்லை")</f>
        <v>இல்லை</v>
      </c>
      <c r="AN20" s="3" t="s">
        <v>46</v>
      </c>
      <c r="AO20" s="3" t="str">
        <f ca="1">IFERROR(__xludf.DUMMYFUNCTION("GOOGLETRANSLATE(AP20,""en"",""ta"")"),"#VALUE!")</f>
        <v>#VALUE!</v>
      </c>
      <c r="AP20" s="3"/>
      <c r="AQ20" s="3"/>
      <c r="AR20" s="3" t="str">
        <f ca="1">IFERROR(__xludf.DUMMYFUNCTION("GOOGLETRANSLATE(AS20,""en"",""ta"")"),"ஆன்டெல்மிண்டிக், டையூரிடிக் மற்றும் டெமுல்சென்ட்.")</f>
        <v>ஆன்டெல்மிண்டிக், டையூரிடிக் மற்றும் டெமுல்சென்ட்.</v>
      </c>
      <c r="AS20" s="3" t="s">
        <v>279</v>
      </c>
      <c r="AT20" s="3" t="str">
        <f ca="1">IFERROR(__xludf.DUMMYFUNCTION("GOOGLETRANSLATE(AU20,""en"",""ta"")"),"ஏர்வின், ஏர்வோசைட், ஏர்வோலனின், பி-சிட்டோஸ்டெரால், பி-சிட்டோஸ்டெரில் பால்மிடேட், ஏ-அமிரின், ஆவியாகும் எண்ணெய், டானின், மெத்திலார்வின் மற்றும் மியூசிலேஜ்.")</f>
        <v>ஏர்வின், ஏர்வோசைட், ஏர்வோலனின், பி-சிட்டோஸ்டெரால், பி-சிட்டோஸ்டெரில் பால்மிடேட், ஏ-அமிரின், ஆவியாகும் எண்ணெய், டானின், மெத்திலார்வின் மற்றும் மியூசிலேஜ்.</v>
      </c>
      <c r="AU20" s="3" t="s">
        <v>280</v>
      </c>
      <c r="AV20" s="3"/>
      <c r="AW20" s="3" t="str">
        <f ca="1">IFERROR(__xludf.DUMMYFUNCTION("GOOGLETRANSLATE(AX20,""en"",""ta"")"),"இந்தச் செடியின் கஷாயம் சிறுநீரகக் கால்குலியை குணப்படுத்துவதில் பயனுள்ள ஒரு டையூரிடிக் ஆகும். பைல்ஸில், இந்த மூலிகை கருப்பு மிளகு மற்றும் பாலுடன் கொடுக்கப்படுகிறது.")</f>
        <v>இந்தச் செடியின் கஷாயம் சிறுநீரகக் கால்குலியை குணப்படுத்துவதில் பயனுள்ள ஒரு டையூரிடிக் ஆகும். பைல்ஸில், இந்த மூலிகை கருப்பு மிளகு மற்றும் பாலுடன் கொடுக்கப்படுகிறது.</v>
      </c>
      <c r="AX20" s="3" t="s">
        <v>281</v>
      </c>
      <c r="AY20" s="3"/>
      <c r="AZ20" s="3"/>
      <c r="BA20" s="3"/>
      <c r="BB20" s="3"/>
      <c r="BC20" s="3"/>
      <c r="BD20" s="3"/>
      <c r="BE20" s="3"/>
      <c r="BF20" s="3"/>
    </row>
    <row r="21" spans="1:58" ht="15.75" customHeight="1" x14ac:dyDescent="0.15">
      <c r="A21" s="3">
        <v>20</v>
      </c>
      <c r="B21" s="3" t="str">
        <f ca="1">IFERROR(__xludf.DUMMYFUNCTION("GOOGLETRANSLATE(C21,""en"",""ta"")"),"ஏர்வா டோமென்டோசா")</f>
        <v>ஏர்வா டோமென்டோசா</v>
      </c>
      <c r="C21" s="3" t="s">
        <v>282</v>
      </c>
      <c r="D21" s="3" t="str">
        <f ca="1">IFERROR(__xludf.DUMMYFUNCTION("GOOGLETRANSLATE(E21,""en"",""ta"")"),"அஸ்த்மபாய்டா")</f>
        <v>அஸ்த்மபாய்டா</v>
      </c>
      <c r="E21" s="3" t="s">
        <v>283</v>
      </c>
      <c r="F21" s="3" t="str">
        <f ca="1">IFERROR(__xludf.DUMMYFUNCTION("GOOGLETRANSLATE(G21,""en"",""ta"")"),"பெரும்பீலை")</f>
        <v>பெரும்பீலை</v>
      </c>
      <c r="G21" s="3" t="s">
        <v>284</v>
      </c>
      <c r="H21" s="3" t="str">
        <f ca="1">IFERROR(__xludf.DUMMYFUNCTION("GOOGLETRANSLATE(I21,""en"",""ta"")"),"ஐரிஸ் எஸ்பிஎஸ்")</f>
        <v>ஐரிஸ் எஸ்பிஎஸ்</v>
      </c>
      <c r="I21" s="3" t="s">
        <v>273</v>
      </c>
      <c r="J21" s="3" t="str">
        <f ca="1">IFERROR(__xludf.DUMMYFUNCTION("GOOGLETRANSLATE(K21,""en"",""ta"")"),"பெத்த கொண்டபிண்டி")</f>
        <v>பெத்த கொண்டபிண்டி</v>
      </c>
      <c r="K21" s="3" t="s">
        <v>285</v>
      </c>
      <c r="L21" s="3" t="str">
        <f ca="1">IFERROR(__xludf.DUMMYFUNCTION("GOOGLETRANSLATE(M21,""en"",""ta"")"),"பெரும் பூலா")</f>
        <v>பெரும் பூலா</v>
      </c>
      <c r="M21" s="3" t="s">
        <v>286</v>
      </c>
      <c r="N21" s="3" t="str">
        <f ca="1">IFERROR(__xludf.DUMMYFUNCTION("GOOGLETRANSLATE(O21,""en"",""ta"")"),"சாயா")</f>
        <v>சாயா</v>
      </c>
      <c r="O21" s="3" t="s">
        <v>287</v>
      </c>
      <c r="P21" s="3"/>
      <c r="Q21" s="3" t="str">
        <f ca="1">IFERROR(__xludf.DUMMYFUNCTION("GOOGLETRANSLATE(R21,""en"",""ta"")"),"ஒரு மூலிகை, தண்டு வளையமானது, கிளைத்த, அடர்த்தியான நட்சத்திர வடிவ உரோமத்தால் மூடப்பட்டிருக்கும். இலைகள் மாறி மாறி, மாறி, காம்பற்றது, நேரியல் மற்றும் நீள்வட்டமானது. மலர்கள் ஒரு பாலின அல்லது டையோசியஸ் கூர்முனைகளில் மந்தமான வெள்ளை. பழங்கள் ஒரு யூட்ரிக்கிள். வ"&amp;"ிதைகள் லெண்டிகுலர், பளபளப்பான மற்றும் பழுப்பு நிற கருப்பு.")</f>
        <v>ஒரு மூலிகை, தண்டு வளையமானது, கிளைத்த, அடர்த்தியான நட்சத்திர வடிவ உரோமத்தால் மூடப்பட்டிருக்கும். இலைகள் மாறி மாறி, மாறி, காம்பற்றது, நேரியல் மற்றும் நீள்வட்டமானது. மலர்கள் ஒரு பாலின அல்லது டையோசியஸ் கூர்முனைகளில் மந்தமான வெள்ளை. பழங்கள் ஒரு யூட்ரிக்கிள். விதைகள் லெண்டிகுலர், பளபளப்பான மற்றும் பழுப்பு நிற கருப்பு.</v>
      </c>
      <c r="R21" s="3" t="s">
        <v>288</v>
      </c>
      <c r="S21" s="3" t="str">
        <f ca="1">IFERROR(__xludf.DUMMYFUNCTION("GOOGLETRANSLATE(T21,""en"",""ta"")"),"புழுக்களிலிருந்து விடுபடும் மருந்து, சிறுநீர்ப் பெருக்கி மற்றும் மலமிளக்கி")</f>
        <v>புழுக்களிலிருந்து விடுபடும் மருந்து, சிறுநீர்ப் பெருக்கி மற்றும் மலமிளக்கி</v>
      </c>
      <c r="T21" s="3" t="s">
        <v>278</v>
      </c>
      <c r="U21" s="3" t="str">
        <f ca="1">IFERROR(__xludf.DUMMYFUNCTION("GOOGLETRANSLATE(V21,""en"",""ta"")"),"புழுக்களிலிருந்து விடுபடும் மருந்து, சிறுநீர்ப் பெருக்கி மற்றும் மலமிளக்கி")</f>
        <v>புழுக்களிலிருந்து விடுபடும் மருந்து, சிறுநீர்ப் பெருக்கி மற்றும் மலமிளக்கி</v>
      </c>
      <c r="V21" s="3" t="s">
        <v>278</v>
      </c>
      <c r="W21" s="3" t="str">
        <f ca="1">IFERROR(__xludf.DUMMYFUNCTION("GOOGLETRANSLATE(X21,""en"",""ta"")"),"புழுக்களிலிருந்து விடுபடும் மருந்து, சிறுநீர்ப் பெருக்கி மற்றும் மலமிளக்கி")</f>
        <v>புழுக்களிலிருந்து விடுபடும் மருந்து, சிறுநீர்ப் பெருக்கி மற்றும் மலமிளக்கி</v>
      </c>
      <c r="X21" s="3" t="s">
        <v>278</v>
      </c>
      <c r="Y21" s="3" t="str">
        <f ca="1">IFERROR(__xludf.DUMMYFUNCTION("GOOGLETRANSLATE(Z21,""en"",""ta"")"),"புழுக்களிலிருந்து விடுபடும் மருந்து, சிறுநீர்ப் பெருக்கி மற்றும் மலமிளக்கி")</f>
        <v>புழுக்களிலிருந்து விடுபடும் மருந்து, சிறுநீர்ப் பெருக்கி மற்றும் மலமிளக்கி</v>
      </c>
      <c r="Z21" s="3" t="s">
        <v>278</v>
      </c>
      <c r="AA21" s="3" t="str">
        <f ca="1">IFERROR(__xludf.DUMMYFUNCTION("GOOGLETRANSLATE(AB21,""en"",""ta"")"),"இல்லை")</f>
        <v>இல்லை</v>
      </c>
      <c r="AB21" s="3" t="s">
        <v>46</v>
      </c>
      <c r="AC21" s="3" t="str">
        <f ca="1">IFERROR(__xludf.DUMMYFUNCTION("GOOGLETRANSLATE(AD21,""en"",""ta"")"),"இல்லை")</f>
        <v>இல்லை</v>
      </c>
      <c r="AD21" s="3" t="s">
        <v>46</v>
      </c>
      <c r="AE21" s="3" t="str">
        <f ca="1">IFERROR(__xludf.DUMMYFUNCTION("GOOGLETRANSLATE(AF21,""en"",""ta"")"),"இல்லை")</f>
        <v>இல்லை</v>
      </c>
      <c r="AF21" s="3" t="s">
        <v>46</v>
      </c>
      <c r="AG21" s="3" t="str">
        <f ca="1">IFERROR(__xludf.DUMMYFUNCTION("GOOGLETRANSLATE(AH21,""en"",""ta"")"),"இல்லை")</f>
        <v>இல்லை</v>
      </c>
      <c r="AH21" s="3" t="s">
        <v>46</v>
      </c>
      <c r="AI21" s="3" t="str">
        <f ca="1">IFERROR(__xludf.DUMMYFUNCTION("GOOGLETRANSLATE(AJ21,""en"",""ta"")"),"இல்லை")</f>
        <v>இல்லை</v>
      </c>
      <c r="AJ21" s="3" t="s">
        <v>46</v>
      </c>
      <c r="AK21" s="3" t="str">
        <f ca="1">IFERROR(__xludf.DUMMYFUNCTION("GOOGLETRANSLATE(AL21,""en"",""ta"")"),"இல்லை")</f>
        <v>இல்லை</v>
      </c>
      <c r="AL21" s="3" t="s">
        <v>46</v>
      </c>
      <c r="AM21" s="3" t="str">
        <f ca="1">IFERROR(__xludf.DUMMYFUNCTION("GOOGLETRANSLATE(AN21,""en"",""ta"")"),"இல்லை")</f>
        <v>இல்லை</v>
      </c>
      <c r="AN21" s="3" t="s">
        <v>46</v>
      </c>
      <c r="AO21" s="3" t="str">
        <f ca="1">IFERROR(__xludf.DUMMYFUNCTION("GOOGLETRANSLATE(AP21,""en"",""ta"")"),"#VALUE!")</f>
        <v>#VALUE!</v>
      </c>
      <c r="AP21" s="3"/>
      <c r="AQ21" s="3"/>
      <c r="AR21" s="3" t="str">
        <f ca="1">IFERROR(__xludf.DUMMYFUNCTION("GOOGLETRANSLATE(AS21,""en"",""ta"")"),"புழுக்களிலிருந்து விடுபடும் மருந்து, சிறுநீர்ப் பெருக்கி மற்றும் மலமிளக்கி")</f>
        <v>புழுக்களிலிருந்து விடுபடும் மருந்து, சிறுநீர்ப் பெருக்கி மற்றும் மலமிளக்கி</v>
      </c>
      <c r="AS21" s="3" t="s">
        <v>278</v>
      </c>
      <c r="AT21" s="3" t="str">
        <f ca="1">IFERROR(__xludf.DUMMYFUNCTION("GOOGLETRANSLATE(AU21,""en"",""ta"")"),"b- சிட்டோஸ்டெரால், ஆவியாகும் எண்ணெய், டானின் மற்றும் மியூசிலேஜ்.")</f>
        <v>b- சிட்டோஸ்டெரால், ஆவியாகும் எண்ணெய், டானின் மற்றும் மியூசிலேஜ்.</v>
      </c>
      <c r="AU21" s="3" t="s">
        <v>289</v>
      </c>
      <c r="AV21" s="3"/>
      <c r="AW21" s="3" t="str">
        <f ca="1">IFERROR(__xludf.DUMMYFUNCTION("GOOGLETRANSLATE(AX21,""en"",""ta"")"),"இந்தச் செடியின் பொடியை ஒரு கஷாயமாக மாற்றி, சிறுநீரகக் கற்களுக்கு உள்ளுக்குக் கொடுக்கிறார்கள். குடலில் உள்ள புழுக்களை நீக்குவதற்குச் செடியின் புதிய சாறு கொடுக்கப்படுகிறது.")</f>
        <v>இந்தச் செடியின் பொடியை ஒரு கஷாயமாக மாற்றி, சிறுநீரகக் கற்களுக்கு உள்ளுக்குக் கொடுக்கிறார்கள். குடலில் உள்ள புழுக்களை நீக்குவதற்குச் செடியின் புதிய சாறு கொடுக்கப்படுகிறது.</v>
      </c>
      <c r="AX21" s="3" t="s">
        <v>290</v>
      </c>
      <c r="AY21" s="3"/>
      <c r="AZ21" s="3"/>
      <c r="BA21" s="3"/>
      <c r="BB21" s="3"/>
      <c r="BC21" s="3"/>
      <c r="BD21" s="3"/>
      <c r="BE21" s="3"/>
      <c r="BF21" s="3"/>
    </row>
    <row r="22" spans="1:58" ht="15.75" customHeight="1" x14ac:dyDescent="0.15">
      <c r="A22" s="3">
        <v>21</v>
      </c>
      <c r="B22" s="3" t="str">
        <f ca="1">IFERROR(__xludf.DUMMYFUNCTION("GOOGLETRANSLATE(C22,""en"",""ta"")"),"அகாரிகஸ் கேம்பஸ்ட்ரிஸ்")</f>
        <v>அகாரிகஸ் கேம்பஸ்ட்ரிஸ்</v>
      </c>
      <c r="C22" s="3" t="s">
        <v>291</v>
      </c>
      <c r="D22" s="3" t="str">
        <f ca="1">IFERROR(__xludf.DUMMYFUNCTION("GOOGLETRANSLATE(E22,""en"",""ta"")"),"சத்ரகஹ்")</f>
        <v>சத்ரகஹ்</v>
      </c>
      <c r="E22" s="3" t="s">
        <v>292</v>
      </c>
      <c r="F22" s="3" t="str">
        <f ca="1">IFERROR(__xludf.DUMMYFUNCTION("GOOGLETRANSLATE(G22,""en"",""ta"")"),"நாய்க்குடை காலன்")</f>
        <v>நாய்க்குடை காலன்</v>
      </c>
      <c r="G22" s="3" t="s">
        <v>293</v>
      </c>
      <c r="H22" s="3" t="str">
        <f ca="1">IFERROR(__xludf.DUMMYFUNCTION("GOOGLETRANSLATE(I22,""en"",""ta"")"),"பொதுவான காளான்")</f>
        <v>பொதுவான காளான்</v>
      </c>
      <c r="I22" s="3" t="s">
        <v>294</v>
      </c>
      <c r="J22" s="3" t="str">
        <f ca="1">IFERROR(__xludf.DUMMYFUNCTION("GOOGLETRANSLATE(K22,""en"",""ta"")"),"குக்கா கோடுகு")</f>
        <v>குக்கா கோடுகு</v>
      </c>
      <c r="K22" s="3" t="s">
        <v>295</v>
      </c>
      <c r="L22" s="3" t="str">
        <f ca="1">IFERROR(__xludf.DUMMYFUNCTION("GOOGLETRANSLATE(M22,""en"",""ta"")"),"கூன்")</f>
        <v>கூன்</v>
      </c>
      <c r="M22" s="3" t="s">
        <v>296</v>
      </c>
      <c r="N22" s="3" t="str">
        <f ca="1">IFERROR(__xludf.DUMMYFUNCTION("GOOGLETRANSLATE(O22,""en"",""ta"")"),"குமி")</f>
        <v>குமி</v>
      </c>
      <c r="O22" s="3" t="s">
        <v>297</v>
      </c>
      <c r="P22" s="3"/>
      <c r="Q22" s="3" t="str">
        <f ca="1">IFERROR(__xludf.DUMMYFUNCTION("GOOGLETRANSLATE(R22,""en"",""ta"")"),"ஒரு பெரிய பூஞ்சை மூலிகை, குடை போன்றது, விஷமற்ற வகை, இது காய்கறியாகப் பயன்படுத்தப்படுகிறது. தண்டு வெண்மையானது, குட்டையானது மற்றும் ஏரென்கிமாவால் நிரப்பப்பட்டது, மேல் பகுதியில் ஒரு தொப்பி உள்ளது மற்றும் உள்ளே செவுள்கள் உள்ளன. இந்த உண்ணக்கூடிய வகை உடையக்கூடி"&amp;"யது மற்றும் எளிதில் உடைந்துவிடும் மற்றும் மேற்புறத்தின் கீழே ஒரு தெளிவற்ற வளையத்தைக் கொண்டுள்ளது.")</f>
        <v>ஒரு பெரிய பூஞ்சை மூலிகை, குடை போன்றது, விஷமற்ற வகை, இது காய்கறியாகப் பயன்படுத்தப்படுகிறது. தண்டு வெண்மையானது, குட்டையானது மற்றும் ஏரென்கிமாவால் நிரப்பப்பட்டது, மேல் பகுதியில் ஒரு தொப்பி உள்ளது மற்றும் உள்ளே செவுள்கள் உள்ளன. இந்த உண்ணக்கூடிய வகை உடையக்கூடியது மற்றும் எளிதில் உடைந்துவிடும் மற்றும் மேற்புறத்தின் கீழே ஒரு தெளிவற்ற வளையத்தைக் கொண்டுள்ளது.</v>
      </c>
      <c r="R22" s="3" t="s">
        <v>298</v>
      </c>
      <c r="S22" s="3" t="str">
        <f ca="1">IFERROR(__xludf.DUMMYFUNCTION("GOOGLETRANSLATE(T22,""en"",""ta"")"),"#VALUE!")</f>
        <v>#VALUE!</v>
      </c>
      <c r="T22" s="3"/>
      <c r="U22" s="3" t="str">
        <f ca="1">IFERROR(__xludf.DUMMYFUNCTION("GOOGLETRANSLATE(V22,""en"",""ta"")"),"#VALUE!")</f>
        <v>#VALUE!</v>
      </c>
      <c r="V22" s="3"/>
      <c r="W22" s="3" t="str">
        <f ca="1">IFERROR(__xludf.DUMMYFUNCTION("GOOGLETRANSLATE(X22,""en"",""ta"")"),"#VALUE!")</f>
        <v>#VALUE!</v>
      </c>
      <c r="X22" s="3"/>
      <c r="Y22" s="3" t="str">
        <f ca="1">IFERROR(__xludf.DUMMYFUNCTION("GOOGLETRANSLATE(Z22,""en"",""ta"")"),"#VALUE!")</f>
        <v>#VALUE!</v>
      </c>
      <c r="Z22" s="3"/>
      <c r="AA22" s="3" t="str">
        <f ca="1">IFERROR(__xludf.DUMMYFUNCTION("GOOGLETRANSLATE(AB22,""en"",""ta"")"),"#VALUE!")</f>
        <v>#VALUE!</v>
      </c>
      <c r="AB22" s="3"/>
      <c r="AC22" s="3" t="str">
        <f ca="1">IFERROR(__xludf.DUMMYFUNCTION("GOOGLETRANSLATE(AD22,""en"",""ta"")"),"#VALUE!")</f>
        <v>#VALUE!</v>
      </c>
      <c r="AD22" s="3"/>
      <c r="AE22" s="3" t="str">
        <f ca="1">IFERROR(__xludf.DUMMYFUNCTION("GOOGLETRANSLATE(AF22,""en"",""ta"")"),"#VALUE!")</f>
        <v>#VALUE!</v>
      </c>
      <c r="AF22" s="3"/>
      <c r="AG22" s="3" t="str">
        <f ca="1">IFERROR(__xludf.DUMMYFUNCTION("GOOGLETRANSLATE(AH22,""en"",""ta"")"),"#VALUE!")</f>
        <v>#VALUE!</v>
      </c>
      <c r="AH22" s="3"/>
      <c r="AI22" s="3" t="str">
        <f ca="1">IFERROR(__xludf.DUMMYFUNCTION("GOOGLETRANSLATE(AJ22,""en"",""ta"")"),"#VALUE!")</f>
        <v>#VALUE!</v>
      </c>
      <c r="AJ22" s="3"/>
      <c r="AK22" s="3" t="str">
        <f ca="1">IFERROR(__xludf.DUMMYFUNCTION("GOOGLETRANSLATE(AL22,""en"",""ta"")"),"#VALUE!")</f>
        <v>#VALUE!</v>
      </c>
      <c r="AL22" s="3"/>
      <c r="AM22" s="3" t="str">
        <f ca="1">IFERROR(__xludf.DUMMYFUNCTION("GOOGLETRANSLATE(AN22,""en"",""ta"")"),"#VALUE!")</f>
        <v>#VALUE!</v>
      </c>
      <c r="AN22" s="3"/>
      <c r="AO22" s="3" t="str">
        <f ca="1">IFERROR(__xludf.DUMMYFUNCTION("GOOGLETRANSLATE(AP22,""en"",""ta"")"),"#VALUE!")</f>
        <v>#VALUE!</v>
      </c>
      <c r="AP22" s="3"/>
      <c r="AQ22" s="3"/>
      <c r="AR22" s="3" t="str">
        <f ca="1">IFERROR(__xludf.DUMMYFUNCTION("GOOGLETRANSLATE(AS22,""en"",""ta"")"),"மலமிளக்கி, பாலுணர்வூக்கி, டானிக்")</f>
        <v>மலமிளக்கி, பாலுணர்வூக்கி, டானிக்</v>
      </c>
      <c r="AS22" s="3" t="s">
        <v>299</v>
      </c>
      <c r="AT22" s="3" t="str">
        <f ca="1">IFERROR(__xludf.DUMMYFUNCTION("GOOGLETRANSLATE(AU22,""en"",""ta"")"),"அகாரிக் அமிலம், பூஞ்சை அமிலம், லார்சிக் அமிலம்")</f>
        <v>அகாரிக் அமிலம், பூஞ்சை அமிலம், லார்சிக் அமிலம்</v>
      </c>
      <c r="AU22" s="3" t="s">
        <v>300</v>
      </c>
      <c r="AV22" s="3"/>
      <c r="AW22" s="3" t="str">
        <f ca="1">IFERROR(__xludf.DUMMYFUNCTION("GOOGLETRANSLATE(AX22,""en"",""ta"")"),"இதன் அதிக புரதச் சத்துக்காக இது சமைக்கப்பட்டு உண்ணப்படுகிறது. மேலும், இதன் மலமிளக்கி பண்புக்காகவும் இது அதிக அளவில் உட்கொள்ளப்படுகிறது.")</f>
        <v>இதன் அதிக புரதச் சத்துக்காக இது சமைக்கப்பட்டு உண்ணப்படுகிறது. மேலும், இதன் மலமிளக்கி பண்புக்காகவும் இது அதிக அளவில் உட்கொள்ளப்படுகிறது.</v>
      </c>
      <c r="AX22" s="3" t="s">
        <v>301</v>
      </c>
      <c r="AY22" s="3"/>
      <c r="AZ22" s="3"/>
      <c r="BA22" s="3"/>
      <c r="BB22" s="3"/>
      <c r="BC22" s="3"/>
      <c r="BD22" s="3"/>
      <c r="BE22" s="3"/>
      <c r="BF22" s="3"/>
    </row>
    <row r="23" spans="1:58" ht="15.75" customHeight="1" x14ac:dyDescent="0.15">
      <c r="A23" s="3">
        <v>22</v>
      </c>
      <c r="B23" s="3" t="str">
        <f ca="1">IFERROR(__xludf.DUMMYFUNCTION("GOOGLETRANSLATE(C23,""en"",""ta"")"),"அகேவ் அமெரிக்கானா")</f>
        <v>அகேவ் அமெரிக்கானா</v>
      </c>
      <c r="C23" s="3" t="s">
        <v>302</v>
      </c>
      <c r="D23" s="3" t="str">
        <f ca="1">IFERROR(__xludf.DUMMYFUNCTION("GOOGLETRANSLATE(E23,""en"",""ta"")"),"காலா காந்தலா")</f>
        <v>காலா காந்தலா</v>
      </c>
      <c r="E23" s="3" t="s">
        <v>303</v>
      </c>
      <c r="F23" s="3" t="str">
        <f ca="1">IFERROR(__xludf.DUMMYFUNCTION("GOOGLETRANSLATE(G23,""en"",""ta"")"),"அனாய் கதழாய்")</f>
        <v>அனாய் கதழாய்</v>
      </c>
      <c r="G23" s="3" t="s">
        <v>304</v>
      </c>
      <c r="H23" s="3" t="str">
        <f ca="1">IFERROR(__xludf.DUMMYFUNCTION("GOOGLETRANSLATE(I23,""en"",""ta"")"),"அமெரிக்க கற்றாழை")</f>
        <v>அமெரிக்க கற்றாழை</v>
      </c>
      <c r="I23" s="3" t="s">
        <v>305</v>
      </c>
      <c r="J23" s="3" t="str">
        <f ca="1">IFERROR(__xludf.DUMMYFUNCTION("GOOGLETRANSLATE(K23,""en"",""ta"")"),"கிட்டானாரி")</f>
        <v>கிட்டானாரி</v>
      </c>
      <c r="K23" s="3" t="s">
        <v>306</v>
      </c>
      <c r="L23" s="3" t="str">
        <f ca="1">IFERROR(__xludf.DUMMYFUNCTION("GOOGLETRANSLATE(M23,""en"",""ta"")"),"பனம் - கட்டழா")</f>
        <v>பனம் - கட்டழா</v>
      </c>
      <c r="M23" s="3" t="s">
        <v>307</v>
      </c>
      <c r="N23" s="3" t="str">
        <f ca="1">IFERROR(__xludf.DUMMYFUNCTION("GOOGLETRANSLATE(O23,""en"",""ta"")"),"பரகான்வார்")</f>
        <v>பரகான்வார்</v>
      </c>
      <c r="O23" s="3" t="s">
        <v>308</v>
      </c>
      <c r="P23" s="3"/>
      <c r="Q23" s="3" t="str">
        <f ca="1">IFERROR(__xludf.DUMMYFUNCTION("GOOGLETRANSLATE(R23,""en"",""ta"")"),"இது ஒரு வற்றாத புதர், மோனோகோட்டிலிடன் வகையைச் சேர்ந்தது. இதன் தண்டு தரை மட்டத்திலிருந்து மிகக் குறுகியது மற்றும் பல ரிப்பன் போன்ற சதைப்பற்றுள்ள இலைகள் ஒவ்வொரு சுருக்கப்பட்ட முனைகளிலிருந்தும் வளைந்த விளிம்பு முதுகெலும்புகளுடன், இணையான நரம்பு அமைப்புடன் உரு"&amp;"வாகின்றன. மஞ்சரி மைய அச்சிலிருந்து உருவாகிறது, பூக்கள் ஒரு பிரம்மாண்டமான, மரத்தாலான ஸ்கேப்பில் பேனிகல் போல இருக்கும். பழங்கள் லோகுலிசிடல் காப்ஸ்யூல்.")</f>
        <v>இது ஒரு வற்றாத புதர், மோனோகோட்டிலிடன் வகையைச் சேர்ந்தது. இதன் தண்டு தரை மட்டத்திலிருந்து மிகக் குறுகியது மற்றும் பல ரிப்பன் போன்ற சதைப்பற்றுள்ள இலைகள் ஒவ்வொரு சுருக்கப்பட்ட முனைகளிலிருந்தும் வளைந்த விளிம்பு முதுகெலும்புகளுடன், இணையான நரம்பு அமைப்புடன் உருவாகின்றன. மஞ்சரி மைய அச்சிலிருந்து உருவாகிறது, பூக்கள் ஒரு பிரம்மாண்டமான, மரத்தாலான ஸ்கேப்பில் பேனிகல் போல இருக்கும். பழங்கள் லோகுலிசிடல் காப்ஸ்யூல்.</v>
      </c>
      <c r="R23" s="3" t="s">
        <v>309</v>
      </c>
      <c r="S23" s="3" t="str">
        <f ca="1">IFERROR(__xludf.DUMMYFUNCTION("GOOGLETRANSLATE(T23,""en"",""ta"")"),"சிபிலிடிக் புகார்கள்")</f>
        <v>சிபிலிடிக் புகார்கள்</v>
      </c>
      <c r="T23" s="3" t="s">
        <v>310</v>
      </c>
      <c r="U23" s="3" t="str">
        <f ca="1">IFERROR(__xludf.DUMMYFUNCTION("GOOGLETRANSLATE(V23,""en"",""ta"")"),"இல்லை")</f>
        <v>இல்லை</v>
      </c>
      <c r="V23" s="3" t="s">
        <v>46</v>
      </c>
      <c r="W23" s="3" t="str">
        <f ca="1">IFERROR(__xludf.DUMMYFUNCTION("GOOGLETRANSLATE(X23,""en"",""ta"")"),"சிபிலிஸ், ஸ்கர்வி, புற்றுநோய் மற்றும் கோனோரியா")</f>
        <v>சிபிலிஸ், ஸ்கர்வி, புற்றுநோய் மற்றும் கோனோரியா</v>
      </c>
      <c r="X23" s="3" t="s">
        <v>311</v>
      </c>
      <c r="Y23" s="3" t="str">
        <f ca="1">IFERROR(__xludf.DUMMYFUNCTION("GOOGLETRANSLATE(Z23,""en"",""ta"")"),"இல்லை")</f>
        <v>இல்லை</v>
      </c>
      <c r="Z23" s="3" t="s">
        <v>46</v>
      </c>
      <c r="AA23" s="3" t="str">
        <f ca="1">IFERROR(__xludf.DUMMYFUNCTION("GOOGLETRANSLATE(AB23,""en"",""ta"")"),"இல்லை")</f>
        <v>இல்லை</v>
      </c>
      <c r="AB23" s="3" t="s">
        <v>46</v>
      </c>
      <c r="AC23" s="3" t="str">
        <f ca="1">IFERROR(__xludf.DUMMYFUNCTION("GOOGLETRANSLATE(AD23,""en"",""ta"")"),"பல் வலி")</f>
        <v>பல் வலி</v>
      </c>
      <c r="AD23" s="3" t="s">
        <v>312</v>
      </c>
      <c r="AE23" s="3" t="str">
        <f ca="1">IFERROR(__xludf.DUMMYFUNCTION("GOOGLETRANSLATE(AF23,""en"",""ta"")"),"இல்லை")</f>
        <v>இல்லை</v>
      </c>
      <c r="AF23" s="3" t="s">
        <v>46</v>
      </c>
      <c r="AG23" s="3" t="str">
        <f ca="1">IFERROR(__xludf.DUMMYFUNCTION("GOOGLETRANSLATE(AH23,""en"",""ta"")"),"இல்லை")</f>
        <v>இல்லை</v>
      </c>
      <c r="AH23" s="3" t="s">
        <v>46</v>
      </c>
      <c r="AI23" s="3" t="str">
        <f ca="1">IFERROR(__xludf.DUMMYFUNCTION("GOOGLETRANSLATE(AJ23,""en"",""ta"")"),"இல்லை")</f>
        <v>இல்லை</v>
      </c>
      <c r="AJ23" s="3" t="s">
        <v>46</v>
      </c>
      <c r="AK23" s="3" t="str">
        <f ca="1">IFERROR(__xludf.DUMMYFUNCTION("GOOGLETRANSLATE(AL23,""en"",""ta"")"),"இல்லை")</f>
        <v>இல்லை</v>
      </c>
      <c r="AL23" s="3" t="s">
        <v>46</v>
      </c>
      <c r="AM23" s="3" t="str">
        <f ca="1">IFERROR(__xludf.DUMMYFUNCTION("GOOGLETRANSLATE(AN23,""en"",""ta"")"),"இல்லை")</f>
        <v>இல்லை</v>
      </c>
      <c r="AN23" s="3" t="s">
        <v>46</v>
      </c>
      <c r="AO23" s="3" t="str">
        <f ca="1">IFERROR(__xludf.DUMMYFUNCTION("GOOGLETRANSLATE(AP23,""en"",""ta"")"),"#VALUE!")</f>
        <v>#VALUE!</v>
      </c>
      <c r="AP23" s="3"/>
      <c r="AQ23" s="3"/>
      <c r="AR23" s="3" t="str">
        <f ca="1">IFERROR(__xludf.DUMMYFUNCTION("GOOGLETRANSLATE(AS23,""en"",""ta"")"),"டையூரிடிக், ஆன்டிசிபிலிடிக், மலமிளக்கி, எம்மெனாகோக், கரைப்பான் மற்றும் ஆன்டிஸ்கார்ப்யூடிக்")</f>
        <v>டையூரிடிக், ஆன்டிசிபிலிடிக், மலமிளக்கி, எம்மெனாகோக், கரைப்பான் மற்றும் ஆன்டிஸ்கார்ப்யூடிக்</v>
      </c>
      <c r="AS23" s="3" t="s">
        <v>313</v>
      </c>
      <c r="AT23" s="3" t="str">
        <f ca="1">IFERROR(__xludf.DUMMYFUNCTION("GOOGLETRANSLATE(AU23,""en"",""ta"")"),"ஏ, பி, சி, டி, ஈ, எஃப், ஜி, எச், ஐ, சபோஜெனின்கள், ஹெகோஜெனின், குளோரோஜெனின், நியோடிகோஜெனின், அகவோஸ் மற்றும் சபோனின்கள்.")</f>
        <v>ஏ, பி, சி, டி, ஈ, எஃப், ஜி, எச், ஐ, சபோஜெனின்கள், ஹெகோஜெனின், குளோரோஜெனின், நியோடிகோஜெனின், அகவோஸ் மற்றும் சபோனின்கள்.</v>
      </c>
      <c r="AU23" s="3" t="s">
        <v>314</v>
      </c>
      <c r="AV23" s="3"/>
      <c r="AW23" s="3" t="str">
        <f ca="1">IFERROR(__xludf.DUMMYFUNCTION("GOOGLETRANSLATE(AX23,""en"",""ta"")"),"கோனோரியாவுக்கு சர்க்கரையுடன் கலந்த இலைக் கூழ் உட்புறமாக வழங்கப்படுகிறது. இலைகளை வெட்டும்போது கிடைக்கும் சாறு.")</f>
        <v>கோனோரியாவுக்கு சர்க்கரையுடன் கலந்த இலைக் கூழ் உட்புறமாக வழங்கப்படுகிறது. இலைகளை வெட்டும்போது கிடைக்கும் சாறு.</v>
      </c>
      <c r="AX23" s="3" t="s">
        <v>315</v>
      </c>
      <c r="AY23" s="3"/>
      <c r="AZ23" s="3"/>
      <c r="BA23" s="3"/>
      <c r="BB23" s="3"/>
      <c r="BC23" s="3"/>
      <c r="BD23" s="3"/>
      <c r="BE23" s="3"/>
      <c r="BF23" s="3"/>
    </row>
    <row r="24" spans="1:58" ht="15.75" customHeight="1" x14ac:dyDescent="0.15">
      <c r="A24" s="3">
        <v>23</v>
      </c>
      <c r="B24" s="3" t="str">
        <f ca="1">IFERROR(__xludf.DUMMYFUNCTION("GOOGLETRANSLATE(C24,""en"",""ta"")"),"ஐலாந்தஸ் எக்செல்சா")</f>
        <v>ஐலாந்தஸ் எக்செல்சா</v>
      </c>
      <c r="C24" s="3" t="s">
        <v>316</v>
      </c>
      <c r="D24" s="3" t="str">
        <f ca="1">IFERROR(__xludf.DUMMYFUNCTION("GOOGLETRANSLATE(E24,""en"",""ta"")"),"மதுல அரலு")</f>
        <v>மதுல அரலு</v>
      </c>
      <c r="E24" s="3" t="s">
        <v>317</v>
      </c>
      <c r="F24" s="3" t="str">
        <f ca="1">IFERROR(__xludf.DUMMYFUNCTION("GOOGLETRANSLATE(G24,""en"",""ta"")"),"பெருமருது")</f>
        <v>பெருமருது</v>
      </c>
      <c r="G24" s="3" t="s">
        <v>318</v>
      </c>
      <c r="H24" s="3" t="str">
        <f ca="1">IFERROR(__xludf.DUMMYFUNCTION("GOOGLETRANSLATE(I24,""en"",""ta"")"),"சொர்க்க மரம்")</f>
        <v>சொர்க்க மரம்</v>
      </c>
      <c r="I24" s="3" t="s">
        <v>319</v>
      </c>
      <c r="J24" s="3" t="str">
        <f ca="1">IFERROR(__xludf.DUMMYFUNCTION("GOOGLETRANSLATE(K24,""en"",""ta"")"),"பெத்தமனு")</f>
        <v>பெத்தமனு</v>
      </c>
      <c r="K24" s="3" t="s">
        <v>320</v>
      </c>
      <c r="L24" s="3" t="str">
        <f ca="1">IFERROR(__xludf.DUMMYFUNCTION("GOOGLETRANSLATE(M24,""en"",""ta"")"),"பெருமாரம்")</f>
        <v>பெருமாரம்</v>
      </c>
      <c r="M24" s="3" t="s">
        <v>321</v>
      </c>
      <c r="N24" s="3" t="str">
        <f ca="1">IFERROR(__xludf.DUMMYFUNCTION("GOOGLETRANSLATE(O24,""en"",""ta"")"),"மகாநிம்ப்")</f>
        <v>மகாநிம்ப்</v>
      </c>
      <c r="O24" s="3" t="s">
        <v>322</v>
      </c>
      <c r="P24" s="3"/>
      <c r="Q24" s="3" t="str">
        <f ca="1">IFERROR(__xludf.DUMMYFUNCTION("GOOGLETRANSLATE(R24,""en"",""ta"")"),"மிகப் பெரிய இலையுதிர் மரம், பட்டை வெளிர் சாம்பல் நிறத்தில் இருக்கும். இலைகள் மாறி மாறி காணப்படும், ஒற்றை சிறகு வடிவானது மற்றும் மஞ்சள் நிறமானது, சிற்றிலைகள் கரடுமுரடான பற்களுடையவை மற்றும் இளம் வயதில் உரோமங்களுடையவை. பூக்கள் சிறிய பலதார மணம் கொண்டவை, முனைய"&amp;"ப் பேனிக்கிள்களில் இருக்கும். பெரிய சவ்வு போன்ற இறக்கைகளுடன் ஒரு விதை சமாரா பழங்கள்.")</f>
        <v>மிகப் பெரிய இலையுதிர் மரம், பட்டை வெளிர் சாம்பல் நிறத்தில் இருக்கும். இலைகள் மாறி மாறி காணப்படும், ஒற்றை சிறகு வடிவானது மற்றும் மஞ்சள் நிறமானது, சிற்றிலைகள் கரடுமுரடான பற்களுடையவை மற்றும் இளம் வயதில் உரோமங்களுடையவை. பூக்கள் சிறிய பலதார மணம் கொண்டவை, முனையப் பேனிக்கிள்களில் இருக்கும். பெரிய சவ்வு போன்ற இறக்கைகளுடன் ஒரு விதை சமாரா பழங்கள்.</v>
      </c>
      <c r="R24" s="3" t="s">
        <v>323</v>
      </c>
      <c r="S24" s="3" t="str">
        <f ca="1">IFERROR(__xludf.DUMMYFUNCTION("GOOGLETRANSLATE(T24,""en"",""ta"")"),"இல்லை")</f>
        <v>இல்லை</v>
      </c>
      <c r="T24" s="3" t="s">
        <v>46</v>
      </c>
      <c r="U24" s="3" t="str">
        <f ca="1">IFERROR(__xludf.DUMMYFUNCTION("GOOGLETRANSLATE(V24,""en"",""ta"")"),"இல்லை")</f>
        <v>இல்லை</v>
      </c>
      <c r="V24" s="3" t="s">
        <v>46</v>
      </c>
      <c r="W24" s="3" t="str">
        <f ca="1">IFERROR(__xludf.DUMMYFUNCTION("GOOGLETRANSLATE(X24,""en"",""ta"")"),"டிஸ்ஸ்பெசியா, மூச்சுக்குழாய் அழற்சி மற்றும் ஆஸ்துமா")</f>
        <v>டிஸ்ஸ்பெசியா, மூச்சுக்குழாய் அழற்சி மற்றும் ஆஸ்துமா</v>
      </c>
      <c r="X24" s="3" t="s">
        <v>324</v>
      </c>
      <c r="Y24" s="3" t="str">
        <f ca="1">IFERROR(__xludf.DUMMYFUNCTION("GOOGLETRANSLATE(Z24,""en"",""ta"")"),"இல்லை")</f>
        <v>இல்லை</v>
      </c>
      <c r="Z24" s="3" t="s">
        <v>46</v>
      </c>
      <c r="AA24" s="3" t="str">
        <f ca="1">IFERROR(__xludf.DUMMYFUNCTION("GOOGLETRANSLATE(AB24,""en"",""ta"")"),"குமட்டல், வாந்தி, மலம் கழித்தல் மற்றும் பலவீனம்.")</f>
        <v>குமட்டல், வாந்தி, மலம் கழித்தல் மற்றும் பலவீனம்.</v>
      </c>
      <c r="AB24" s="3" t="s">
        <v>325</v>
      </c>
      <c r="AC24" s="3" t="str">
        <f ca="1">IFERROR(__xludf.DUMMYFUNCTION("GOOGLETRANSLATE(AD24,""en"",""ta"")"),"இல்லை")</f>
        <v>இல்லை</v>
      </c>
      <c r="AD24" s="3" t="s">
        <v>46</v>
      </c>
      <c r="AE24" s="3" t="str">
        <f ca="1">IFERROR(__xludf.DUMMYFUNCTION("GOOGLETRANSLATE(AF24,""en"",""ta"")"),"இல்லை")</f>
        <v>இல்லை</v>
      </c>
      <c r="AF24" s="3" t="s">
        <v>46</v>
      </c>
      <c r="AG24" s="3" t="str">
        <f ca="1">IFERROR(__xludf.DUMMYFUNCTION("GOOGLETRANSLATE(AH24,""en"",""ta"")"),"இல்லை")</f>
        <v>இல்லை</v>
      </c>
      <c r="AH24" s="3" t="s">
        <v>46</v>
      </c>
      <c r="AI24" s="3" t="str">
        <f ca="1">IFERROR(__xludf.DUMMYFUNCTION("GOOGLETRANSLATE(AJ24,""en"",""ta"")"),"இல்லை")</f>
        <v>இல்லை</v>
      </c>
      <c r="AJ24" s="3" t="s">
        <v>46</v>
      </c>
      <c r="AK24" s="3" t="str">
        <f ca="1">IFERROR(__xludf.DUMMYFUNCTION("GOOGLETRANSLATE(AL24,""en"",""ta"")"),"இல்லை")</f>
        <v>இல்லை</v>
      </c>
      <c r="AL24" s="3" t="s">
        <v>46</v>
      </c>
      <c r="AM24" s="3" t="str">
        <f ca="1">IFERROR(__xludf.DUMMYFUNCTION("GOOGLETRANSLATE(AN24,""en"",""ta"")"),"இல்லை")</f>
        <v>இல்லை</v>
      </c>
      <c r="AN24" s="3" t="s">
        <v>46</v>
      </c>
      <c r="AO24" s="3" t="str">
        <f ca="1">IFERROR(__xludf.DUMMYFUNCTION("GOOGLETRANSLATE(AP24,""en"",""ta"")"),"#VALUE!")</f>
        <v>#VALUE!</v>
      </c>
      <c r="AP24" s="3"/>
      <c r="AQ24" s="3"/>
      <c r="AR24" s="3" t="str">
        <f ca="1">IFERROR(__xludf.DUMMYFUNCTION("GOOGLETRANSLATE(AS24,""en"",""ta"")"),"கசப்பு, டானிக், கார்மினேட்டிவ், ஃபெப்ரிஃபியூஜ், எக்ஸ்பெக்டோரண்ட் மற்றும் ஆண்டிஸ்பாஸ்மோடிக்")</f>
        <v>கசப்பு, டானிக், கார்மினேட்டிவ், ஃபெப்ரிஃபியூஜ், எக்ஸ்பெக்டோரண்ட் மற்றும் ஆண்டிஸ்பாஸ்மோடிக்</v>
      </c>
      <c r="AS24" s="3" t="s">
        <v>326</v>
      </c>
      <c r="AT24" s="3" t="str">
        <f ca="1">IFERROR(__xludf.DUMMYFUNCTION("GOOGLETRANSLATE(AU24,""en"",""ta"")"),"ஹெக்ஸாட்ரியாகோடேன், மலாந்தின், ட்ரைகோன்டேன், பி-சிட்டோஸ்டெரால், ஐலான்டிக் அமிலம், குவாசினாய்டுகள், குவாசின், கேம்ப்ஃபெரால் மற்றும் குவர்செடின்.")</f>
        <v>ஹெக்ஸாட்ரியாகோடேன், மலாந்தின், ட்ரைகோன்டேன், பி-சிட்டோஸ்டெரால், ஐலான்டிக் அமிலம், குவாசினாய்டுகள், குவாசின், கேம்ப்ஃபெரால் மற்றும் குவர்செடின்.</v>
      </c>
      <c r="AU24" s="3" t="s">
        <v>327</v>
      </c>
      <c r="AV24" s="3"/>
      <c r="AW24" s="3" t="str">
        <f ca="1">IFERROR(__xludf.DUMMYFUNCTION("GOOGLETRANSLATE(AX24,""en"",""ta"")"),"இலைச் சாறு மூச்சுக்குழாய் அழற்சி மற்றும் ஆஸ்துமாவுக்கு பயனுள்ளதாக இருக்கும். பட்டை மற்றும் இலைகளில் கஷாயம் குழந்தை பிறப்புக்குப் பிறகு ஏற்படும் பலவீனத்திற்கு டானிக் என்று கூறப்படுகிறது.")</f>
        <v>இலைச் சாறு மூச்சுக்குழாய் அழற்சி மற்றும் ஆஸ்துமாவுக்கு பயனுள்ளதாக இருக்கும். பட்டை மற்றும் இலைகளில் கஷாயம் குழந்தை பிறப்புக்குப் பிறகு ஏற்படும் பலவீனத்திற்கு டானிக் என்று கூறப்படுகிறது.</v>
      </c>
      <c r="AX24" s="3" t="s">
        <v>328</v>
      </c>
      <c r="AY24" s="3"/>
      <c r="AZ24" s="3"/>
      <c r="BA24" s="3"/>
      <c r="BB24" s="3"/>
      <c r="BC24" s="3"/>
      <c r="BD24" s="3"/>
      <c r="BE24" s="3"/>
      <c r="BF24" s="3"/>
    </row>
    <row r="25" spans="1:58" ht="15.75" customHeight="1" x14ac:dyDescent="0.15">
      <c r="A25" s="3">
        <v>24</v>
      </c>
      <c r="B25" s="3" t="str">
        <f ca="1">IFERROR(__xludf.DUMMYFUNCTION("GOOGLETRANSLATE(C25,""en"",""ta"")"),"அலங்கியம் சால்விஃபோலியம்")</f>
        <v>அலங்கியம் சால்விஃபோலியம்</v>
      </c>
      <c r="C25" s="3" t="s">
        <v>329</v>
      </c>
      <c r="D25" s="3" t="str">
        <f ca="1">IFERROR(__xludf.DUMMYFUNCTION("GOOGLETRANSLATE(E25,""en"",""ta"")"),"அங்கோலா")</f>
        <v>அங்கோலா</v>
      </c>
      <c r="E25" s="3" t="s">
        <v>330</v>
      </c>
      <c r="F25" s="3" t="str">
        <f ca="1">IFERROR(__xludf.DUMMYFUNCTION("GOOGLETRANSLATE(G25,""en"",""ta"")"),"அழிங்கில்")</f>
        <v>அழிங்கில்</v>
      </c>
      <c r="G25" s="3" t="s">
        <v>331</v>
      </c>
      <c r="H25" s="3" t="str">
        <f ca="1">IFERROR(__xludf.DUMMYFUNCTION("GOOGLETRANSLATE(I25,""en"",""ta"")"),"முனிவர் இலைகள் கொண்ட அலஞ்சியம்")</f>
        <v>முனிவர் இலைகள் கொண்ட அலஞ்சியம்</v>
      </c>
      <c r="I25" s="3" t="s">
        <v>332</v>
      </c>
      <c r="J25" s="3" t="str">
        <f ca="1">IFERROR(__xludf.DUMMYFUNCTION("GOOGLETRANSLATE(K25,""en"",""ta"")"),"அங்கோலமு")</f>
        <v>அங்கோலமு</v>
      </c>
      <c r="K25" s="3" t="s">
        <v>333</v>
      </c>
      <c r="L25" s="3" t="str">
        <f ca="1">IFERROR(__xludf.DUMMYFUNCTION("GOOGLETRANSLATE(M25,""en"",""ta"")"),"அங்கோலம்")</f>
        <v>அங்கோலம்</v>
      </c>
      <c r="M25" s="3" t="s">
        <v>334</v>
      </c>
      <c r="N25" s="3" t="str">
        <f ca="1">IFERROR(__xludf.DUMMYFUNCTION("GOOGLETRANSLATE(O25,""en"",""ta"")"),"அன்கோல்")</f>
        <v>அன்கோல்</v>
      </c>
      <c r="O25" s="3" t="s">
        <v>335</v>
      </c>
      <c r="P25" s="3"/>
      <c r="Q25" s="3" t="str">
        <f ca="1">IFERROR(__xludf.DUMMYFUNCTION("GOOGLETRANSLATE(R25,""en"",""ta"")"),"வெள்ளை நிற கிளைகள், பட்டை வெளிர் பழுப்பு மற்றும் நறுமணம் கொண்ட இலையுதிர் மரம். இலைகள் எளிமையானவை, மாற்று வடிவிலானவை, மாறுபடும் வடிவத்தில், நீள்வட்டமாகவோ அல்லது நீள்வட்டமாகவோ நீண்ட இலைக்காம்புடன் இருக்கும். பூக்கள் வெள்ளை நிறத்தில், இலைக்கோணங்களில் மணம் கொ"&amp;"ண்டவை. பழங்கள் ட்ரூப், நீள்வட்ட வடிவிலானவை, இளஞ்சிவப்பு நிறத்தில் மற்றும் நிலையான புல்லிவட்டத்தால் முடிசூட்டப்பட்டவை. விதைகள் பெரியவை.")</f>
        <v>வெள்ளை நிற கிளைகள், பட்டை வெளிர் பழுப்பு மற்றும் நறுமணம் கொண்ட இலையுதிர் மரம். இலைகள் எளிமையானவை, மாற்று வடிவிலானவை, மாறுபடும் வடிவத்தில், நீள்வட்டமாகவோ அல்லது நீள்வட்டமாகவோ நீண்ட இலைக்காம்புடன் இருக்கும். பூக்கள் வெள்ளை நிறத்தில், இலைக்கோணங்களில் மணம் கொண்டவை. பழங்கள் ட்ரூப், நீள்வட்ட வடிவிலானவை, இளஞ்சிவப்பு நிறத்தில் மற்றும் நிலையான புல்லிவட்டத்தால் முடிசூட்டப்பட்டவை. விதைகள் பெரியவை.</v>
      </c>
      <c r="R25" s="3" t="s">
        <v>336</v>
      </c>
      <c r="S25" s="3" t="str">
        <f ca="1">IFERROR(__xludf.DUMMYFUNCTION("GOOGLETRANSLATE(T25,""en"",""ta"")"),"நாய் கடி, புழுக்கள், வயிற்று வலி மற்றும் வீக்கம், பல விஷங்களுக்கு மருந்தாக, வயிற்றுப்போக்கு, தொழுநோய், சிபிலிஸ் மற்றும் தோல் நோய்கள்.")</f>
        <v>நாய் கடி, புழுக்கள், வயிற்று வலி மற்றும் வீக்கம், பல விஷங்களுக்கு மருந்தாக, வயிற்றுப்போக்கு, தொழுநோய், சிபிலிஸ் மற்றும் தோல் நோய்கள்.</v>
      </c>
      <c r="T25" s="3" t="s">
        <v>337</v>
      </c>
      <c r="U25" s="3" t="str">
        <f ca="1">IFERROR(__xludf.DUMMYFUNCTION("GOOGLETRANSLATE(V25,""en"",""ta"")"),"இல்லை")</f>
        <v>இல்லை</v>
      </c>
      <c r="V25" s="3" t="s">
        <v>46</v>
      </c>
      <c r="W25" s="3" t="str">
        <f ca="1">IFERROR(__xludf.DUMMYFUNCTION("GOOGLETRANSLATE(X25,""en"",""ta"")"),"இல்லை")</f>
        <v>இல்லை</v>
      </c>
      <c r="X25" s="3" t="s">
        <v>46</v>
      </c>
      <c r="Y25" s="3" t="str">
        <f ca="1">IFERROR(__xludf.DUMMYFUNCTION("GOOGLETRANSLATE(Z25,""en"",""ta"")"),"இல்லை")</f>
        <v>இல்லை</v>
      </c>
      <c r="Z25" s="3" t="s">
        <v>46</v>
      </c>
      <c r="AA25" s="3" t="str">
        <f ca="1">IFERROR(__xludf.DUMMYFUNCTION("GOOGLETRANSLATE(AB25,""en"",""ta"")"),"இல்லை")</f>
        <v>இல்லை</v>
      </c>
      <c r="AB25" s="3" t="s">
        <v>46</v>
      </c>
      <c r="AC25" s="3" t="str">
        <f ca="1">IFERROR(__xludf.DUMMYFUNCTION("GOOGLETRANSLATE(AD25,""en"",""ta"")"),"இல்லை")</f>
        <v>இல்லை</v>
      </c>
      <c r="AD25" s="3" t="s">
        <v>46</v>
      </c>
      <c r="AE25" s="3" t="str">
        <f ca="1">IFERROR(__xludf.DUMMYFUNCTION("GOOGLETRANSLATE(AF25,""en"",""ta"")"),"இல்லை")</f>
        <v>இல்லை</v>
      </c>
      <c r="AF25" s="3" t="s">
        <v>46</v>
      </c>
      <c r="AG25" s="3" t="str">
        <f ca="1">IFERROR(__xludf.DUMMYFUNCTION("GOOGLETRANSLATE(AH25,""en"",""ta"")"),"இல்லை")</f>
        <v>இல்லை</v>
      </c>
      <c r="AH25" s="3" t="s">
        <v>46</v>
      </c>
      <c r="AI25" s="3" t="str">
        <f ca="1">IFERROR(__xludf.DUMMYFUNCTION("GOOGLETRANSLATE(AJ25,""en"",""ta"")"),"இல்லை")</f>
        <v>இல்லை</v>
      </c>
      <c r="AJ25" s="3" t="s">
        <v>46</v>
      </c>
      <c r="AK25" s="3" t="str">
        <f ca="1">IFERROR(__xludf.DUMMYFUNCTION("GOOGLETRANSLATE(AL25,""en"",""ta"")"),"இல்லை")</f>
        <v>இல்லை</v>
      </c>
      <c r="AL25" s="3" t="s">
        <v>46</v>
      </c>
      <c r="AM25" s="3" t="str">
        <f ca="1">IFERROR(__xludf.DUMMYFUNCTION("GOOGLETRANSLATE(AN25,""en"",""ta"")"),"தீக்காயங்கள் மற்றும் இரத்தக்கசிவுகள்")</f>
        <v>தீக்காயங்கள் மற்றும் இரத்தக்கசிவுகள்</v>
      </c>
      <c r="AN25" s="3" t="s">
        <v>338</v>
      </c>
      <c r="AO25" s="3" t="str">
        <f ca="1">IFERROR(__xludf.DUMMYFUNCTION("GOOGLETRANSLATE(AP25,""en"",""ta"")"),"#VALUE!")</f>
        <v>#VALUE!</v>
      </c>
      <c r="AP25" s="3"/>
      <c r="AQ25" s="3"/>
      <c r="AR25" s="3" t="str">
        <f ca="1">IFERROR(__xludf.DUMMYFUNCTION("GOOGLETRANSLATE(AS25,""en"",""ta"")"),"புழுக்களிலிருந்து விடுபடும் மருந்து, மலமிளக்கி, குளிர்விக்கும் மருந்து, ஊட்டச்சத்து மருந்து, டானிக் மற்றும் நியோபிளாஸ்டிக் எதிர்ப்பு மருந்து.")</f>
        <v>புழுக்களிலிருந்து விடுபடும் மருந்து, மலமிளக்கி, குளிர்விக்கும் மருந்து, ஊட்டச்சத்து மருந்து, டானிக் மற்றும் நியோபிளாஸ்டிக் எதிர்ப்பு மருந்து.</v>
      </c>
      <c r="AS25" s="3" t="s">
        <v>339</v>
      </c>
      <c r="AT25" s="3" t="str">
        <f ca="1">IFERROR(__xludf.DUMMYFUNCTION("GOOGLETRANSLATE(AU25,""en"",""ta"")"),"அலங்கைன் ஏ, பி, அலங்கினைன், லாமார்க்கினைன், மார்க்கைன், மார்க்கிடைன், டியோக்ஸி டியூபுலோசின், செஃபலைன், சைக்கோட்ரின் மற்றும் லாசினிலீன்")</f>
        <v>அலங்கைன் ஏ, பி, அலங்கினைன், லாமார்க்கினைன், மார்க்கைன், மார்க்கிடைன், டியோக்ஸி டியூபுலோசின், செஃபலைன், சைக்கோட்ரின் மற்றும் லாசினிலீன்</v>
      </c>
      <c r="AU25" s="3" t="s">
        <v>340</v>
      </c>
      <c r="AV25" s="3"/>
      <c r="AW25" s="3" t="str">
        <f ca="1">IFERROR(__xludf.DUMMYFUNCTION("GOOGLETRANSLATE(AX25,""en"",""ta"")"),"கடுமையான வாத நோயில் வேரின் பட்டையின் எண்ணெய் வெளிப்புற பயன்பாட்டிற்கு பயனுள்ளதாக இருக்கும். வயிற்றுப்போக்கிற்கு வேரின் பட்டையை அரிசி நீரில் தடவி தேன் கொடுக்கலாம்.")</f>
        <v>கடுமையான வாத நோயில் வேரின் பட்டையின் எண்ணெய் வெளிப்புற பயன்பாட்டிற்கு பயனுள்ளதாக இருக்கும். வயிற்றுப்போக்கிற்கு வேரின் பட்டையை அரிசி நீரில் தடவி தேன் கொடுக்கலாம்.</v>
      </c>
      <c r="AX25" s="3" t="s">
        <v>341</v>
      </c>
      <c r="AY25" s="3"/>
      <c r="AZ25" s="3"/>
      <c r="BA25" s="3"/>
      <c r="BB25" s="3"/>
      <c r="BC25" s="3"/>
      <c r="BD25" s="3"/>
      <c r="BE25" s="3"/>
      <c r="BF25" s="3"/>
    </row>
    <row r="26" spans="1:58" ht="15.75" customHeight="1" x14ac:dyDescent="0.15">
      <c r="A26" s="3">
        <v>25</v>
      </c>
      <c r="B26" s="3" t="str">
        <f ca="1">IFERROR(__xludf.DUMMYFUNCTION("GOOGLETRANSLATE(C26,""en"",""ta"")"),"அல்பீசியா அமரா")</f>
        <v>அல்பீசியா அமரா</v>
      </c>
      <c r="C26" s="3" t="s">
        <v>342</v>
      </c>
      <c r="D26" s="3" t="str">
        <f ca="1">IFERROR(__xludf.DUMMYFUNCTION("GOOGLETRANSLATE(E26,""en"",""ta"")"),"கிருஷ்ணா சிரிஷ்")</f>
        <v>கிருஷ்ணா சிரிஷ்</v>
      </c>
      <c r="E26" s="3" t="s">
        <v>343</v>
      </c>
      <c r="F26" s="3" t="str">
        <f ca="1">IFERROR(__xludf.DUMMYFUNCTION("GOOGLETRANSLATE(G26,""en"",""ta"")"),"உசில மரம்")</f>
        <v>உசில மரம்</v>
      </c>
      <c r="G26" s="3" t="s">
        <v>344</v>
      </c>
      <c r="H26" s="3" t="str">
        <f ca="1">IFERROR(__xludf.DUMMYFUNCTION("GOOGLETRANSLATE(I26,""en"",""ta"")"),"கசப்பான அல்பீசியா")</f>
        <v>கசப்பான அல்பீசியா</v>
      </c>
      <c r="I26" s="3" t="s">
        <v>345</v>
      </c>
      <c r="J26" s="3" t="str">
        <f ca="1">IFERROR(__xludf.DUMMYFUNCTION("GOOGLETRANSLATE(K26,""en"",""ta"")"),"இல்லை")</f>
        <v>இல்லை</v>
      </c>
      <c r="K26" s="3" t="s">
        <v>46</v>
      </c>
      <c r="L26" s="3" t="str">
        <f ca="1">IFERROR(__xludf.DUMMYFUNCTION("GOOGLETRANSLATE(M26,""en"",""ta"")"),"இல்லை")</f>
        <v>இல்லை</v>
      </c>
      <c r="M26" s="3" t="s">
        <v>46</v>
      </c>
      <c r="N26" s="3" t="str">
        <f ca="1">IFERROR(__xludf.DUMMYFUNCTION("GOOGLETRANSLATE(O26,""en"",""ta"")"),"லுலாய்")</f>
        <v>லுலாய்</v>
      </c>
      <c r="O26" s="3" t="s">
        <v>346</v>
      </c>
      <c r="P26" s="3"/>
      <c r="Q26" s="3" t="str">
        <f ca="1">IFERROR(__xludf.DUMMYFUNCTION("GOOGLETRANSLATE(R26,""en"",""ta"")"),"சிறியது முதல் மிதமான அளவு வரை கிளைத்த இலையுதிர் மரம். பட்டை மென்மையானது, அடர் பச்சை &amp; செதில் போன்ற இலைகள் 6-15 ஜோடி பின்னேக்களில் 15-24 ஜோடி சிறிய, நேரியல் சிற்றிலைகளுடன் கூடியது. மரம் கிட்டத்தட்ட இலைகளற்றதாக இருக்கும்போது பூக்கள் உருவாகின்றன. பூக்கள் காம"&amp;"்புடையவை, மஞ்சள் நிறமானது, 20-20 கோள வடிவ தலைகளில் மணம் கொண்டவை. பழங்கள் 6-8 விதைகளுடன் நீள்வட்ட காய்களாக இருக்கும்.")</f>
        <v>சிறியது முதல் மிதமான அளவு வரை கிளைத்த இலையுதிர் மரம். பட்டை மென்மையானது, அடர் பச்சை &amp; செதில் போன்ற இலைகள் 6-15 ஜோடி பின்னேக்களில் 15-24 ஜோடி சிறிய, நேரியல் சிற்றிலைகளுடன் கூடியது. மரம் கிட்டத்தட்ட இலைகளற்றதாக இருக்கும்போது பூக்கள் உருவாகின்றன. பூக்கள் காம்புடையவை, மஞ்சள் நிறமானது, 20-20 கோள வடிவ தலைகளில் மணம் கொண்டவை. பழங்கள் 6-8 விதைகளுடன் நீள்வட்ட காய்களாக இருக்கும்.</v>
      </c>
      <c r="R26" s="3" t="s">
        <v>347</v>
      </c>
      <c r="S26" s="3" t="str">
        <f ca="1">IFERROR(__xludf.DUMMYFUNCTION("GOOGLETRANSLATE(T26,""en"",""ta"")"),"இல்லை")</f>
        <v>இல்லை</v>
      </c>
      <c r="T26" s="3" t="s">
        <v>46</v>
      </c>
      <c r="U26" s="3" t="str">
        <f ca="1">IFERROR(__xludf.DUMMYFUNCTION("GOOGLETRANSLATE(V26,""en"",""ta"")"),"இல்லை")</f>
        <v>இல்லை</v>
      </c>
      <c r="V26" s="3" t="s">
        <v>46</v>
      </c>
      <c r="W26" s="3" t="str">
        <f ca="1">IFERROR(__xludf.DUMMYFUNCTION("GOOGLETRANSLATE(X26,""en"",""ta"")"),"வயிற்று வலி")</f>
        <v>வயிற்று வலி</v>
      </c>
      <c r="X26" s="3" t="s">
        <v>348</v>
      </c>
      <c r="Y26" s="3" t="str">
        <f ca="1">IFERROR(__xludf.DUMMYFUNCTION("GOOGLETRANSLATE(Z26,""en"",""ta"")"),"இல்லை")</f>
        <v>இல்லை</v>
      </c>
      <c r="Z26" s="3" t="s">
        <v>46</v>
      </c>
      <c r="AA26" s="3" t="str">
        <f ca="1">IFERROR(__xludf.DUMMYFUNCTION("GOOGLETRANSLATE(AB26,""en"",""ta"")"),"இல்லை")</f>
        <v>இல்லை</v>
      </c>
      <c r="AB26" s="3" t="s">
        <v>46</v>
      </c>
      <c r="AC26" s="3" t="str">
        <f ca="1">IFERROR(__xludf.DUMMYFUNCTION("GOOGLETRANSLATE(AD26,""en"",""ta"")"),"இல்லை")</f>
        <v>இல்லை</v>
      </c>
      <c r="AD26" s="3" t="s">
        <v>46</v>
      </c>
      <c r="AE26" s="3" t="str">
        <f ca="1">IFERROR(__xludf.DUMMYFUNCTION("GOOGLETRANSLATE(AF26,""en"",""ta"")"),"இல்லை")</f>
        <v>இல்லை</v>
      </c>
      <c r="AF26" s="3" t="s">
        <v>46</v>
      </c>
      <c r="AG26" s="3" t="str">
        <f ca="1">IFERROR(__xludf.DUMMYFUNCTION("GOOGLETRANSLATE(AH26,""en"",""ta"")"),"இல்லை")</f>
        <v>இல்லை</v>
      </c>
      <c r="AH26" s="3" t="s">
        <v>46</v>
      </c>
      <c r="AI26" s="3" t="str">
        <f ca="1">IFERROR(__xludf.DUMMYFUNCTION("GOOGLETRANSLATE(AJ26,""en"",""ta"")"),"இல்லை")</f>
        <v>இல்லை</v>
      </c>
      <c r="AJ26" s="3" t="s">
        <v>46</v>
      </c>
      <c r="AK26" s="3" t="str">
        <f ca="1">IFERROR(__xludf.DUMMYFUNCTION("GOOGLETRANSLATE(AL26,""en"",""ta"")"),"இல்லை")</f>
        <v>இல்லை</v>
      </c>
      <c r="AL26" s="3" t="s">
        <v>46</v>
      </c>
      <c r="AM26" s="3" t="str">
        <f ca="1">IFERROR(__xludf.DUMMYFUNCTION("GOOGLETRANSLATE(AN26,""en"",""ta"")"),"மலேரியா, இருமல்")</f>
        <v>மலேரியா, இருமல்</v>
      </c>
      <c r="AN26" s="3" t="s">
        <v>349</v>
      </c>
      <c r="AO26" s="3" t="str">
        <f ca="1">IFERROR(__xludf.DUMMYFUNCTION("GOOGLETRANSLATE(AP26,""en"",""ta"")"),"#VALUE!")</f>
        <v>#VALUE!</v>
      </c>
      <c r="AP26" s="3"/>
      <c r="AQ26" s="3"/>
      <c r="AR26" s="3" t="str">
        <f ca="1">IFERROR(__xludf.DUMMYFUNCTION("GOOGLETRANSLATE(AS26,""en"",""ta"")"),"குளிர்பதனப் பொருள், துவர்ப்பு மருந்து, பாக்டீரியா எதிர்ப்பு, அழற்சி எதிர்ப்பு, புற்றுநோய் எதிர்ப்பு, சைட்டோடாக்ஸிக்.")</f>
        <v>குளிர்பதனப் பொருள், துவர்ப்பு மருந்து, பாக்டீரியா எதிர்ப்பு, அழற்சி எதிர்ப்பு, புற்றுநோய் எதிர்ப்பு, சைட்டோடாக்ஸிக்.</v>
      </c>
      <c r="AS26" s="3" t="s">
        <v>350</v>
      </c>
      <c r="AT26" s="3" t="str">
        <f ca="1">IFERROR(__xludf.DUMMYFUNCTION("GOOGLETRANSLATE(AU26,""en"",""ta"")"),"சபோனின்கள், டானின்கள், புட்மன்கியாமைன்கள் A முதல் I வரை, மற்றும் ஈறுகள்.")</f>
        <v>சபோனின்கள், டானின்கள், புட்மன்கியாமைன்கள் A முதல் I வரை, மற்றும் ஈறுகள்.</v>
      </c>
      <c r="AU26" s="3" t="s">
        <v>351</v>
      </c>
      <c r="AV26" s="3"/>
      <c r="AW26" s="3" t="str">
        <f ca="1">IFERROR(__xludf.DUMMYFUNCTION("GOOGLETRANSLATE(AX26,""en"",""ta"")"),"வயிற்று வலிக்கு இலைக் கஷாயம் உட்புறமாகக் கொடுக்கப்படுகிறது. இருமல் மற்றும் மலேரியா காய்ச்சலுக்குப் பழங்களைப் பொடி செய்து உட்புறமாகக் கொடுக்கப்படுகிறது.")</f>
        <v>வயிற்று வலிக்கு இலைக் கஷாயம் உட்புறமாகக் கொடுக்கப்படுகிறது. இருமல் மற்றும் மலேரியா காய்ச்சலுக்குப் பழங்களைப் பொடி செய்து உட்புறமாகக் கொடுக்கப்படுகிறது.</v>
      </c>
      <c r="AX26" s="3" t="s">
        <v>352</v>
      </c>
      <c r="AY26" s="3"/>
      <c r="AZ26" s="3"/>
      <c r="BA26" s="3"/>
      <c r="BB26" s="3"/>
      <c r="BC26" s="3"/>
      <c r="BD26" s="3"/>
      <c r="BE26" s="3"/>
      <c r="BF26" s="3"/>
    </row>
    <row r="27" spans="1:58" ht="15.75" customHeight="1" x14ac:dyDescent="0.15">
      <c r="A27" s="3">
        <v>26</v>
      </c>
      <c r="B27" s="3" t="str">
        <f ca="1">IFERROR(__xludf.DUMMYFUNCTION("GOOGLETRANSLATE(C27,""en"",""ta"")"),"அல்பீசியா லெபெக்")</f>
        <v>அல்பீசியா லெபெக்</v>
      </c>
      <c r="C27" s="3" t="s">
        <v>353</v>
      </c>
      <c r="D27" s="3" t="str">
        <f ca="1">IFERROR(__xludf.DUMMYFUNCTION("GOOGLETRANSLATE(E27,""en"",""ta"")"),"ஷிரிஷா")</f>
        <v>ஷிரிஷா</v>
      </c>
      <c r="E27" s="3" t="s">
        <v>354</v>
      </c>
      <c r="F27" s="3" t="str">
        <f ca="1">IFERROR(__xludf.DUMMYFUNCTION("GOOGLETRANSLATE(G27,""en"",""ta"")"),"கட்டு வாகை")</f>
        <v>கட்டு வாகை</v>
      </c>
      <c r="G27" s="3" t="s">
        <v>355</v>
      </c>
      <c r="H27" s="3" t="str">
        <f ca="1">IFERROR(__xludf.DUMMYFUNCTION("GOOGLETRANSLATE(I27,""en"",""ta"")"),"கிழக்கு இந்திய வால்நட்")</f>
        <v>கிழக்கு இந்திய வால்நட்</v>
      </c>
      <c r="I27" s="3" t="s">
        <v>356</v>
      </c>
      <c r="J27" s="3" t="str">
        <f ca="1">IFERROR(__xludf.DUMMYFUNCTION("GOOGLETRANSLATE(K27,""en"",""ta"")"),"திரிசினம்")</f>
        <v>திரிசினம்</v>
      </c>
      <c r="K27" s="3" t="s">
        <v>357</v>
      </c>
      <c r="L27" s="3" t="str">
        <f ca="1">IFERROR(__xludf.DUMMYFUNCTION("GOOGLETRANSLATE(M27,""en"",""ta"")"),"வாகா")</f>
        <v>வாகா</v>
      </c>
      <c r="M27" s="3" t="s">
        <v>358</v>
      </c>
      <c r="N27" s="3" t="str">
        <f ca="1">IFERROR(__xludf.DUMMYFUNCTION("GOOGLETRANSLATE(O27,""en"",""ta"")"),"சிரிஸ்")</f>
        <v>சிரிஸ்</v>
      </c>
      <c r="O27" s="3" t="s">
        <v>359</v>
      </c>
      <c r="P27" s="3"/>
      <c r="Q27" s="3" t="str">
        <f ca="1">IFERROR(__xludf.DUMMYFUNCTION("GOOGLETRANSLATE(R27,""en"",""ta"")"),"ஒரு பெரிய இலையுதிர் மரம், பட்டை அடர் பழுப்பு முதல் பச்சை நிற கருப்பு நிறத்தில் இருக்கும். இலைகள் இருமுனை வடிவிலானவை, சிற்றிலைகள் துணை காம்பற்றவை, சாய்வாக நீள்வட்ட வடிவிலானவை, நீள்வட்ட வடிவிலானவை அல்லது முட்டை வடிவானவை. பூக்கள் கோள வடிவ தலைகளில் பச்சை மஞ்ச"&amp;"ள் நிறத்தில் இருக்கும். பழங்கள் காய்கள், பட்டா வடிவிலானவை, நீளமான மற்றும் மஞ்சள் நிற பழுப்பு நிறத்தில் இருக்கும். விதைகள் 6-10 எண்ணிக்கையில், வெளிர் பழுப்பு நிறத்தில் இருக்கும்.")</f>
        <v>ஒரு பெரிய இலையுதிர் மரம், பட்டை அடர் பழுப்பு முதல் பச்சை நிற கருப்பு நிறத்தில் இருக்கும். இலைகள் இருமுனை வடிவிலானவை, சிற்றிலைகள் துணை காம்பற்றவை, சாய்வாக நீள்வட்ட வடிவிலானவை, நீள்வட்ட வடிவிலானவை அல்லது முட்டை வடிவானவை. பூக்கள் கோள வடிவ தலைகளில் பச்சை மஞ்சள் நிறத்தில் இருக்கும். பழங்கள் காய்கள், பட்டா வடிவிலானவை, நீளமான மற்றும் மஞ்சள் நிற பழுப்பு நிறத்தில் இருக்கும். விதைகள் 6-10 எண்ணிக்கையில், வெளிர் பழுப்பு நிறத்தில் இருக்கும்.</v>
      </c>
      <c r="R27" s="3" t="s">
        <v>360</v>
      </c>
      <c r="S27" s="3" t="str">
        <f ca="1">IFERROR(__xludf.DUMMYFUNCTION("GOOGLETRANSLATE(T27,""en"",""ta"")"),"இல்லை")</f>
        <v>இல்லை</v>
      </c>
      <c r="T27" s="4" t="s">
        <v>46</v>
      </c>
      <c r="U27" s="3" t="str">
        <f ca="1">IFERROR(__xludf.DUMMYFUNCTION("GOOGLETRANSLATE(V27,""en"",""ta"")"),"வீக்கம், ஸ்க்ரோஃபுலா, தோல் நோய்கள், தொழுநோய், லுகோடெர்மா, நாள்பட்ட கண்புரை, விந்து பலவீனம் மற்றும் கண் நோய்")</f>
        <v>வீக்கம், ஸ்க்ரோஃபுலா, தோல் நோய்கள், தொழுநோய், லுகோடெர்மா, நாள்பட்ட கண்புரை, விந்து பலவீனம் மற்றும் கண் நோய்</v>
      </c>
      <c r="V27" s="3" t="s">
        <v>361</v>
      </c>
      <c r="W27" s="3" t="str">
        <f ca="1">IFERROR(__xludf.DUMMYFUNCTION("GOOGLETRANSLATE(X27,""en"",""ta"")"),"கண் நோய்கள்")</f>
        <v>கண் நோய்கள்</v>
      </c>
      <c r="X27" s="3" t="s">
        <v>362</v>
      </c>
      <c r="Y27" s="3" t="str">
        <f ca="1">IFERROR(__xludf.DUMMYFUNCTION("GOOGLETRANSLATE(Z27,""en"",""ta"")"),"நாள்பட்ட இருமல் மற்றும் மூச்சுக்குழாய் அழற்சி")</f>
        <v>நாள்பட்ட இருமல் மற்றும் மூச்சுக்குழாய் அழற்சி</v>
      </c>
      <c r="Z27" s="3" t="s">
        <v>363</v>
      </c>
      <c r="AA27" s="3" t="str">
        <f ca="1">IFERROR(__xludf.DUMMYFUNCTION("GOOGLETRANSLATE(AB27,""en"",""ta"")"),"தோல் அழற்சி, காயங்கள், பல் வலி மற்றும் மாலைக்கண் நோய்.")</f>
        <v>தோல் அழற்சி, காயங்கள், பல் வலி மற்றும் மாலைக்கண் நோய்.</v>
      </c>
      <c r="AB27" s="3" t="s">
        <v>364</v>
      </c>
      <c r="AC27" s="3" t="str">
        <f ca="1">IFERROR(__xludf.DUMMYFUNCTION("GOOGLETRANSLATE(AD27,""en"",""ta"")"),"இல்லை")</f>
        <v>இல்லை</v>
      </c>
      <c r="AD27" s="4" t="s">
        <v>46</v>
      </c>
      <c r="AE27" s="3" t="str">
        <f ca="1">IFERROR(__xludf.DUMMYFUNCTION("GOOGLETRANSLATE(AF27,""en"",""ta"")"),"இல்லை")</f>
        <v>இல்லை</v>
      </c>
      <c r="AF27" s="4" t="s">
        <v>46</v>
      </c>
      <c r="AG27" s="3" t="str">
        <f ca="1">IFERROR(__xludf.DUMMYFUNCTION("GOOGLETRANSLATE(AH27,""en"",""ta"")"),"இல்லை")</f>
        <v>இல்லை</v>
      </c>
      <c r="AH27" s="4" t="s">
        <v>46</v>
      </c>
      <c r="AI27" s="3" t="str">
        <f ca="1">IFERROR(__xludf.DUMMYFUNCTION("GOOGLETRANSLATE(AJ27,""en"",""ta"")"),"இல்லை")</f>
        <v>இல்லை</v>
      </c>
      <c r="AJ27" s="4" t="s">
        <v>46</v>
      </c>
      <c r="AK27" s="3" t="str">
        <f ca="1">IFERROR(__xludf.DUMMYFUNCTION("GOOGLETRANSLATE(AL27,""en"",""ta"")"),"இல்லை")</f>
        <v>இல்லை</v>
      </c>
      <c r="AL27" s="4" t="s">
        <v>46</v>
      </c>
      <c r="AM27" s="3" t="str">
        <f ca="1">IFERROR(__xludf.DUMMYFUNCTION("GOOGLETRANSLATE(AN27,""en"",""ta"")"),"இல்லை")</f>
        <v>இல்லை</v>
      </c>
      <c r="AN27" s="4" t="s">
        <v>46</v>
      </c>
      <c r="AO27" s="3" t="str">
        <f ca="1">IFERROR(__xludf.DUMMYFUNCTION("GOOGLETRANSLATE(AP27,""en"",""ta"")"),"#VALUE!")</f>
        <v>#VALUE!</v>
      </c>
      <c r="AP27" s="3"/>
      <c r="AQ27" s="3"/>
      <c r="AR27" s="3" t="str">
        <f ca="1">IFERROR(__xludf.DUMMYFUNCTION("GOOGLETRANSLATE(AS27,""en"",""ta"")"),"துவர்ப்பு, கசப்பு, அபிரியண்ட், தெர்மோஜெனிக், எக்ஸ்பெக்டோரண்ட், ஆன்டி-டூசிவ் மற்றும் டானிக்.")</f>
        <v>துவர்ப்பு, கசப்பு, அபிரியண்ட், தெர்மோஜெனிக், எக்ஸ்பெக்டோரண்ட், ஆன்டி-டூசிவ் மற்றும் டானிக்.</v>
      </c>
      <c r="AS27" s="3" t="s">
        <v>365</v>
      </c>
      <c r="AT27" s="3" t="str">
        <f ca="1">IFERROR(__xludf.DUMMYFUNCTION("GOOGLETRANSLATE(AU27,""en"",""ta"")"),"T r i t e rp e n e , T a n n i n , L e u c o c y a n i d i n , Sapogenin, Acacic acid, Albigenin &amp; Saponin")</f>
        <v>T r i t e rp e n e , T a n n i n , L e u c o c y a n i d i n , Sapogenin, Acacic acid, Albigenin &amp; Saponin</v>
      </c>
      <c r="AU27" s="3" t="s">
        <v>366</v>
      </c>
      <c r="AV27" s="3"/>
      <c r="AW27" s="3" t="str">
        <f ca="1">IFERROR(__xludf.DUMMYFUNCTION("GOOGLETRANSLATE(AX27,""en"",""ta"")"),"பூக்களை பேஸ்டாக உருவாக்கி வீக்கம், புண்கள் மற்றும் காயங்களில் தடவுகிறார்கள். பட்டையை பொடியாக மாற்றி, மூல நோய் மற்றும் வெள்ளையணுக்களுக்கு உள்ளே செலுத்துகிறார்கள்.")</f>
        <v>பூக்களை பேஸ்டாக உருவாக்கி வீக்கம், புண்கள் மற்றும் காயங்களில் தடவுகிறார்கள். பட்டையை பொடியாக மாற்றி, மூல நோய் மற்றும் வெள்ளையணுக்களுக்கு உள்ளே செலுத்துகிறார்கள்.</v>
      </c>
      <c r="AX27" s="3" t="s">
        <v>367</v>
      </c>
      <c r="AY27" s="3"/>
      <c r="AZ27" s="3"/>
      <c r="BA27" s="3"/>
      <c r="BB27" s="3"/>
      <c r="BC27" s="3"/>
      <c r="BD27" s="3"/>
      <c r="BE27" s="3"/>
      <c r="BF27" s="3"/>
    </row>
    <row r="28" spans="1:58" ht="15.75" customHeight="1" x14ac:dyDescent="0.15">
      <c r="A28" s="3">
        <v>27</v>
      </c>
      <c r="B28" s="3" t="str">
        <f ca="1">IFERROR(__xludf.DUMMYFUNCTION("GOOGLETRANSLATE(C28,""en"",""ta"")"),"அல்ஹாகி சூடல்ஹாகி")</f>
        <v>அல்ஹாகி சூடல்ஹாகி</v>
      </c>
      <c r="C28" s="3" t="s">
        <v>368</v>
      </c>
      <c r="D28" s="3" t="str">
        <f ca="1">IFERROR(__xludf.DUMMYFUNCTION("GOOGLETRANSLATE(E28,""en"",""ta"")"),"அனந்தா")</f>
        <v>அனந்தா</v>
      </c>
      <c r="E28" s="3" t="s">
        <v>369</v>
      </c>
      <c r="F28" s="3" t="str">
        <f ca="1">IFERROR(__xludf.DUMMYFUNCTION("GOOGLETRANSLATE(G28,""en"",""ta"")"),"துரலப்பை")</f>
        <v>துரலப்பை</v>
      </c>
      <c r="G28" s="4" t="s">
        <v>370</v>
      </c>
      <c r="H28" s="3" t="str">
        <f ca="1">IFERROR(__xludf.DUMMYFUNCTION("GOOGLETRANSLATE(I28,""en"",""ta"")"),"ஒட்டகத்தின் முள்")</f>
        <v>ஒட்டகத்தின் முள்</v>
      </c>
      <c r="I28" s="3" t="s">
        <v>371</v>
      </c>
      <c r="J28" s="3" t="str">
        <f ca="1">IFERROR(__xludf.DUMMYFUNCTION("GOOGLETRANSLATE(K28,""en"",""ta"")"),"கிரிகர்மிகா")</f>
        <v>கிரிகர்மிகா</v>
      </c>
      <c r="K28" s="3" t="s">
        <v>372</v>
      </c>
      <c r="L28" s="3" t="str">
        <f ca="1">IFERROR(__xludf.DUMMYFUNCTION("GOOGLETRANSLATE(M28,""en"",""ta"")"),"கப்பட்டும்பா")</f>
        <v>கப்பட்டும்பா</v>
      </c>
      <c r="M28" s="3" t="s">
        <v>373</v>
      </c>
      <c r="N28" s="3" t="str">
        <f ca="1">IFERROR(__xludf.DUMMYFUNCTION("GOOGLETRANSLATE(O28,""en"",""ta"")"),"ஜாவாசா")</f>
        <v>ஜாவாசா</v>
      </c>
      <c r="O28" s="3" t="s">
        <v>374</v>
      </c>
      <c r="P28" s="3"/>
      <c r="Q28" s="3" t="str">
        <f ca="1">IFERROR(__xludf.DUMMYFUNCTION("GOOGLETRANSLATE(R28,""en"",""ta"")"),"ஒரு முள்ளந்தண்டு புதர். இலைகள் நீள்வட்டமாகவும், மழுங்கியதாகவும் இருக்கும். மலர்கள் சிவப்பு நிறத்தில், சில பூக்கள் கொண்ட, இலைக்கோணங்களில் காணப்படும், கிளைகளின் நுனியில் பேனிக்கிள்களை உருவாக்குகின்றன. விதைகள் ஃபால்கேட், நேராக மற்றும் துணை-ரினிஃபார்ம்.")</f>
        <v>ஒரு முள்ளந்தண்டு புதர். இலைகள் நீள்வட்டமாகவும், மழுங்கியதாகவும் இருக்கும். மலர்கள் சிவப்பு நிறத்தில், சில பூக்கள் கொண்ட, இலைக்கோணங்களில் காணப்படும், கிளைகளின் நுனியில் பேனிக்கிள்களை உருவாக்குகின்றன. விதைகள் ஃபால்கேட், நேராக மற்றும் துணை-ரினிஃபார்ம்.</v>
      </c>
      <c r="R28" s="3" t="s">
        <v>375</v>
      </c>
      <c r="S28" s="3" t="str">
        <f ca="1">IFERROR(__xludf.DUMMYFUNCTION("GOOGLETRANSLATE(T28,""en"",""ta"")"),"இல்லை")</f>
        <v>இல்லை</v>
      </c>
      <c r="T28" s="3" t="s">
        <v>46</v>
      </c>
      <c r="U28" s="3" t="str">
        <f ca="1">IFERROR(__xludf.DUMMYFUNCTION("GOOGLETRANSLATE(V28,""en"",""ta"")"),"இல்லை")</f>
        <v>இல்லை</v>
      </c>
      <c r="V28" s="3" t="s">
        <v>46</v>
      </c>
      <c r="W28" s="3" t="str">
        <f ca="1">IFERROR(__xludf.DUMMYFUNCTION("GOOGLETRANSLATE(X28,""en"",""ta"")"),"இல்லை")</f>
        <v>இல்லை</v>
      </c>
      <c r="X28" s="3" t="s">
        <v>46</v>
      </c>
      <c r="Y28" s="3" t="str">
        <f ca="1">IFERROR(__xludf.DUMMYFUNCTION("GOOGLETRANSLATE(Z28,""en"",""ta"")"),"ஆஸ்துமா, மூல நோய், இருமல், வாத நோய்")</f>
        <v>ஆஸ்துமா, மூல நோய், இருமல், வாத நோய்</v>
      </c>
      <c r="Z28" s="3" t="s">
        <v>376</v>
      </c>
      <c r="AA28" s="3" t="str">
        <f ca="1">IFERROR(__xludf.DUMMYFUNCTION("GOOGLETRANSLATE(AB28,""en"",""ta"")"),"இல்லை")</f>
        <v>இல்லை</v>
      </c>
      <c r="AB28" s="3" t="s">
        <v>46</v>
      </c>
      <c r="AC28" s="3" t="str">
        <f ca="1">IFERROR(__xludf.DUMMYFUNCTION("GOOGLETRANSLATE(AD28,""en"",""ta"")"),"இல்லை")</f>
        <v>இல்லை</v>
      </c>
      <c r="AD28" s="3" t="s">
        <v>46</v>
      </c>
      <c r="AE28" s="3" t="str">
        <f ca="1">IFERROR(__xludf.DUMMYFUNCTION("GOOGLETRANSLATE(AF28,""en"",""ta"")"),"இல்லை")</f>
        <v>இல்லை</v>
      </c>
      <c r="AF28" s="3" t="s">
        <v>46</v>
      </c>
      <c r="AG28" s="3" t="str">
        <f ca="1">IFERROR(__xludf.DUMMYFUNCTION("GOOGLETRANSLATE(AH28,""en"",""ta"")"),"இல்லை")</f>
        <v>இல்லை</v>
      </c>
      <c r="AH28" s="3" t="s">
        <v>46</v>
      </c>
      <c r="AI28" s="3" t="str">
        <f ca="1">IFERROR(__xludf.DUMMYFUNCTION("GOOGLETRANSLATE(AJ28,""en"",""ta"")"),"இல்லை")</f>
        <v>இல்லை</v>
      </c>
      <c r="AJ28" s="3" t="s">
        <v>46</v>
      </c>
      <c r="AK28" s="3" t="str">
        <f ca="1">IFERROR(__xludf.DUMMYFUNCTION("GOOGLETRANSLATE(AL28,""en"",""ta"")"),"இல்லை")</f>
        <v>இல்லை</v>
      </c>
      <c r="AL28" s="3" t="s">
        <v>46</v>
      </c>
      <c r="AM28" s="3" t="str">
        <f ca="1">IFERROR(__xludf.DUMMYFUNCTION("GOOGLETRANSLATE(AN28,""en"",""ta"")"),"இல்லை")</f>
        <v>இல்லை</v>
      </c>
      <c r="AN28" s="3" t="s">
        <v>46</v>
      </c>
      <c r="AO28" s="3" t="str">
        <f ca="1">IFERROR(__xludf.DUMMYFUNCTION("GOOGLETRANSLATE(AP28,""en"",""ta"")"),"#VALUE!")</f>
        <v>#VALUE!</v>
      </c>
      <c r="AP28" s="3"/>
      <c r="AQ28" s="3"/>
      <c r="AR28" s="3" t="str">
        <f ca="1">IFERROR(__xludf.DUMMYFUNCTION("GOOGLETRANSLATE(AS28,""en"",""ta"")"),"பித்த எதிர்ப்பு, கிருமி நாசினி, மலமிளக்கி, ஹைப்போலிபிடெமிக், டையூரிடிக், எக்ஸ்பெக்டோரண்ட், டயாபோரெடிக்")</f>
        <v>பித்த எதிர்ப்பு, கிருமி நாசினி, மலமிளக்கி, ஹைப்போலிபிடெமிக், டையூரிடிக், எக்ஸ்பெக்டோரண்ட், டயாபோரெடிக்</v>
      </c>
      <c r="AS28" s="3" t="s">
        <v>377</v>
      </c>
      <c r="AT28" s="3" t="str">
        <f ca="1">IFERROR(__xludf.DUMMYFUNCTION("GOOGLETRANSLATE(AU28,""en"",""ta"")"),"பி-பீனெதிலமைன், ஹார்டினைன், சால்சோலிடின், என்-மெத்தில் மெஸ்கலின், என்-மெத்தில் டைரமைன், ஃபிளாவனாய்டுகள்")</f>
        <v>பி-பீனெதிலமைன், ஹார்டினைன், சால்சோலிடின், என்-மெத்தில் மெஸ்கலின், என்-மெத்தில் டைரமைன், ஃபிளாவனாய்டுகள்</v>
      </c>
      <c r="AU28" s="3" t="s">
        <v>378</v>
      </c>
      <c r="AV28" s="3"/>
      <c r="AW28" s="3" t="str">
        <f ca="1">IFERROR(__xludf.DUMMYFUNCTION("GOOGLETRANSLATE(AX28,""en"",""ta"")"),"கிளைகள் மற்றும் பூக்கள் மூல நோய்க்கு மருந்து அல்லது புகையூட்டலாகப் பயன்படுத்தப்படுகின்றன. இலைகளிலிருந்து தயாரிக்கப்படும் எண்ணெய் வாத நோய்க்கு வெளிப்புறப் பயன்பாடாகப் பயன்படுத்தப்படுகிறது.")</f>
        <v>கிளைகள் மற்றும் பூக்கள் மூல நோய்க்கு மருந்து அல்லது புகையூட்டலாகப் பயன்படுத்தப்படுகின்றன. இலைகளிலிருந்து தயாரிக்கப்படும் எண்ணெய் வாத நோய்க்கு வெளிப்புறப் பயன்பாடாகப் பயன்படுத்தப்படுகிறது.</v>
      </c>
      <c r="AX28" s="3" t="s">
        <v>379</v>
      </c>
      <c r="AY28" s="3"/>
      <c r="AZ28" s="3"/>
      <c r="BA28" s="3"/>
      <c r="BB28" s="3"/>
      <c r="BC28" s="3"/>
      <c r="BD28" s="3"/>
      <c r="BE28" s="3"/>
      <c r="BF28" s="3"/>
    </row>
    <row r="29" spans="1:58" ht="15.75" customHeight="1" x14ac:dyDescent="0.15">
      <c r="A29" s="3">
        <v>28</v>
      </c>
      <c r="B29" s="3" t="str">
        <f ca="1">IFERROR(__xludf.DUMMYFUNCTION("GOOGLETRANSLATE(C29,""en"",""ta"")"),"அல்லெமண்டா கேதார்டிகா")</f>
        <v>அல்லெமண்டா கேதார்டிகா</v>
      </c>
      <c r="C29" s="3" t="s">
        <v>380</v>
      </c>
      <c r="D29" s="3" t="str">
        <f ca="1">IFERROR(__xludf.DUMMYFUNCTION("GOOGLETRANSLATE(E29,""en"",""ta"")"),"பிததுர்யபுஷ்பம்")</f>
        <v>பிததுர்யபுஷ்பம்</v>
      </c>
      <c r="E29" s="4" t="s">
        <v>381</v>
      </c>
      <c r="F29" s="3" t="str">
        <f ca="1">IFERROR(__xludf.DUMMYFUNCTION("GOOGLETRANSLATE(G29,""en"",""ta"")"),"மஞ்சள் பட்டி")</f>
        <v>மஞ்சள் பட்டி</v>
      </c>
      <c r="G29" s="3" t="s">
        <v>382</v>
      </c>
      <c r="H29" s="3" t="str">
        <f ca="1">IFERROR(__xludf.DUMMYFUNCTION("GOOGLETRANSLATE(I29,""en"",""ta"")"),"தங்க எக்காளம்")</f>
        <v>தங்க எக்காளம்</v>
      </c>
      <c r="I29" s="3" t="s">
        <v>383</v>
      </c>
      <c r="J29" s="3" t="str">
        <f ca="1">IFERROR(__xludf.DUMMYFUNCTION("GOOGLETRANSLATE(K29,""en"",""ta"")"),"அல்லேமண்டதீகா")</f>
        <v>அல்லேமண்டதீகா</v>
      </c>
      <c r="K29" s="3" t="s">
        <v>384</v>
      </c>
      <c r="L29" s="3" t="str">
        <f ca="1">IFERROR(__xludf.DUMMYFUNCTION("GOOGLETRANSLATE(M29,""en"",""ta"")"),"கோலாம்பி")</f>
        <v>கோலாம்பி</v>
      </c>
      <c r="M29" s="3" t="s">
        <v>385</v>
      </c>
      <c r="N29" s="3" t="str">
        <f ca="1">IFERROR(__xludf.DUMMYFUNCTION("GOOGLETRANSLATE(O29,""en"",""ta"")"),"ஜஹாரி சொந்தக்கா")</f>
        <v>ஜஹாரி சொந்தக்கா</v>
      </c>
      <c r="O29" s="3" t="s">
        <v>386</v>
      </c>
      <c r="P29" s="3"/>
      <c r="Q29" s="3" t="str">
        <f ca="1">IFERROR(__xludf.DUMMYFUNCTION("GOOGLETRANSLATE(R29,""en"",""ta"")"),"இலைகள் சுருள் வடிவானது, முட்டை வடிவானது, நீள்வட்டமானது, ஈட்டி வடிவானது. பூக்கள் பெரியவை, பகட்டானவை, பிரகாசமான அல்லது தங்க மஞ்சள் நிறமானது, முனையில் சைமோஸ் பேனிக்கிள்கள். பழங்கள் முட்கள் நிறைந்த காப்ஸ்யூல்கள். விதைகள் முட்டை வடிவானது, தட்டையானது மற்றும் இற"&amp;"க்கைகள் கொண்டது.")</f>
        <v>இலைகள் சுருள் வடிவானது, முட்டை வடிவானது, நீள்வட்டமானது, ஈட்டி வடிவானது. பூக்கள் பெரியவை, பகட்டானவை, பிரகாசமான அல்லது தங்க மஞ்சள் நிறமானது, முனையில் சைமோஸ் பேனிக்கிள்கள். பழங்கள் முட்கள் நிறைந்த காப்ஸ்யூல்கள். விதைகள் முட்டை வடிவானது, தட்டையானது மற்றும் இறக்கைகள் கொண்டது.</v>
      </c>
      <c r="R29" s="3" t="s">
        <v>387</v>
      </c>
      <c r="S29" s="3" t="str">
        <f ca="1">IFERROR(__xludf.DUMMYFUNCTION("GOOGLETRANSLATE(T29,""en"",""ta"")"),"நாசோபார்னக்ஸின் புற்றுநோய்.")</f>
        <v>நாசோபார்னக்ஸின் புற்றுநோய்.</v>
      </c>
      <c r="T29" s="3" t="s">
        <v>388</v>
      </c>
      <c r="U29" s="3" t="str">
        <f ca="1">IFERROR(__xludf.DUMMYFUNCTION("GOOGLETRANSLATE(V29,""en"",""ta"")"),"இல்லை")</f>
        <v>இல்லை</v>
      </c>
      <c r="V29" s="3" t="s">
        <v>46</v>
      </c>
      <c r="W29" s="3" t="str">
        <f ca="1">IFERROR(__xludf.DUMMYFUNCTION("GOOGLETRANSLATE(X29,""en"",""ta"")"),"பெருங்குடல் அழற்சி மற்றும் கட்டிகள்")</f>
        <v>பெருங்குடல் அழற்சி மற்றும் கட்டிகள்</v>
      </c>
      <c r="X29" s="3" t="s">
        <v>389</v>
      </c>
      <c r="Y29" s="3" t="str">
        <f ca="1">IFERROR(__xludf.DUMMYFUNCTION("GOOGLETRANSLATE(Z29,""en"",""ta"")"),"இல்லை")</f>
        <v>இல்லை</v>
      </c>
      <c r="Z29" s="3" t="s">
        <v>46</v>
      </c>
      <c r="AA29" s="3" t="str">
        <f ca="1">IFERROR(__xludf.DUMMYFUNCTION("GOOGLETRANSLATE(AB29,""en"",""ta"")"),"ஆஸ்கைட்ஸ்.")</f>
        <v>ஆஸ்கைட்ஸ்.</v>
      </c>
      <c r="AB29" s="3" t="s">
        <v>390</v>
      </c>
      <c r="AC29" s="3" t="str">
        <f ca="1">IFERROR(__xludf.DUMMYFUNCTION("GOOGLETRANSLATE(AD29,""en"",""ta"")"),"இல்லை")</f>
        <v>இல்லை</v>
      </c>
      <c r="AD29" s="3" t="s">
        <v>46</v>
      </c>
      <c r="AE29" s="3" t="str">
        <f ca="1">IFERROR(__xludf.DUMMYFUNCTION("GOOGLETRANSLATE(AF29,""en"",""ta"")"),"இல்லை")</f>
        <v>இல்லை</v>
      </c>
      <c r="AF29" s="3" t="s">
        <v>46</v>
      </c>
      <c r="AG29" s="3" t="str">
        <f ca="1">IFERROR(__xludf.DUMMYFUNCTION("GOOGLETRANSLATE(AH29,""en"",""ta"")"),"இல்லை")</f>
        <v>இல்லை</v>
      </c>
      <c r="AH29" s="3" t="s">
        <v>46</v>
      </c>
      <c r="AI29" s="3" t="str">
        <f ca="1">IFERROR(__xludf.DUMMYFUNCTION("GOOGLETRANSLATE(AJ29,""en"",""ta"")"),"இல்லை")</f>
        <v>இல்லை</v>
      </c>
      <c r="AJ29" s="3" t="s">
        <v>46</v>
      </c>
      <c r="AK29" s="3" t="str">
        <f ca="1">IFERROR(__xludf.DUMMYFUNCTION("GOOGLETRANSLATE(AL29,""en"",""ta"")"),"இல்லை")</f>
        <v>இல்லை</v>
      </c>
      <c r="AL29" s="3" t="s">
        <v>46</v>
      </c>
      <c r="AM29" s="3" t="str">
        <f ca="1">IFERROR(__xludf.DUMMYFUNCTION("GOOGLETRANSLATE(AN29,""en"",""ta"")"),"இல்லை")</f>
        <v>இல்லை</v>
      </c>
      <c r="AN29" s="3" t="s">
        <v>46</v>
      </c>
      <c r="AO29" s="3" t="str">
        <f ca="1">IFERROR(__xludf.DUMMYFUNCTION("GOOGLETRANSLATE(AP29,""en"",""ta"")"),"#VALUE!")</f>
        <v>#VALUE!</v>
      </c>
      <c r="AP29" s="3"/>
      <c r="AQ29" s="3"/>
      <c r="AR29" s="3" t="str">
        <f ca="1">IFERROR(__xludf.DUMMYFUNCTION("GOOGLETRANSLATE(AS29,""en"",""ta"")"),"கத்தார்டிக், பூஞ்சை எதிர்ப்பு")</f>
        <v>கத்தார்டிக், பூஞ்சை எதிர்ப்பு</v>
      </c>
      <c r="AS29" s="3" t="s">
        <v>391</v>
      </c>
      <c r="AT29" s="3" t="str">
        <f ca="1">IFERROR(__xludf.DUMMYFUNCTION("GOOGLETRANSLATE(AU29,""en"",""ta"")"),"சோடியம் பைகார்பனேட், ப்ளூமெரிசின், உர்சோலிக் அமிலம், ஐசோப்ளூமெரிசின், β-அமிரின், அல்லாமண்டிசின், அல்லாமண்டின் மற்றும் அல்லாமடின்")</f>
        <v>சோடியம் பைகார்பனேட், ப்ளூமெரிசின், உர்சோலிக் அமிலம், ஐசோப்ளூமெரிசின், β-அமிரின், அல்லாமண்டிசின், அல்லாமண்டின் மற்றும் அல்லாமடின்</v>
      </c>
      <c r="AU29" s="3" t="s">
        <v>392</v>
      </c>
      <c r="AV29" s="3"/>
      <c r="AW29" s="3" t="str">
        <f ca="1">IFERROR(__xludf.DUMMYFUNCTION("GOOGLETRANSLATE(AX29,""en"",""ta"")"),"இந்த தாவர சாறு கிராம் பாசிட்டிவ் பாக்டீரியாக்களுக்கு எதிராக செயல்படுவதாகக் கண்டறியப்பட்டுள்ளது. பட்டை கஷாயம் ஆஸ்கைட்டுகளில் ஹைட்ரோகோகாக நிர்வகிக்கப்படுகிறது.")</f>
        <v>இந்த தாவர சாறு கிராம் பாசிட்டிவ் பாக்டீரியாக்களுக்கு எதிராக செயல்படுவதாகக் கண்டறியப்பட்டுள்ளது. பட்டை கஷாயம் ஆஸ்கைட்டுகளில் ஹைட்ரோகோகாக நிர்வகிக்கப்படுகிறது.</v>
      </c>
      <c r="AX29" s="3" t="s">
        <v>393</v>
      </c>
      <c r="AY29" s="3"/>
      <c r="AZ29" s="3"/>
      <c r="BA29" s="3"/>
      <c r="BB29" s="3"/>
      <c r="BC29" s="3"/>
      <c r="BD29" s="3"/>
      <c r="BE29" s="3"/>
      <c r="BF29" s="3"/>
    </row>
    <row r="30" spans="1:58" ht="15.75" customHeight="1" x14ac:dyDescent="0.15">
      <c r="A30" s="3">
        <v>29</v>
      </c>
      <c r="B30" s="3" t="str">
        <f ca="1">IFERROR(__xludf.DUMMYFUNCTION("GOOGLETRANSLATE(C30,""en"",""ta"")"),"அல்லியம் செபா")</f>
        <v>அல்லியம் செபா</v>
      </c>
      <c r="C30" s="3" t="s">
        <v>394</v>
      </c>
      <c r="D30" s="3" t="str">
        <f ca="1">IFERROR(__xludf.DUMMYFUNCTION("GOOGLETRANSLATE(E30,""en"",""ta"")"),"பலாண்டு")</f>
        <v>பலாண்டு</v>
      </c>
      <c r="E30" s="3" t="s">
        <v>395</v>
      </c>
      <c r="F30" s="3" t="str">
        <f ca="1">IFERROR(__xludf.DUMMYFUNCTION("GOOGLETRANSLATE(G30,""en"",""ta"")"),"வேங்கையம்")</f>
        <v>வேங்கையம்</v>
      </c>
      <c r="G30" s="3" t="s">
        <v>396</v>
      </c>
      <c r="H30" s="3" t="str">
        <f ca="1">IFERROR(__xludf.DUMMYFUNCTION("GOOGLETRANSLATE(I30,""en"",""ta"")"),"வெங்காயம்")</f>
        <v>வெங்காயம்</v>
      </c>
      <c r="I30" s="3" t="s">
        <v>397</v>
      </c>
      <c r="J30" s="3" t="str">
        <f ca="1">IFERROR(__xludf.DUMMYFUNCTION("GOOGLETRANSLATE(K30,""en"",""ta"")"),"எர்ரகட்டா")</f>
        <v>எர்ரகட்டா</v>
      </c>
      <c r="K30" s="3" t="s">
        <v>398</v>
      </c>
      <c r="L30" s="3" t="str">
        <f ca="1">IFERROR(__xludf.DUMMYFUNCTION("GOOGLETRANSLATE(M30,""en"",""ta"")"),"ஈருல்லி")</f>
        <v>ஈருல்லி</v>
      </c>
      <c r="M30" s="3" t="s">
        <v>399</v>
      </c>
      <c r="N30" s="3" t="str">
        <f ca="1">IFERROR(__xludf.DUMMYFUNCTION("GOOGLETRANSLATE(O30,""en"",""ta"")"),"பியாஸ்")</f>
        <v>பியாஸ்</v>
      </c>
      <c r="O30" s="3" t="s">
        <v>400</v>
      </c>
      <c r="P30" s="3"/>
      <c r="Q30" s="3" t="str">
        <f ca="1">IFERROR(__xludf.DUMMYFUNCTION("GOOGLETRANSLATE(R30,""en"",""ta"")"),"குமிழ் போன்ற, இரண்டு ஆண்டுகளுக்கு ஒருமுறை வளரும் நறுமண மூலிகை. இலைகள் தடிமனாகவும், உருளை வடிவமாகவும், அடிப்பகுதியாகவும், கூரியதாகவும், இணையான நரம்பு அமைப்புடன் காணப்படும். மஞ்சரி ஒரு பெரிய கோள அம்பல் வடிவமாகவும், பழங்கள் காப்ஸ்யூலாகவும், விதைகள் முக்கோண வ"&amp;"டிவமாகவும் இருக்கும். குமிழ் அடிப்பகுதியில் உள்ளது, இது ஒரு மாற்றியமைக்கப்பட்ட தண்டு ஆகும்.")</f>
        <v>குமிழ் போன்ற, இரண்டு ஆண்டுகளுக்கு ஒருமுறை வளரும் நறுமண மூலிகை. இலைகள் தடிமனாகவும், உருளை வடிவமாகவும், அடிப்பகுதியாகவும், கூரியதாகவும், இணையான நரம்பு அமைப்புடன் காணப்படும். மஞ்சரி ஒரு பெரிய கோள அம்பல் வடிவமாகவும், பழங்கள் காப்ஸ்யூலாகவும், விதைகள் முக்கோண வடிவமாகவும் இருக்கும். குமிழ் அடிப்பகுதியில் உள்ளது, இது ஒரு மாற்றியமைக்கப்பட்ட தண்டு ஆகும்.</v>
      </c>
      <c r="R30" s="3" t="s">
        <v>401</v>
      </c>
      <c r="S30" s="3" t="str">
        <f ca="1">IFERROR(__xludf.DUMMYFUNCTION("GOOGLETRANSLATE(T30,""en"",""ta"")"),"இல்லை")</f>
        <v>இல்லை</v>
      </c>
      <c r="T30" s="3" t="s">
        <v>46</v>
      </c>
      <c r="U30" s="3" t="str">
        <f ca="1">IFERROR(__xludf.DUMMYFUNCTION("GOOGLETRANSLATE(V30,""en"",""ta"")"),"இல்லை")</f>
        <v>இல்லை</v>
      </c>
      <c r="V30" s="4" t="s">
        <v>46</v>
      </c>
      <c r="W30" s="3" t="str">
        <f ca="1">IFERROR(__xludf.DUMMYFUNCTION("GOOGLETRANSLATE(X30,""en"",""ta"")"),"குளிர்சாதனப் பொருள்.")</f>
        <v>குளிர்சாதனப் பொருள்.</v>
      </c>
      <c r="X30" s="3" t="s">
        <v>402</v>
      </c>
      <c r="Y30" s="3" t="str">
        <f ca="1">IFERROR(__xludf.DUMMYFUNCTION("GOOGLETRANSLATE(Z30,""en"",""ta"")"),"இல்லை")</f>
        <v>இல்லை</v>
      </c>
      <c r="Z30" s="3" t="s">
        <v>46</v>
      </c>
      <c r="AA30" s="3" t="str">
        <f ca="1">IFERROR(__xludf.DUMMYFUNCTION("GOOGLETRANSLATE(AB30,""en"",""ta"")"),"இல்லை")</f>
        <v>இல்லை</v>
      </c>
      <c r="AB30" s="3" t="s">
        <v>46</v>
      </c>
      <c r="AC30" s="3" t="str">
        <f ca="1">IFERROR(__xludf.DUMMYFUNCTION("GOOGLETRANSLATE(AD30,""en"",""ta"")"),"இல்லை")</f>
        <v>இல்லை</v>
      </c>
      <c r="AD30" s="3" t="s">
        <v>46</v>
      </c>
      <c r="AE30" s="3" t="str">
        <f ca="1">IFERROR(__xludf.DUMMYFUNCTION("GOOGLETRANSLATE(AF30,""en"",""ta"")"),"இல்லை")</f>
        <v>இல்லை</v>
      </c>
      <c r="AF30" s="3" t="s">
        <v>46</v>
      </c>
      <c r="AG30" s="3" t="str">
        <f ca="1">IFERROR(__xludf.DUMMYFUNCTION("GOOGLETRANSLATE(AH30,""en"",""ta"")"),"இல்லை")</f>
        <v>இல்லை</v>
      </c>
      <c r="AH30" s="3" t="s">
        <v>46</v>
      </c>
      <c r="AI30" s="3" t="str">
        <f ca="1">IFERROR(__xludf.DUMMYFUNCTION("GOOGLETRANSLATE(AJ30,""en"",""ta"")"),"இல்லை")</f>
        <v>இல்லை</v>
      </c>
      <c r="AJ30" s="3" t="s">
        <v>46</v>
      </c>
      <c r="AK30" s="3" t="str">
        <f ca="1">IFERROR(__xludf.DUMMYFUNCTION("GOOGLETRANSLATE(AL30,""en"",""ta"")"),"இல்லை")</f>
        <v>இல்லை</v>
      </c>
      <c r="AL30" s="3" t="s">
        <v>46</v>
      </c>
      <c r="AM30" s="3" t="str">
        <f ca="1">IFERROR(__xludf.DUMMYFUNCTION("GOOGLETRANSLATE(AN30,""en"",""ta"")"),"இல்லை")</f>
        <v>இல்லை</v>
      </c>
      <c r="AN30" s="3" t="s">
        <v>46</v>
      </c>
      <c r="AO30" s="3" t="str">
        <f ca="1">IFERROR(__xludf.DUMMYFUNCTION("GOOGLETRANSLATE(AP30,""en"",""ta"")"),"உயர் இரத்த அழுத்தம், சொட்டு மருந்து, கண்புரை, நாள்பட்ட மூச்சுக்குழாய் அழற்சி, டிஸ்ஸ்பெசியா மற்றும் கால்-கை வலிப்பு")</f>
        <v>உயர் இரத்த அழுத்தம், சொட்டு மருந்து, கண்புரை, நாள்பட்ட மூச்சுக்குழாய் அழற்சி, டிஸ்ஸ்பெசியா மற்றும் கால்-கை வலிப்பு</v>
      </c>
      <c r="AP30" s="3" t="s">
        <v>403</v>
      </c>
      <c r="AQ30" s="3"/>
      <c r="AR30" s="3" t="str">
        <f ca="1">IFERROR(__xludf.DUMMYFUNCTION("GOOGLETRANSLATE(AS30,""en"",""ta"")"),"ஸ்டெம்யூலண்ட், டையூரிடிக், எக்ஸ்பெக்டரண்ட், புற்றுநோய் எதிர்ப்பு, நுண்ணுயிர் எதிர்ப்பு")</f>
        <v>ஸ்டெம்யூலண்ட், டையூரிடிக், எக்ஸ்பெக்டரண்ட், புற்றுநோய் எதிர்ப்பு, நுண்ணுயிர் எதிர்ப்பு</v>
      </c>
      <c r="AS30" s="3" t="s">
        <v>404</v>
      </c>
      <c r="AT30" s="3" t="str">
        <f ca="1">IFERROR(__xludf.DUMMYFUNCTION("GOOGLETRANSLATE(AU30,""en"",""ta"")"),"சைக்ளோஅலின், ஓலியானோலிக் அமிலம், புரோபெனைல் சல்பெனிக் அமிலம், தியோசல்பினேட்டுகள், குர்செடின், கேம்ப்ஃபெரால் மற்றும் ஆவியாகும் எண்ணெய்")</f>
        <v>சைக்ளோஅலின், ஓலியானோலிக் அமிலம், புரோபெனைல் சல்பெனிக் அமிலம், தியோசல்பினேட்டுகள், குர்செடின், கேம்ப்ஃபெரால் மற்றும் ஆவியாகும் எண்ணெய்</v>
      </c>
      <c r="AU30" s="3" t="s">
        <v>405</v>
      </c>
      <c r="AV30" s="3"/>
      <c r="AW30" s="3" t="str">
        <f ca="1">IFERROR(__xludf.DUMMYFUNCTION("GOOGLETRANSLATE(AX30,""en"",""ta"")"),"உப்பு சேர்த்து பேஸ்ட் செய்து தயாரிக்கப்பட்ட குடைமிளகாயை வயிற்று வலி மற்றும் ஸ்கர்விக்கு உள்ளுக்கு உள்ளே செலுத்த வேண்டும். குடைமிளகாயை கடுகு எண்ணெயுடன் அரைத்து வாத வலிகள் மற்றும் வீக்கங்களுக்கு தடவ வேண்டும்.")</f>
        <v>உப்பு சேர்த்து பேஸ்ட் செய்து தயாரிக்கப்பட்ட குடைமிளகாயை வயிற்று வலி மற்றும் ஸ்கர்விக்கு உள்ளுக்கு உள்ளே செலுத்த வேண்டும். குடைமிளகாயை கடுகு எண்ணெயுடன் அரைத்து வாத வலிகள் மற்றும் வீக்கங்களுக்கு தடவ வேண்டும்.</v>
      </c>
      <c r="AX30" s="3" t="s">
        <v>406</v>
      </c>
      <c r="AY30" s="3"/>
      <c r="AZ30" s="3"/>
      <c r="BA30" s="3"/>
      <c r="BB30" s="3"/>
      <c r="BC30" s="3"/>
      <c r="BD30" s="3"/>
      <c r="BE30" s="3"/>
      <c r="BF30" s="3"/>
    </row>
    <row r="31" spans="1:58" ht="15.75" customHeight="1" x14ac:dyDescent="0.15">
      <c r="A31" s="3">
        <v>30</v>
      </c>
      <c r="B31" s="3" t="str">
        <f ca="1">IFERROR(__xludf.DUMMYFUNCTION("GOOGLETRANSLATE(C31,""en"",""ta"")"),"அல்லியம் சாடிவம்")</f>
        <v>அல்லியம் சாடிவம்</v>
      </c>
      <c r="C31" s="3" t="s">
        <v>407</v>
      </c>
      <c r="D31" s="3" t="str">
        <f ca="1">IFERROR(__xludf.DUMMYFUNCTION("GOOGLETRANSLATE(E31,""en"",""ta"")"),"லசுனா")</f>
        <v>லசுனா</v>
      </c>
      <c r="E31" s="3" t="s">
        <v>408</v>
      </c>
      <c r="F31" s="3" t="str">
        <f ca="1">IFERROR(__xludf.DUMMYFUNCTION("GOOGLETRANSLATE(G31,""en"",""ta"")"),"பூண்டு")</f>
        <v>பூண்டு</v>
      </c>
      <c r="G31" s="3" t="s">
        <v>409</v>
      </c>
      <c r="H31" s="3" t="str">
        <f ca="1">IFERROR(__xludf.DUMMYFUNCTION("GOOGLETRANSLATE(I31,""en"",""ta"")"),"பூண்டு")</f>
        <v>பூண்டு</v>
      </c>
      <c r="I31" s="3" t="s">
        <v>410</v>
      </c>
      <c r="J31" s="3" t="str">
        <f ca="1">IFERROR(__xludf.DUMMYFUNCTION("GOOGLETRANSLATE(K31,""en"",""ta"")"),"தெல்லகட்டா")</f>
        <v>தெல்லகட்டா</v>
      </c>
      <c r="K31" s="3" t="s">
        <v>411</v>
      </c>
      <c r="L31" s="3" t="str">
        <f ca="1">IFERROR(__xludf.DUMMYFUNCTION("GOOGLETRANSLATE(M31,""en"",""ta"")"),"வெல்லுல்லி")</f>
        <v>வெல்லுல்லி</v>
      </c>
      <c r="M31" s="3" t="s">
        <v>412</v>
      </c>
      <c r="N31" s="3" t="str">
        <f ca="1">IFERROR(__xludf.DUMMYFUNCTION("GOOGLETRANSLATE(O31,""en"",""ta"")"),"லாசன்")</f>
        <v>லாசன்</v>
      </c>
      <c r="O31" s="3" t="s">
        <v>413</v>
      </c>
      <c r="P31" s="3"/>
      <c r="Q31" s="3" t="str">
        <f ca="1">IFERROR(__xludf.DUMMYFUNCTION("GOOGLETRANSLATE(R31,""en"",""ta"")"),"ஒரு வற்றாத குமிழ் வடிவ மூலிகையான குமிழ்கள் வெள்ளை, இளஞ்சிவப்பு நிற கிராம்புகளால் ஆனவை. தண்டு குட்டையானது, இலைகள் நீளமாகவும், தட்டையாகவும், கூர்மையாகவும், மெல்லியதாகவும் இருக்கும். மஞ்சரி மெல்லிய தண்டுகளுடன் கூடிய இலைக்கோணங்களில் காணப்படும் அம்பல். நீளமாகவ"&amp;"ும், கொக்குகளுடனும் இருக்கும். மலர்கள் சிறியதாகவும், வெள்ளை நிறமாகவும் இலைப் புள்ளிகளில் நீண்டிருக்கும்.")</f>
        <v>ஒரு வற்றாத குமிழ் வடிவ மூலிகையான குமிழ்கள் வெள்ளை, இளஞ்சிவப்பு நிற கிராம்புகளால் ஆனவை. தண்டு குட்டையானது, இலைகள் நீளமாகவும், தட்டையாகவும், கூர்மையாகவும், மெல்லியதாகவும் இருக்கும். மஞ்சரி மெல்லிய தண்டுகளுடன் கூடிய இலைக்கோணங்களில் காணப்படும் அம்பல். நீளமாகவும், கொக்குகளுடனும் இருக்கும். மலர்கள் சிறியதாகவும், வெள்ளை நிறமாகவும் இலைப் புள்ளிகளில் நீண்டிருக்கும்.</v>
      </c>
      <c r="R31" s="3" t="s">
        <v>414</v>
      </c>
      <c r="S31" s="3" t="str">
        <f ca="1">IFERROR(__xludf.DUMMYFUNCTION("GOOGLETRANSLATE(T31,""en"",""ta"")"),"இல்லை")</f>
        <v>இல்லை</v>
      </c>
      <c r="T31" s="3" t="s">
        <v>46</v>
      </c>
      <c r="U31" s="3" t="str">
        <f ca="1">IFERROR(__xludf.DUMMYFUNCTION("GOOGLETRANSLATE(V31,""en"",""ta"")"),"இல்லை")</f>
        <v>இல்லை</v>
      </c>
      <c r="V31" s="3" t="s">
        <v>46</v>
      </c>
      <c r="W31" s="3" t="str">
        <f ca="1">IFERROR(__xludf.DUMMYFUNCTION("GOOGLETRANSLATE(X31,""en"",""ta"")"),"இல்லை")</f>
        <v>இல்லை</v>
      </c>
      <c r="X31" s="3" t="s">
        <v>46</v>
      </c>
      <c r="Y31" s="3" t="str">
        <f ca="1">IFERROR(__xludf.DUMMYFUNCTION("GOOGLETRANSLATE(Z31,""en"",""ta"")"),"இல்லை")</f>
        <v>இல்லை</v>
      </c>
      <c r="Z31" s="3" t="s">
        <v>46</v>
      </c>
      <c r="AA31" s="3" t="str">
        <f ca="1">IFERROR(__xludf.DUMMYFUNCTION("GOOGLETRANSLATE(AB31,""en"",""ta"")"),"இல்லை")</f>
        <v>இல்லை</v>
      </c>
      <c r="AB31" s="3" t="s">
        <v>46</v>
      </c>
      <c r="AC31" s="3" t="str">
        <f ca="1">IFERROR(__xludf.DUMMYFUNCTION("GOOGLETRANSLATE(AD31,""en"",""ta"")"),"இல்லை")</f>
        <v>இல்லை</v>
      </c>
      <c r="AD31" s="3" t="s">
        <v>46</v>
      </c>
      <c r="AE31" s="3" t="str">
        <f ca="1">IFERROR(__xludf.DUMMYFUNCTION("GOOGLETRANSLATE(AF31,""en"",""ta"")"),"இல்லை")</f>
        <v>இல்லை</v>
      </c>
      <c r="AF31" s="3" t="s">
        <v>46</v>
      </c>
      <c r="AG31" s="3" t="str">
        <f ca="1">IFERROR(__xludf.DUMMYFUNCTION("GOOGLETRANSLATE(AH31,""en"",""ta"")"),"இல்லை")</f>
        <v>இல்லை</v>
      </c>
      <c r="AH31" s="3" t="s">
        <v>46</v>
      </c>
      <c r="AI31" s="3" t="str">
        <f ca="1">IFERROR(__xludf.DUMMYFUNCTION("GOOGLETRANSLATE(AJ31,""en"",""ta"")"),"இல்லை")</f>
        <v>இல்லை</v>
      </c>
      <c r="AJ31" s="3" t="s">
        <v>46</v>
      </c>
      <c r="AK31" s="3" t="str">
        <f ca="1">IFERROR(__xludf.DUMMYFUNCTION("GOOGLETRANSLATE(AL31,""en"",""ta"")"),"நுரையீரல் அழற்சி, கால்-கை வலிப்பு, நுரையீரல் குடலிறக்கம், மற்றும் கக்குவான் இருமல்")</f>
        <v>நுரையீரல் அழற்சி, கால்-கை வலிப்பு, நுரையீரல் குடலிறக்கம், மற்றும் கக்குவான் இருமல்</v>
      </c>
      <c r="AL31" s="3" t="s">
        <v>415</v>
      </c>
      <c r="AM31" s="3" t="str">
        <f ca="1">IFERROR(__xludf.DUMMYFUNCTION("GOOGLETRANSLATE(AN31,""en"",""ta"")"),"இல்லை")</f>
        <v>இல்லை</v>
      </c>
      <c r="AN31" s="3" t="s">
        <v>46</v>
      </c>
      <c r="AO31" s="3" t="str">
        <f ca="1">IFERROR(__xludf.DUMMYFUNCTION("GOOGLETRANSLATE(AP31,""en"",""ta"")"),"வட்டப்புழுக்கள், தோல் நோய்கள், டிஸ்ஸ்பெசியா, வாய்வு மற்றும் வயிற்று வலி")</f>
        <v>வட்டப்புழுக்கள், தோல் நோய்கள், டிஸ்ஸ்பெசியா, வாய்வு மற்றும் வயிற்று வலி</v>
      </c>
      <c r="AP31" s="3" t="s">
        <v>416</v>
      </c>
      <c r="AQ31" s="3"/>
      <c r="AR31" s="3" t="str">
        <f ca="1">IFERROR(__xludf.DUMMYFUNCTION("GOOGLETRANSLATE(AS31,""en"",""ta"")"),"தூண்டுதல், இரைப்பை அழற்சி நீக்கி, எமெனாகோக், டானிக், வாத எதிர்ப்பு, புழுக்களிலிருந்து விடுபடும் மருந்து, மாற்று மருந்து, ஆக்ஸிஜனேற்றி.")</f>
        <v>தூண்டுதல், இரைப்பை அழற்சி நீக்கி, எமெனாகோக், டானிக், வாத எதிர்ப்பு, புழுக்களிலிருந்து விடுபடும் மருந்து, மாற்று மருந்து, ஆக்ஸிஜனேற்றி.</v>
      </c>
      <c r="AS31" s="3" t="s">
        <v>417</v>
      </c>
      <c r="AT31" s="3" t="str">
        <f ca="1">IFERROR(__xludf.DUMMYFUNCTION("GOOGLETRANSLATE(AU31,""en"",""ta"")"),"ஃபோலிக் அமிலம், கால்சியம், ரிபோஃப்ளேவின், அயோடின், பாஸ்பரஸ், அல்லிசின், ஜி-குளுட்டமைல் பெப்டைடுகள் ஆவியாகும் எண்ணெய்.")</f>
        <v>ஃபோலிக் அமிலம், கால்சியம், ரிபோஃப்ளேவின், அயோடின், பாஸ்பரஸ், அல்லிசின், ஜி-குளுட்டமைல் பெப்டைடுகள் ஆவியாகும் எண்ணெய்.</v>
      </c>
      <c r="AU31" s="3" t="s">
        <v>418</v>
      </c>
      <c r="AV31" s="3"/>
      <c r="AW31" s="3" t="str">
        <f ca="1">IFERROR(__xludf.DUMMYFUNCTION("GOOGLETRANSLATE(AX31,""en"",""ta"")"),"கிராம்புகளை எள் எண்ணெயில் வறுத்து, இரைப்பை பிரச்சனைகள் மற்றும் அஜீரணத்திற்கு உட்புறமாக எடுத்துக் கொள்ளப்படுகிறது.")</f>
        <v>கிராம்புகளை எள் எண்ணெயில் வறுத்து, இரைப்பை பிரச்சனைகள் மற்றும் அஜீரணத்திற்கு உட்புறமாக எடுத்துக் கொள்ளப்படுகிறது.</v>
      </c>
      <c r="AX31" s="3" t="s">
        <v>419</v>
      </c>
      <c r="AY31" s="3"/>
      <c r="AZ31" s="3"/>
      <c r="BA31" s="3"/>
      <c r="BB31" s="3"/>
      <c r="BC31" s="3"/>
      <c r="BD31" s="3"/>
      <c r="BE31" s="3"/>
      <c r="BF31" s="3"/>
    </row>
    <row r="32" spans="1:58" ht="15.75" customHeight="1" x14ac:dyDescent="0.15">
      <c r="A32" s="3">
        <v>31</v>
      </c>
      <c r="B32" s="3" t="str">
        <f ca="1">IFERROR(__xludf.DUMMYFUNCTION("GOOGLETRANSLATE(C32,""en"",""ta"")"),"அலோ லிட்டோரலிஸ் லின். (லிலியேசி)")</f>
        <v>அலோ லிட்டோரலிஸ் லின். (லிலியேசி)</v>
      </c>
      <c r="C32" s="3" t="s">
        <v>420</v>
      </c>
      <c r="D32" s="3" t="str">
        <f ca="1">IFERROR(__xludf.DUMMYFUNCTION("GOOGLETRANSLATE(E32,""en"",""ta"")"),"இக்ஷுரமல்லிகா")</f>
        <v>இக்ஷுரமல்லிகா</v>
      </c>
      <c r="E32" s="4" t="s">
        <v>421</v>
      </c>
      <c r="F32" s="3" t="str">
        <f ca="1">IFERROR(__xludf.DUMMYFUNCTION("GOOGLETRANSLATE(G32,""en"",""ta"")"),"சிறு கத்தரிழை")</f>
        <v>சிறு கத்தரிழை</v>
      </c>
      <c r="G32" s="4" t="s">
        <v>422</v>
      </c>
      <c r="H32" s="3" t="str">
        <f ca="1">IFERROR(__xludf.DUMMYFUNCTION("GOOGLETRANSLATE(I32,""en"",""ta"")"),"சிறிய கற்றாழை")</f>
        <v>சிறிய கற்றாழை</v>
      </c>
      <c r="I32" s="4" t="s">
        <v>423</v>
      </c>
      <c r="J32" s="3" t="str">
        <f ca="1">IFERROR(__xludf.DUMMYFUNCTION("GOOGLETRANSLATE(K32,""en"",""ta"")"),"முஷாம்பரம்")</f>
        <v>முஷாம்பரம்</v>
      </c>
      <c r="K32" s="4" t="s">
        <v>424</v>
      </c>
      <c r="L32" s="3" t="str">
        <f ca="1">IFERROR(__xludf.DUMMYFUNCTION("GOOGLETRANSLATE(M32,""en"",""ta"")"),"சென்னநாயகம்")</f>
        <v>சென்னநாயகம்</v>
      </c>
      <c r="M32" s="4" t="s">
        <v>425</v>
      </c>
      <c r="N32" s="3" t="str">
        <f ca="1">IFERROR(__xludf.DUMMYFUNCTION("GOOGLETRANSLATE(O32,""en"",""ta"")"),"சோட்டா கன்வர்")</f>
        <v>சோட்டா கன்வர்</v>
      </c>
      <c r="O32" s="4" t="s">
        <v>426</v>
      </c>
      <c r="P32" s="3"/>
      <c r="Q32" s="3" t="str">
        <f ca="1">IFERROR(__xludf.DUMMYFUNCTION("GOOGLETRANSLATE(R32,""en"",""ta"")"),"இலைகள் எளிமையானவை, ரேடிகல், சதைப்பற்றுள்ளவை, காம்பற்றவை, நீல நிறமானது, பச்சை நிறமானது, பெரும்பாலும் விளிம்புகள் மற்றும் நுனியில் கொம்பு முட்கள் நிறைந்தது, அடிப்பகுதியிலிருந்து நுனி வரை குறுகியது. மஞ்சரி ஒரு கிளைத்த, முனைய ரேசீம் ஆகும், பூக்கள் மஞ்சள் அல்ல"&amp;"து ஆரஞ்சு நிறத்தில் இருக்கும். பழங்கள் லோகுலிசிடல் காப்ஸ்யூல்.")</f>
        <v>இலைகள் எளிமையானவை, ரேடிகல், சதைப்பற்றுள்ளவை, காம்பற்றவை, நீல நிறமானது, பச்சை நிறமானது, பெரும்பாலும் விளிம்புகள் மற்றும் நுனியில் கொம்பு முட்கள் நிறைந்தது, அடிப்பகுதியிலிருந்து நுனி வரை குறுகியது. மஞ்சரி ஒரு கிளைத்த, முனைய ரேசீம் ஆகும், பூக்கள் மஞ்சள் அல்லது ஆரஞ்சு நிறத்தில் இருக்கும். பழங்கள் லோகுலிசிடல் காப்ஸ்யூல்.</v>
      </c>
      <c r="R32" s="4" t="s">
        <v>427</v>
      </c>
      <c r="S32" s="3" t="str">
        <f ca="1">IFERROR(__xludf.DUMMYFUNCTION("GOOGLETRANSLATE(T32,""en"",""ta"")"),"இல்லை")</f>
        <v>இல்லை</v>
      </c>
      <c r="T32" s="3" t="s">
        <v>46</v>
      </c>
      <c r="U32" s="3" t="str">
        <f ca="1">IFERROR(__xludf.DUMMYFUNCTION("GOOGLETRANSLATE(V32,""en"",""ta"")"),"#VALUE!")</f>
        <v>#VALUE!</v>
      </c>
      <c r="V32" s="3"/>
      <c r="W32" s="3" t="str">
        <f ca="1">IFERROR(__xludf.DUMMYFUNCTION("GOOGLETRANSLATE(X32,""en"",""ta"")"),"#VALUE!")</f>
        <v>#VALUE!</v>
      </c>
      <c r="X32" s="3"/>
      <c r="Y32" s="3" t="str">
        <f ca="1">IFERROR(__xludf.DUMMYFUNCTION("GOOGLETRANSLATE(Z32,""en"",""ta"")"),"#VALUE!")</f>
        <v>#VALUE!</v>
      </c>
      <c r="Z32" s="3"/>
      <c r="AA32" s="3" t="str">
        <f ca="1">IFERROR(__xludf.DUMMYFUNCTION("GOOGLETRANSLATE(AB32,""en"",""ta"")"),"#VALUE!")</f>
        <v>#VALUE!</v>
      </c>
      <c r="AB32" s="3"/>
      <c r="AC32" s="3" t="str">
        <f ca="1">IFERROR(__xludf.DUMMYFUNCTION("GOOGLETRANSLATE(AD32,""en"",""ta"")"),"#VALUE!")</f>
        <v>#VALUE!</v>
      </c>
      <c r="AD32" s="3"/>
      <c r="AE32" s="3" t="str">
        <f ca="1">IFERROR(__xludf.DUMMYFUNCTION("GOOGLETRANSLATE(AF32,""en"",""ta"")"),"#VALUE!")</f>
        <v>#VALUE!</v>
      </c>
      <c r="AF32" s="3"/>
      <c r="AG32" s="3" t="str">
        <f ca="1">IFERROR(__xludf.DUMMYFUNCTION("GOOGLETRANSLATE(AH32,""en"",""ta"")"),"#VALUE!")</f>
        <v>#VALUE!</v>
      </c>
      <c r="AH32" s="3"/>
      <c r="AI32" s="3" t="str">
        <f ca="1">IFERROR(__xludf.DUMMYFUNCTION("GOOGLETRANSLATE(AJ32,""en"",""ta"")"),"#VALUE!")</f>
        <v>#VALUE!</v>
      </c>
      <c r="AJ32" s="3"/>
      <c r="AK32" s="3" t="str">
        <f ca="1">IFERROR(__xludf.DUMMYFUNCTION("GOOGLETRANSLATE(AL32,""en"",""ta"")"),"#VALUE!")</f>
        <v>#VALUE!</v>
      </c>
      <c r="AL32" s="3"/>
      <c r="AM32" s="3" t="str">
        <f ca="1">IFERROR(__xludf.DUMMYFUNCTION("GOOGLETRANSLATE(AN32,""en"",""ta"")"),"#VALUE!")</f>
        <v>#VALUE!</v>
      </c>
      <c r="AN32" s="3"/>
      <c r="AO32" s="3" t="str">
        <f ca="1">IFERROR(__xludf.DUMMYFUNCTION("GOOGLETRANSLATE(AP32,""en"",""ta"")"),"#VALUE!")</f>
        <v>#VALUE!</v>
      </c>
      <c r="AP32" s="3"/>
      <c r="AQ32" s="3"/>
      <c r="AR32" s="3" t="str">
        <f ca="1">IFERROR(__xludf.DUMMYFUNCTION("GOOGLETRANSLATE(AS32,""en"",""ta"")"),"குளிரூட்டி, மலமிளக்கி, டானிக், கருப்பை டானிக் மற்றும் எம்மெனாகோக்.")</f>
        <v>குளிரூட்டி, மலமிளக்கி, டானிக், கருப்பை டானிக் மற்றும் எம்மெனாகோக்.</v>
      </c>
      <c r="AS32" s="4" t="s">
        <v>428</v>
      </c>
      <c r="AT32" s="3" t="str">
        <f ca="1">IFERROR(__xludf.DUMMYFUNCTION("GOOGLETRANSLATE(AU32,""en"",""ta"")"),"அலோசின், அலோசோன், அலோயின், பிசின் &amp; ஆவியாகும் எண்ணெய்.")</f>
        <v>அலோசின், அலோசோன், அலோயின், பிசின் &amp; ஆவியாகும் எண்ணெய்.</v>
      </c>
      <c r="AU32" s="4" t="s">
        <v>429</v>
      </c>
      <c r="AV32" s="3"/>
      <c r="AW32" s="3" t="str">
        <f ca="1">IFERROR(__xludf.DUMMYFUNCTION("GOOGLETRANSLATE(AX32,""en"",""ta"")"),"i) குழந்தைகளில் குடல் புழுக்களுக்கு கூழ் ஒரு அற்புதமான மருந்து. II) பருக்கள் மற்றும் கருப்பு புள்ளிகளுக்கு கூழ் முகத்தில் தடவப்படுகிறது.")</f>
        <v>i) குழந்தைகளில் குடல் புழுக்களுக்கு கூழ் ஒரு அற்புதமான மருந்து. II) பருக்கள் மற்றும் கருப்பு புள்ளிகளுக்கு கூழ் முகத்தில் தடவப்படுகிறது.</v>
      </c>
      <c r="AX32" s="4" t="s">
        <v>2453</v>
      </c>
      <c r="AY32" s="3"/>
      <c r="AZ32" s="3"/>
      <c r="BA32" s="3"/>
      <c r="BB32" s="3"/>
      <c r="BC32" s="3"/>
      <c r="BD32" s="3"/>
      <c r="BE32" s="3"/>
      <c r="BF32" s="3"/>
    </row>
    <row r="33" spans="1:58" ht="15.75" customHeight="1" x14ac:dyDescent="0.15">
      <c r="A33" s="3">
        <v>32</v>
      </c>
      <c r="B33" s="3" t="str">
        <f ca="1">IFERROR(__xludf.DUMMYFUNCTION("GOOGLETRANSLATE(C33,""en"",""ta"")"),"கற்றாழை லின். (லிலியேசி)")</f>
        <v>கற்றாழை லின். (லிலியேசி)</v>
      </c>
      <c r="C33" s="4" t="s">
        <v>431</v>
      </c>
      <c r="D33" s="3" t="str">
        <f ca="1">IFERROR(__xludf.DUMMYFUNCTION("GOOGLETRANSLATE(E33,""en"",""ta"")"),"க்ரித-குமாரி")</f>
        <v>க்ரித-குமாரி</v>
      </c>
      <c r="E33" s="4" t="s">
        <v>432</v>
      </c>
      <c r="F33" s="3" t="str">
        <f ca="1">IFERROR(__xludf.DUMMYFUNCTION("GOOGLETRANSLATE(G33,""en"",""ta"")"),"கத்ராழை")</f>
        <v>கத்ராழை</v>
      </c>
      <c r="G33" s="4" t="s">
        <v>433</v>
      </c>
      <c r="H33" s="3" t="str">
        <f ca="1">IFERROR(__xludf.DUMMYFUNCTION("GOOGLETRANSLATE(I33,""en"",""ta"")"),"இந்திய கற்றாழை")</f>
        <v>இந்திய கற்றாழை</v>
      </c>
      <c r="I33" s="4" t="s">
        <v>434</v>
      </c>
      <c r="J33" s="3" t="str">
        <f ca="1">IFERROR(__xludf.DUMMYFUNCTION("GOOGLETRANSLATE(K33,""en"",""ta"")"),"காலபண்டா")</f>
        <v>காலபண்டா</v>
      </c>
      <c r="K33" s="4" t="s">
        <v>435</v>
      </c>
      <c r="L33" s="3" t="str">
        <f ca="1">IFERROR(__xludf.DUMMYFUNCTION("GOOGLETRANSLATE(M33,""en"",""ta"")"),"கட்டவாலா")</f>
        <v>கட்டவாலா</v>
      </c>
      <c r="M33" s="4" t="s">
        <v>436</v>
      </c>
      <c r="N33" s="3" t="str">
        <f ca="1">IFERROR(__xludf.DUMMYFUNCTION("GOOGLETRANSLATE(O33,""en"",""ta"")"),"கிகன்வார்")</f>
        <v>கிகன்வார்</v>
      </c>
      <c r="O33" s="4" t="s">
        <v>437</v>
      </c>
      <c r="P33" s="3"/>
      <c r="Q33" s="3" t="str">
        <f ca="1">IFERROR(__xludf.DUMMYFUNCTION("GOOGLETRANSLATE(R33,""en"",""ta"")"),"ஒரு மெல்லிய வற்றாத மூலிகை, இலைகள் ரேடிகல், சதைப்பற்றுள்ள, காம்பற்ற, நீல நிறமானது, பச்சை நிறமானது, பெரும்பாலும் விளிம்புகள் மற்றும் நுனியில் கொம்பு முட்கள் நிறைந்தது, அடிப்பகுதியிலிருந்து நுனி வரை குறுகியது. மஞ்சரி கிளைத்த, முனைய ரேசீம் ஆகும், பூக்கள் மஞ்ச"&amp;"ள் அல்லது ஆரஞ்சு நிறத்தில் இருக்கும். பழங்கள் லோகுலிசிடல் காப்ஸ்யூல்.")</f>
        <v>ஒரு மெல்லிய வற்றாத மூலிகை, இலைகள் ரேடிகல், சதைப்பற்றுள்ள, காம்பற்ற, நீல நிறமானது, பச்சை நிறமானது, பெரும்பாலும் விளிம்புகள் மற்றும் நுனியில் கொம்பு முட்கள் நிறைந்தது, அடிப்பகுதியிலிருந்து நுனி வரை குறுகியது. மஞ்சரி கிளைத்த, முனைய ரேசீம் ஆகும், பூக்கள் மஞ்சள் அல்லது ஆரஞ்சு நிறத்தில் இருக்கும். பழங்கள் லோகுலிசிடல் காப்ஸ்யூல்.</v>
      </c>
      <c r="R33" s="4" t="s">
        <v>438</v>
      </c>
      <c r="S33" s="3" t="str">
        <f ca="1">IFERROR(__xludf.DUMMYFUNCTION("GOOGLETRANSLATE(T33,""en"",""ta"")"),"பெருங்குடல் வலி.")</f>
        <v>பெருங்குடல் வலி.</v>
      </c>
      <c r="T33" s="4" t="s">
        <v>439</v>
      </c>
      <c r="U33" s="3" t="str">
        <f ca="1">IFERROR(__xludf.DUMMYFUNCTION("GOOGLETRANSLATE(V33,""en"",""ta"")"),"#VALUE!")</f>
        <v>#VALUE!</v>
      </c>
      <c r="V33" s="3"/>
      <c r="W33" s="3" t="str">
        <f ca="1">IFERROR(__xludf.DUMMYFUNCTION("GOOGLETRANSLATE(X33,""en"",""ta"")"),"செரிமானமின்மை, மாதவிலக்கு, தீக்காயங்கள், பெருங்குடல் அழற்சி, ஹைப்பர்அடெனோசிஸ், ஹெபடோபதி, ஸ்ப்ளெனோபதி மற்றும் மாதவிடாய் குறைவு")</f>
        <v>செரிமானமின்மை, மாதவிலக்கு, தீக்காயங்கள், பெருங்குடல் அழற்சி, ஹைப்பர்அடெனோசிஸ், ஹெபடோபதி, ஸ்ப்ளெனோபதி மற்றும் மாதவிடாய் குறைவு</v>
      </c>
      <c r="X33" s="4" t="s">
        <v>440</v>
      </c>
      <c r="Y33" s="3" t="str">
        <f ca="1">IFERROR(__xludf.DUMMYFUNCTION("GOOGLETRANSLATE(Z33,""en"",""ta"")"),"#VALUE!")</f>
        <v>#VALUE!</v>
      </c>
      <c r="Z33" s="3"/>
      <c r="AA33" s="3" t="str">
        <f ca="1">IFERROR(__xludf.DUMMYFUNCTION("GOOGLETRANSLATE(AB33,""en"",""ta"")"),"#VALUE!")</f>
        <v>#VALUE!</v>
      </c>
      <c r="AB33" s="3"/>
      <c r="AC33" s="3" t="str">
        <f ca="1">IFERROR(__xludf.DUMMYFUNCTION("GOOGLETRANSLATE(AD33,""en"",""ta"")"),"#VALUE!")</f>
        <v>#VALUE!</v>
      </c>
      <c r="AD33" s="3"/>
      <c r="AE33" s="3" t="str">
        <f ca="1">IFERROR(__xludf.DUMMYFUNCTION("GOOGLETRANSLATE(AF33,""en"",""ta"")"),"#VALUE!")</f>
        <v>#VALUE!</v>
      </c>
      <c r="AF33" s="3"/>
      <c r="AG33" s="3" t="str">
        <f ca="1">IFERROR(__xludf.DUMMYFUNCTION("GOOGLETRANSLATE(AH33,""en"",""ta"")"),"#VALUE!")</f>
        <v>#VALUE!</v>
      </c>
      <c r="AH33" s="3"/>
      <c r="AI33" s="3" t="str">
        <f ca="1">IFERROR(__xludf.DUMMYFUNCTION("GOOGLETRANSLATE(AJ33,""en"",""ta"")"),"#VALUE!")</f>
        <v>#VALUE!</v>
      </c>
      <c r="AJ33" s="3"/>
      <c r="AK33" s="3" t="str">
        <f ca="1">IFERROR(__xludf.DUMMYFUNCTION("GOOGLETRANSLATE(AL33,""en"",""ta"")"),"#VALUE!")</f>
        <v>#VALUE!</v>
      </c>
      <c r="AL33" s="3"/>
      <c r="AM33" s="3" t="str">
        <f ca="1">IFERROR(__xludf.DUMMYFUNCTION("GOOGLETRANSLATE(AN33,""en"",""ta"")"),"#VALUE!")</f>
        <v>#VALUE!</v>
      </c>
      <c r="AN33" s="3"/>
      <c r="AO33" s="3" t="str">
        <f ca="1">IFERROR(__xludf.DUMMYFUNCTION("GOOGLETRANSLATE(AP33,""en"",""ta"")"),"#VALUE!")</f>
        <v>#VALUE!</v>
      </c>
      <c r="AP33" s="3"/>
      <c r="AQ33" s="3"/>
      <c r="AR33" s="3" t="str">
        <f ca="1">IFERROR(__xludf.DUMMYFUNCTION("GOOGLETRANSLATE(AS33,""en"",""ta"")"),"கசப்பு, குளிர்பதனப் பொருள், புழுக்களைக் கொல்லும் மருந்து, அபெரியண்ட், டையூரிடிக், கார்மினேட்டிவ், வயிற்று வலி நிவாரணி, எம்மெனாகோக், அலெக்ஸிடெரிக் மற்றும் அழற்சி எதிர்ப்பு மருந்து.")</f>
        <v>கசப்பு, குளிர்பதனப் பொருள், புழுக்களைக் கொல்லும் மருந்து, அபெரியண்ட், டையூரிடிக், கார்மினேட்டிவ், வயிற்று வலி நிவாரணி, எம்மெனாகோக், அலெக்ஸிடெரிக் மற்றும் அழற்சி எதிர்ப்பு மருந்து.</v>
      </c>
      <c r="AS33" s="4" t="s">
        <v>441</v>
      </c>
      <c r="AT33" s="3" t="str">
        <f ca="1">IFERROR(__xludf.DUMMYFUNCTION("GOOGLETRANSLATE(AU33,""en"",""ta"")"),"#VALUE!")</f>
        <v>#VALUE!</v>
      </c>
      <c r="AU33" s="3"/>
      <c r="AV33" s="3"/>
      <c r="AW33" s="3" t="str">
        <f ca="1">IFERROR(__xludf.DUMMYFUNCTION("GOOGLETRANSLATE(AX33,""en"",""ta"")"),"ii) தேன் மற்றும் மஞ்சள் கலந்த கூழ் இருமல் மற்றும் சளிக்கு கொடுக்கப்படுகிறது. வெள்ளைப்படுதல் 
மற்றும் பிற கருப்பை கோளாறுகளுக்கு கூழ் உட்புறமாக கொடுக்கப்படுகிறது.")</f>
        <v>ii) தேன் மற்றும் மஞ்சள் கலந்த கூழ் இருமல் மற்றும் சளிக்கு கொடுக்கப்படுகிறது. வெள்ளைப்படுதல் 
மற்றும் பிற கருப்பை கோளாறுகளுக்கு கூழ் உட்புறமாக கொடுக்கப்படுகிறது.</v>
      </c>
      <c r="AX33" s="4" t="s">
        <v>2454</v>
      </c>
      <c r="AY33" s="3"/>
      <c r="AZ33" s="3"/>
      <c r="BA33" s="3"/>
      <c r="BB33" s="3"/>
      <c r="BC33" s="3"/>
      <c r="BD33" s="3"/>
      <c r="BE33" s="3"/>
      <c r="BF33" s="3"/>
    </row>
    <row r="34" spans="1:58" ht="42" x14ac:dyDescent="0.15">
      <c r="A34" s="3">
        <v>33</v>
      </c>
      <c r="B34" s="3" t="str">
        <f ca="1">IFERROR(__xludf.DUMMYFUNCTION("GOOGLETRANSLATE(C34,""en"",""ta"")"),"அல்பினியா சினென்சிஸ் ரோஸ்க். (ஜிங்கிபெரேசி)")</f>
        <v>அல்பினியா சினென்சிஸ் ரோஸ்க். (ஜிங்கிபெரேசி)</v>
      </c>
      <c r="C34" s="4" t="s">
        <v>443</v>
      </c>
      <c r="D34" s="3" t="str">
        <f ca="1">IFERROR(__xludf.DUMMYFUNCTION("GOOGLETRANSLATE(E34,""en"",""ta"")"),"ரஸ்னா")</f>
        <v>ரஸ்னா</v>
      </c>
      <c r="E34" s="4" t="s">
        <v>444</v>
      </c>
      <c r="F34" s="3" t="str">
        <f ca="1">IFERROR(__xludf.DUMMYFUNCTION("GOOGLETRANSLATE(G34,""en"",""ta"")"),"சித்தரத்தை")</f>
        <v>சித்தரத்தை</v>
      </c>
      <c r="G34" s="4" t="s">
        <v>445</v>
      </c>
      <c r="H34" s="3" t="str">
        <f ca="1">IFERROR(__xludf.DUMMYFUNCTION("GOOGLETRANSLATE(I34,""en"",""ta"")"),"சிறிய கலங்கல்")</f>
        <v>சிறிய கலங்கல்</v>
      </c>
      <c r="I34" s="4" t="s">
        <v>446</v>
      </c>
      <c r="J34" s="3" t="str">
        <f ca="1">IFERROR(__xludf.DUMMYFUNCTION("GOOGLETRANSLATE(K34,""en"",""ta"")"),"சன்னராஸ்திரம்")</f>
        <v>சன்னராஸ்திரம்</v>
      </c>
      <c r="K34" s="4" t="s">
        <v>447</v>
      </c>
      <c r="L34" s="3" t="str">
        <f ca="1">IFERROR(__xludf.DUMMYFUNCTION("GOOGLETRANSLATE(M34,""en"",""ta"")"),"சித்தரதா")</f>
        <v>சித்தரதா</v>
      </c>
      <c r="M34" s="4" t="s">
        <v>448</v>
      </c>
      <c r="N34" s="3" t="str">
        <f ca="1">IFERROR(__xludf.DUMMYFUNCTION("GOOGLETRANSLATE(O34,""en"",""ta"")"),"குலாஞ்சன்")</f>
        <v>குலாஞ்சன்</v>
      </c>
      <c r="O34" s="4" t="s">
        <v>449</v>
      </c>
      <c r="P34" s="3"/>
      <c r="Q34" s="3" t="str">
        <f ca="1">IFERROR(__xludf.DUMMYFUNCTION("GOOGLETRANSLATE(R34,""en"",""ta"")"),"ஒரு வற்றாத வேர்த்தண்டுக்கிழங்கு மூலிகை, உயரமான இலை தண்டுடன் கிடைமட்டமாக வேர் தண்டு. இலைகள் எளிமையானவை, நேரியல், நீள்வட்டம், ஈட்டி வடிவானது, உரோமங்களற்றவை, கூரிய முனை, நாண் போன்றது மற்றும் சிலியேட் கொண்ட குறுகிய இலைக்காம்புடன். மஞ்சள் மற்றும் சிவப்பு நிற வ"&amp;"ண்ண வண்ணங்களுடன் முனைய பேனிக்கிள்களில் பூக்கள். பழங்கள் சிவப்பு நிற காப்ஸ்யூல்.")</f>
        <v>ஒரு வற்றாத வேர்த்தண்டுக்கிழங்கு மூலிகை, உயரமான இலை தண்டுடன் கிடைமட்டமாக வேர் தண்டு. இலைகள் எளிமையானவை, நேரியல், நீள்வட்டம், ஈட்டி வடிவானது, உரோமங்களற்றவை, கூரிய முனை, நாண் போன்றது மற்றும் சிலியேட் கொண்ட குறுகிய இலைக்காம்புடன். மஞ்சள் மற்றும் சிவப்பு நிற வண்ண வண்ணங்களுடன் முனைய பேனிக்கிள்களில் பூக்கள். பழங்கள் சிவப்பு நிற காப்ஸ்யூல்.</v>
      </c>
      <c r="R34" s="4" t="s">
        <v>450</v>
      </c>
      <c r="S34" s="3" t="str">
        <f ca="1">IFERROR(__xludf.DUMMYFUNCTION("GOOGLETRANSLATE(T34,""en"",""ta"")"),"இல்லை")</f>
        <v>இல்லை</v>
      </c>
      <c r="T34" s="3" t="s">
        <v>46</v>
      </c>
      <c r="U34" s="3" t="str">
        <f ca="1">IFERROR(__xludf.DUMMYFUNCTION("GOOGLETRANSLATE(V34,""en"",""ta"")"),"#VALUE!")</f>
        <v>#VALUE!</v>
      </c>
      <c r="V34" s="3"/>
      <c r="W34" s="3" t="str">
        <f ca="1">IFERROR(__xludf.DUMMYFUNCTION("GOOGLETRANSLATE(X34,""en"",""ta"")"),"#VALUE!")</f>
        <v>#VALUE!</v>
      </c>
      <c r="X34" s="3"/>
      <c r="Y34" s="3" t="str">
        <f ca="1">IFERROR(__xludf.DUMMYFUNCTION("GOOGLETRANSLATE(Z34,""en"",""ta"")"),"#VALUE!")</f>
        <v>#VALUE!</v>
      </c>
      <c r="Z34" s="3"/>
      <c r="AA34" s="3" t="str">
        <f ca="1">IFERROR(__xludf.DUMMYFUNCTION("GOOGLETRANSLATE(AB34,""en"",""ta"")"),"#VALUE!")</f>
        <v>#VALUE!</v>
      </c>
      <c r="AB34" s="3"/>
      <c r="AC34" s="3" t="str">
        <f ca="1">IFERROR(__xludf.DUMMYFUNCTION("GOOGLETRANSLATE(AD34,""en"",""ta"")"),"#VALUE!")</f>
        <v>#VALUE!</v>
      </c>
      <c r="AD34" s="3"/>
      <c r="AE34" s="3" t="str">
        <f ca="1">IFERROR(__xludf.DUMMYFUNCTION("GOOGLETRANSLATE(AF34,""en"",""ta"")"),"#VALUE!")</f>
        <v>#VALUE!</v>
      </c>
      <c r="AF34" s="3"/>
      <c r="AG34" s="3" t="str">
        <f ca="1">IFERROR(__xludf.DUMMYFUNCTION("GOOGLETRANSLATE(AH34,""en"",""ta"")"),"#VALUE!")</f>
        <v>#VALUE!</v>
      </c>
      <c r="AH34" s="3"/>
      <c r="AI34" s="3" t="str">
        <f ca="1">IFERROR(__xludf.DUMMYFUNCTION("GOOGLETRANSLATE(AJ34,""en"",""ta"")"),"#VALUE!")</f>
        <v>#VALUE!</v>
      </c>
      <c r="AJ34" s="3"/>
      <c r="AK34" s="3" t="str">
        <f ca="1">IFERROR(__xludf.DUMMYFUNCTION("GOOGLETRANSLATE(AL34,""en"",""ta"")"),"#VALUE!")</f>
        <v>#VALUE!</v>
      </c>
      <c r="AL34" s="3"/>
      <c r="AM34" s="3" t="str">
        <f ca="1">IFERROR(__xludf.DUMMYFUNCTION("GOOGLETRANSLATE(AN34,""en"",""ta"")"),"#VALUE!")</f>
        <v>#VALUE!</v>
      </c>
      <c r="AN34" s="3"/>
      <c r="AO34" s="3" t="str">
        <f ca="1">IFERROR(__xludf.DUMMYFUNCTION("GOOGLETRANSLATE(AP34,""en"",""ta"")"),"#VALUE!")</f>
        <v>#VALUE!</v>
      </c>
      <c r="AP34" s="3"/>
      <c r="AQ34" s="3"/>
      <c r="AR34" s="3" t="str">
        <f ca="1">IFERROR(__xludf.DUMMYFUNCTION("GOOGLETRANSLATE(AS34,""en"",""ta"")"),"கசப்பு, பசியைத் தூண்டும், டானிக் மற்றும் கார்மினேட்டிவ்.")</f>
        <v>கசப்பு, பசியைத் தூண்டும், டானிக் மற்றும் கார்மினேட்டிவ்.</v>
      </c>
      <c r="AS34" s="4" t="s">
        <v>451</v>
      </c>
      <c r="AT34" s="3" t="str">
        <f ca="1">IFERROR(__xludf.DUMMYFUNCTION("GOOGLETRANSLATE(AU34,""en"",""ta"")"),"கலங்கின், அல்பினின், கேம்ப்ஃபெரால், கலங்கோல், கேம்ப்ஃபெரைடு மற்றும் குளுக்கோசைடு.")</f>
        <v>கலங்கின், அல்பினின், கேம்ப்ஃபெரால், கலங்கோல், கேம்ப்ஃபெரைடு மற்றும் குளுக்கோசைடு.</v>
      </c>
      <c r="AU34" s="4" t="s">
        <v>452</v>
      </c>
      <c r="AV34" s="3"/>
      <c r="AW34" s="3" t="str">
        <f ca="1">IFERROR(__xludf.DUMMYFUNCTION("GOOGLETRANSLATE(AX34,""en"",""ta"")"),"i) ii) வேரின் சாற்றின் பொடியை தேனுடன் கலந்து இருமல் மற்றும் சளிக்கு கொடுக்க வேண்டும். வேரின் சாற்றின் ஒரு பகுதியை மென்று சாப்பிடுவதால் வாந்தி கட்டுப்படுத்தப்படும்.")</f>
        <v>i) ii) வேரின் சாற்றின் பொடியை தேனுடன் கலந்து இருமல் மற்றும் சளிக்கு கொடுக்க வேண்டும். வேரின் சாற்றின் ஒரு பகுதியை மென்று சாப்பிடுவதால் வாந்தி கட்டுப்படுத்தப்படும்.</v>
      </c>
      <c r="AX34" s="4" t="s">
        <v>2455</v>
      </c>
      <c r="AY34" s="3"/>
      <c r="AZ34" s="3"/>
      <c r="BA34" s="3"/>
      <c r="BB34" s="3"/>
      <c r="BC34" s="3"/>
      <c r="BD34" s="3"/>
      <c r="BE34" s="3"/>
      <c r="BF34" s="3"/>
    </row>
    <row r="35" spans="1:58" ht="70" x14ac:dyDescent="0.15">
      <c r="A35" s="3">
        <v>34</v>
      </c>
      <c r="B35" s="3" t="str">
        <f ca="1">IFERROR(__xludf.DUMMYFUNCTION("GOOGLETRANSLATE(C35,""en"",""ta"")"),"அல்பினியா கலங்கா (லின்.) வில்ட். (ஜிங்கிபெரேசி)")</f>
        <v>அல்பினியா கலங்கா (லின்.) வில்ட். (ஜிங்கிபெரேசி)</v>
      </c>
      <c r="C35" s="4" t="s">
        <v>454</v>
      </c>
      <c r="D35" s="3" t="str">
        <f ca="1">IFERROR(__xludf.DUMMYFUNCTION("GOOGLETRANSLATE(E35,""en"",""ta"")"),"சுகந்த வாச்சா")</f>
        <v>சுகந்த வாச்சா</v>
      </c>
      <c r="E35" s="4" t="s">
        <v>455</v>
      </c>
      <c r="F35" s="3" t="str">
        <f ca="1">IFERROR(__xludf.DUMMYFUNCTION("GOOGLETRANSLATE(G35,""en"",""ta"")"),"பேரரத்தை")</f>
        <v>பேரரத்தை</v>
      </c>
      <c r="G35" s="4" t="s">
        <v>456</v>
      </c>
      <c r="H35" s="3" t="str">
        <f ca="1">IFERROR(__xludf.DUMMYFUNCTION("GOOGLETRANSLATE(I35,""en"",""ta"")"),"பெரிய கலங்கல்")</f>
        <v>பெரிய கலங்கல்</v>
      </c>
      <c r="I35" s="4" t="s">
        <v>457</v>
      </c>
      <c r="J35" s="3" t="str">
        <f ca="1">IFERROR(__xludf.DUMMYFUNCTION("GOOGLETRANSLATE(K35,""en"",""ta"")"),"பெத்த தும்பா")</f>
        <v>பெத்த தும்பா</v>
      </c>
      <c r="K35" s="4" t="s">
        <v>458</v>
      </c>
      <c r="L35" s="3" t="str">
        <f ca="1">IFERROR(__xludf.DUMMYFUNCTION("GOOGLETRANSLATE(M35,""en"",""ta"")"),"பேரரத்தை")</f>
        <v>பேரரத்தை</v>
      </c>
      <c r="M35" s="4" t="s">
        <v>456</v>
      </c>
      <c r="N35" s="3" t="str">
        <f ca="1">IFERROR(__xludf.DUMMYFUNCTION("GOOGLETRANSLATE(O35,""en"",""ta"")"),"பராகுலிங்கன்")</f>
        <v>பராகுலிங்கன்</v>
      </c>
      <c r="O35" s="4" t="s">
        <v>459</v>
      </c>
      <c r="P35" s="3"/>
      <c r="Q35" s="3" t="str">
        <f ca="1">IFERROR(__xludf.DUMMYFUNCTION("GOOGLETRANSLATE(R35,""en"",""ta"")"),"கிழங்கு போன்ற, நறுமணமுள்ள வேர் தண்டுகளைக் கொண்ட ஒரு வற்றாத மூலிகை. இலைகள் அகலமாகவும், ஈட்டி வடிவமாகவும், கூர்மையாகவும் இருக்கும், மேல் மேற்பரப்பு மென்மையாகவும், கீழ் மேற்பரப்பு ரோமங்களுடனும் இருக்கும். மலர்கள் சிறிய பச்சை நிற வெள்ளை நிறத்தில் சிவப்பு நிற "&amp;"கோடுகளுடன், ரேஸ்மி மஞ்சரியில் காணப்படும். பழங்கள் வட்டமாகவும், சிவப்பு நிறமாகவும் இருக்கும். விதைகள் லேசானவை, தட்டையானவை, முக்கோணமானது மற்றும் மணம் கொண்டவை.")</f>
        <v>கிழங்கு போன்ற, நறுமணமுள்ள வேர் தண்டுகளைக் கொண்ட ஒரு வற்றாத மூலிகை. இலைகள் அகலமாகவும், ஈட்டி வடிவமாகவும், கூர்மையாகவும் இருக்கும், மேல் மேற்பரப்பு மென்மையாகவும், கீழ் மேற்பரப்பு ரோமங்களுடனும் இருக்கும். மலர்கள் சிறிய பச்சை நிற வெள்ளை நிறத்தில் சிவப்பு நிற கோடுகளுடன், ரேஸ்மி மஞ்சரியில் காணப்படும். பழங்கள் வட்டமாகவும், சிவப்பு நிறமாகவும் இருக்கும். விதைகள் லேசானவை, தட்டையானவை, முக்கோணமானது மற்றும் மணம் கொண்டவை.</v>
      </c>
      <c r="R35" s="4" t="s">
        <v>460</v>
      </c>
      <c r="S35" s="3" t="str">
        <f ca="1">IFERROR(__xludf.DUMMYFUNCTION("GOOGLETRANSLATE(T35,""en"",""ta"")"),"இல்லை")</f>
        <v>இல்லை</v>
      </c>
      <c r="T35" s="3" t="s">
        <v>46</v>
      </c>
      <c r="U35" s="3" t="str">
        <f ca="1">IFERROR(__xludf.DUMMYFUNCTION("GOOGLETRANSLATE(V35,""en"",""ta"")"),"சுவாசக் கோளாறுகள், இரைப்பை குடல் நோய்கள், காய்ச்சல் மற்றும் நீரிழிவு நோய்.")</f>
        <v>சுவாசக் கோளாறுகள், இரைப்பை குடல் நோய்கள், காய்ச்சல் மற்றும் நீரிழிவு நோய்.</v>
      </c>
      <c r="V35" s="4" t="s">
        <v>461</v>
      </c>
      <c r="W35" s="3" t="str">
        <f ca="1">IFERROR(__xludf.DUMMYFUNCTION("GOOGLETRANSLATE(X35,""en"",""ta"")"),"#VALUE!")</f>
        <v>#VALUE!</v>
      </c>
      <c r="X35" s="3"/>
      <c r="Y35" s="3" t="str">
        <f ca="1">IFERROR(__xludf.DUMMYFUNCTION("GOOGLETRANSLATE(Z35,""en"",""ta"")"),"#VALUE!")</f>
        <v>#VALUE!</v>
      </c>
      <c r="Z35" s="3"/>
      <c r="AA35" s="3" t="str">
        <f ca="1">IFERROR(__xludf.DUMMYFUNCTION("GOOGLETRANSLATE(AB35,""en"",""ta"")"),"#VALUE!")</f>
        <v>#VALUE!</v>
      </c>
      <c r="AB35" s="3"/>
      <c r="AC35" s="3" t="str">
        <f ca="1">IFERROR(__xludf.DUMMYFUNCTION("GOOGLETRANSLATE(AD35,""en"",""ta"")"),"#VALUE!")</f>
        <v>#VALUE!</v>
      </c>
      <c r="AD35" s="3"/>
      <c r="AE35" s="3" t="str">
        <f ca="1">IFERROR(__xludf.DUMMYFUNCTION("GOOGLETRANSLATE(AF35,""en"",""ta"")"),"#VALUE!")</f>
        <v>#VALUE!</v>
      </c>
      <c r="AF35" s="3"/>
      <c r="AG35" s="3" t="str">
        <f ca="1">IFERROR(__xludf.DUMMYFUNCTION("GOOGLETRANSLATE(AH35,""en"",""ta"")"),"#VALUE!")</f>
        <v>#VALUE!</v>
      </c>
      <c r="AH35" s="3"/>
      <c r="AI35" s="3" t="str">
        <f ca="1">IFERROR(__xludf.DUMMYFUNCTION("GOOGLETRANSLATE(AJ35,""en"",""ta"")"),"#VALUE!")</f>
        <v>#VALUE!</v>
      </c>
      <c r="AJ35" s="3"/>
      <c r="AK35" s="3" t="str">
        <f ca="1">IFERROR(__xludf.DUMMYFUNCTION("GOOGLETRANSLATE(AL35,""en"",""ta"")"),"#VALUE!")</f>
        <v>#VALUE!</v>
      </c>
      <c r="AL35" s="3"/>
      <c r="AM35" s="3" t="str">
        <f ca="1">IFERROR(__xludf.DUMMYFUNCTION("GOOGLETRANSLATE(AN35,""en"",""ta"")"),"#VALUE!")</f>
        <v>#VALUE!</v>
      </c>
      <c r="AN35" s="3"/>
      <c r="AO35" s="3" t="str">
        <f ca="1">IFERROR(__xludf.DUMMYFUNCTION("GOOGLETRANSLATE(AP35,""en"",""ta"")"),"#VALUE!")</f>
        <v>#VALUE!</v>
      </c>
      <c r="AP35" s="3"/>
      <c r="AQ35" s="3"/>
      <c r="AR35" s="3" t="str">
        <f ca="1">IFERROR(__xludf.DUMMYFUNCTION("GOOGLETRANSLATE(AS35,""en"",""ta"")"),"நறுமணப் பொருள், தூண்டுதல் பொருள், கசப்பு மருந்து, வயிற்றுப் போக்கினை ஏற்படுத்தும் மருந்து, இரைப்பை குடல் அழற்சி மருந்து மற்றும் சளி நீக்க மருந்து.")</f>
        <v>நறுமணப் பொருள், தூண்டுதல் பொருள், கசப்பு மருந்து, வயிற்றுப் போக்கினை ஏற்படுத்தும் மருந்து, இரைப்பை குடல் அழற்சி மருந்து மற்றும் சளி நீக்க மருந்து.</v>
      </c>
      <c r="AS35" s="4" t="s">
        <v>462</v>
      </c>
      <c r="AT35" s="3" t="str">
        <f ca="1">IFERROR(__xludf.DUMMYFUNCTION("GOOGLETRANSLATE(AU35,""en"",""ta"")"),"கலங்கின், ஆல்பினின், கேம்ப்ஃபெரால், குயர்செடின், பென்டாடேக்கேன், 3-மெத்தில் ஈதர் கேம்ப்ஃபெரைடு")</f>
        <v>கலங்கின், ஆல்பினின், கேம்ப்ஃபெரால், குயர்செடின், பென்டாடேக்கேன், 3-மெத்தில் ஈதர் கேம்ப்ஃபெரைடு</v>
      </c>
      <c r="AU35" s="4" t="s">
        <v>463</v>
      </c>
      <c r="AV35" s="3"/>
      <c r="AW35" s="3" t="str">
        <f ca="1">IFERROR(__xludf.DUMMYFUNCTION("GOOGLETRANSLATE(AX35,""en"",""ta"")"),"i) தேனில் உள்ள வேர் குழம்பு 
கக்குவான் இருமல் உள்ள குழந்தைகளுக்கு பராக்ஸிஸத்தை குணப்படுத்துகிறது. 
ii) வேர் குழம்பு பொடியை நீண்ட மிளகுடன் சேர்த்து 
மதுரத்தை கஷாயமாக 
தேனுடன் சேர்த்து சாப்பிடுவது ஆஸ்துமாவை குணப்படுத்துகிறது.")</f>
        <v>i) தேனில் உள்ள வேர் குழம்பு 
கக்குவான் இருமல் உள்ள குழந்தைகளுக்கு பராக்ஸிஸத்தை குணப்படுத்துகிறது. 
ii) வேர் குழம்பு பொடியை நீண்ட மிளகுடன் சேர்த்து 
மதுரத்தை கஷாயமாக 
தேனுடன் சேர்த்து சாப்பிடுவது ஆஸ்துமாவை குணப்படுத்துகிறது.</v>
      </c>
      <c r="AX35" s="3" t="s">
        <v>2456</v>
      </c>
      <c r="AY35" s="3"/>
      <c r="AZ35" s="3"/>
      <c r="BA35" s="3"/>
      <c r="BB35" s="3"/>
      <c r="BC35" s="3"/>
      <c r="BD35" s="3"/>
      <c r="BE35" s="3"/>
      <c r="BF35" s="3"/>
    </row>
    <row r="36" spans="1:58" ht="56" x14ac:dyDescent="0.15">
      <c r="A36" s="3">
        <v>35</v>
      </c>
      <c r="B36" s="3" t="str">
        <f ca="1">IFERROR(__xludf.DUMMYFUNCTION("GOOGLETRANSLATE(C36,""en"",""ta"")"),"அல்ஸ்டோனியா அறிஞர் R.Br. (Apocynaceae)")</f>
        <v>அல்ஸ்டோனியா அறிஞர் R.Br. (Apocynaceae)</v>
      </c>
      <c r="C36" s="4" t="s">
        <v>465</v>
      </c>
      <c r="D36" s="3" t="str">
        <f ca="1">IFERROR(__xludf.DUMMYFUNCTION("GOOGLETRANSLATE(E36,""en"",""ta"")"),"சப்தபர்ணா")</f>
        <v>சப்தபர்ணா</v>
      </c>
      <c r="E36" s="4" t="s">
        <v>466</v>
      </c>
      <c r="F36" s="3" t="str">
        <f ca="1">IFERROR(__xludf.DUMMYFUNCTION("GOOGLETRANSLATE(G36,""en"",""ta"")"),"எழிலைப்பாலை")</f>
        <v>எழிலைப்பாலை</v>
      </c>
      <c r="G36" s="4" t="s">
        <v>467</v>
      </c>
      <c r="H36" s="3" t="str">
        <f ca="1">IFERROR(__xludf.DUMMYFUNCTION("GOOGLETRANSLATE(I36,""en"",""ta"")"),"பிசாசின் மரம்")</f>
        <v>பிசாசின் மரம்</v>
      </c>
      <c r="I36" s="4" t="s">
        <v>2457</v>
      </c>
      <c r="J36" s="3" t="str">
        <f ca="1">IFERROR(__xludf.DUMMYFUNCTION("GOOGLETRANSLATE(K36,""en"",""ta"")"),"எடக்குலா பாலா")</f>
        <v>எடக்குலா பாலா</v>
      </c>
      <c r="K36" s="4" t="s">
        <v>468</v>
      </c>
      <c r="L36" s="3" t="str">
        <f ca="1">IFERROR(__xludf.DUMMYFUNCTION("GOOGLETRANSLATE(M36,""en"",""ta"")"),"ஏரிலம்பாலா")</f>
        <v>ஏரிலம்பாலா</v>
      </c>
      <c r="M36" s="4" t="s">
        <v>469</v>
      </c>
      <c r="N36" s="3" t="str">
        <f ca="1">IFERROR(__xludf.DUMMYFUNCTION("GOOGLETRANSLATE(O36,""en"",""ta"")"),"டாட்யுனி")</f>
        <v>டாட்யுனி</v>
      </c>
      <c r="O36" s="4" t="s">
        <v>470</v>
      </c>
      <c r="P36" s="3"/>
      <c r="Q36" s="3" t="str">
        <f ca="1">IFERROR(__xludf.DUMMYFUNCTION("GOOGLETRANSLATE(R36,""en"",""ta"")"),"பசுமையான மரமான இதன் பட்டை அடர்த்தியாகவும், நுண்துளைகள் கொண்டதாகவும், வெள்ளை நிறமாகவும் இருக்கும். வெட்டும்போது பால் போன்ற மரப்பால் கசிந்து வெளியேறும். ஒவ்வொரு சுருளிலும் ஏழு இலைகள், நுனியை நோக்கி அகன்ற மற்றும் கரும் பச்சை நிறமாகவும், முனையை நோக்கி வெண்மைய"&amp;"ாகவும் இருக்கும். பூக்கள் கொத்தாக, வழக்கமான, முனைய அம்பல்லேட் சைமில் ஹெர்மோஃப்ரோடைட்டாகத் தோன்றும். பழங்கள் இரட்டை நுண்ணறை. விதைகள் இரு முனைகளிலும் சிலியேட் இருக்கும்.")</f>
        <v>பசுமையான மரமான இதன் பட்டை அடர்த்தியாகவும், நுண்துளைகள் கொண்டதாகவும், வெள்ளை நிறமாகவும் இருக்கும். வெட்டும்போது பால் போன்ற மரப்பால் கசிந்து வெளியேறும். ஒவ்வொரு சுருளிலும் ஏழு இலைகள், நுனியை நோக்கி அகன்ற மற்றும் கரும் பச்சை நிறமாகவும், முனையை நோக்கி வெண்மையாகவும் இருக்கும். பூக்கள் கொத்தாக, வழக்கமான, முனைய அம்பல்லேட் சைமில் ஹெர்மோஃப்ரோடைட்டாகத் தோன்றும். பழங்கள் இரட்டை நுண்ணறை. விதைகள் இரு முனைகளிலும் சிலியேட் இருக்கும்.</v>
      </c>
      <c r="R36" s="4" t="s">
        <v>471</v>
      </c>
      <c r="S36" s="3" t="str">
        <f ca="1">IFERROR(__xludf.DUMMYFUNCTION("GOOGLETRANSLATE(T36,""en"",""ta"")"),"இல்லை")</f>
        <v>இல்லை</v>
      </c>
      <c r="T36" s="3" t="s">
        <v>46</v>
      </c>
      <c r="U36" s="3" t="str">
        <f ca="1">IFERROR(__xludf.DUMMYFUNCTION("GOOGLETRANSLATE(V36,""en"",""ta"")"),"#VALUE!")</f>
        <v>#VALUE!</v>
      </c>
      <c r="V36" s="3"/>
      <c r="W36" s="3" t="str">
        <f ca="1">IFERROR(__xludf.DUMMYFUNCTION("GOOGLETRANSLATE(X36,""en"",""ta"")"),"பாம்பு கடி.")</f>
        <v>பாம்பு கடி.</v>
      </c>
      <c r="X36" s="4" t="s">
        <v>472</v>
      </c>
      <c r="Y36" s="3" t="str">
        <f ca="1">IFERROR(__xludf.DUMMYFUNCTION("GOOGLETRANSLATE(Z36,""en"",""ta"")"),"#VALUE!")</f>
        <v>#VALUE!</v>
      </c>
      <c r="Z36" s="3"/>
      <c r="AA36" s="3" t="str">
        <f ca="1">IFERROR(__xludf.DUMMYFUNCTION("GOOGLETRANSLATE(AB36,""en"",""ta"")"),"உடல் நலக்குறைவு, காய்ச்சல், நாள்பட்ட வயிற்றுப்போக்கு, வயிற்றுப்போக்கு மற்றும் சளி காய்ச்சல்.")</f>
        <v>உடல் நலக்குறைவு, காய்ச்சல், நாள்பட்ட வயிற்றுப்போக்கு, வயிற்றுப்போக்கு மற்றும் சளி காய்ச்சல்.</v>
      </c>
      <c r="AB36" s="4" t="s">
        <v>473</v>
      </c>
      <c r="AC36" s="3" t="str">
        <f ca="1">IFERROR(__xludf.DUMMYFUNCTION("GOOGLETRANSLATE(AD36,""en"",""ta"")"),"#VALUE!")</f>
        <v>#VALUE!</v>
      </c>
      <c r="AD36" s="3"/>
      <c r="AE36" s="3" t="str">
        <f ca="1">IFERROR(__xludf.DUMMYFUNCTION("GOOGLETRANSLATE(AF36,""en"",""ta"")"),"#VALUE!")</f>
        <v>#VALUE!</v>
      </c>
      <c r="AF36" s="3"/>
      <c r="AG36" s="3" t="str">
        <f ca="1">IFERROR(__xludf.DUMMYFUNCTION("GOOGLETRANSLATE(AH36,""en"",""ta"")"),"#VALUE!")</f>
        <v>#VALUE!</v>
      </c>
      <c r="AH36" s="3"/>
      <c r="AI36" s="3" t="str">
        <f ca="1">IFERROR(__xludf.DUMMYFUNCTION("GOOGLETRANSLATE(AJ36,""en"",""ta"")"),"#VALUE!")</f>
        <v>#VALUE!</v>
      </c>
      <c r="AJ36" s="3"/>
      <c r="AK36" s="3" t="str">
        <f ca="1">IFERROR(__xludf.DUMMYFUNCTION("GOOGLETRANSLATE(AL36,""en"",""ta"")"),"#VALUE!")</f>
        <v>#VALUE!</v>
      </c>
      <c r="AL36" s="3"/>
      <c r="AM36" s="3" t="str">
        <f ca="1">IFERROR(__xludf.DUMMYFUNCTION("GOOGLETRANSLATE(AN36,""en"",""ta"")"),"#VALUE!")</f>
        <v>#VALUE!</v>
      </c>
      <c r="AN36" s="3"/>
      <c r="AO36" s="3" t="str">
        <f ca="1">IFERROR(__xludf.DUMMYFUNCTION("GOOGLETRANSLATE(AP36,""en"",""ta"")"),"#VALUE!")</f>
        <v>#VALUE!</v>
      </c>
      <c r="AP36" s="3"/>
      <c r="AQ36" s="3"/>
      <c r="AR36" s="3" t="str">
        <f ca="1">IFERROR(__xludf.DUMMYFUNCTION("GOOGLETRANSLATE(AS36,""en"",""ta"")"),"தூண்டுதல், இரைப்பை அழற்சி, வயிற்று வலி, கசப்பு, டானிக், துவர்ப்பு, பாலுணர்வூக்கி, சளி நீக்கி, காய்ச்சல், மாற்று மற்றும் ஆண்டிபீரியோடிக்.")</f>
        <v>தூண்டுதல், இரைப்பை அழற்சி, வயிற்று வலி, கசப்பு, டானிக், துவர்ப்பு, பாலுணர்வூக்கி, சளி நீக்கி, காய்ச்சல், மாற்று மற்றும் ஆண்டிபீரியோடிக்.</v>
      </c>
      <c r="AS36" s="4" t="s">
        <v>474</v>
      </c>
      <c r="AT36" s="3" t="str">
        <f ca="1">IFERROR(__xludf.DUMMYFUNCTION("GOOGLETRANSLATE(AU36,""en"",""ta"")"),"பிக்ரினைன், ஸ்ட்ரிக்டமைன், லூபியோல், டியூபோடைமைன், அக்குஅமிஜின், பால்மிடிக் அமிலம், ஆல்கலாய்டு, டிலமைன் மற்றும் எசிடமைன்.")</f>
        <v>பிக்ரினைன், ஸ்ட்ரிக்டமைன், லூபியோல், டியூபோடைமைன், அக்குஅமிஜின், பால்மிடிக் அமிலம், ஆல்கலாய்டு, டிலமைன் மற்றும் எசிடமைன்.</v>
      </c>
      <c r="AU36" s="4" t="s">
        <v>475</v>
      </c>
      <c r="AV36" s="3"/>
      <c r="AW36" s="3" t="str">
        <f ca="1">IFERROR(__xludf.DUMMYFUNCTION("GOOGLETRANSLATE(AX36,""en"",""ta"")"),"i) வயிற்றுப் புண் மற்றும் புழு தொல்லைக்கு வேர்ப் பொடியை தேன் சேர்த்து உள்ளுக்குள்ளாகக் கொடுக்க வேண்டும். ii) தொழுநோய் ஏற்பட்டால் பட்டையின் சாற்றை பசுவின் பாலுடன் உள்ளுக்குள்ளாகக் கொடுக்க வேண்டும்.")</f>
        <v>i) வயிற்றுப் புண் மற்றும் புழு தொல்லைக்கு வேர்ப் பொடியை தேன் சேர்த்து உள்ளுக்குள்ளாகக் கொடுக்க வேண்டும். ii) தொழுநோய் ஏற்பட்டால் பட்டையின் சாற்றை பசுவின் பாலுடன் உள்ளுக்குள்ளாகக் கொடுக்க வேண்டும்.</v>
      </c>
      <c r="AX36" s="4" t="s">
        <v>2458</v>
      </c>
      <c r="AY36" s="3"/>
      <c r="AZ36" s="3"/>
      <c r="BA36" s="3"/>
      <c r="BB36" s="3"/>
      <c r="BC36" s="3"/>
      <c r="BD36" s="3"/>
      <c r="BE36" s="3"/>
      <c r="BF36" s="3"/>
    </row>
    <row r="37" spans="1:58" ht="28" x14ac:dyDescent="0.15">
      <c r="A37" s="3">
        <v>36</v>
      </c>
      <c r="B37" s="3" t="str">
        <f ca="1">IFERROR(__xludf.DUMMYFUNCTION("GOOGLETRANSLATE(C37,""en"",""ta"")"),"ஆல்டர்நந்தெரா செசிலிஸ் (லின்.) டிசி. (அமரந்தேசி)")</f>
        <v>ஆல்டர்நந்தெரா செசிலிஸ் (லின்.) டிசி. (அமரந்தேசி)</v>
      </c>
      <c r="C37" s="4" t="s">
        <v>477</v>
      </c>
      <c r="D37" s="3" t="str">
        <f ca="1">IFERROR(__xludf.DUMMYFUNCTION("GOOGLETRANSLATE(E37,""en"",""ta"")"),"ஜியோகிரா")</f>
        <v>ஜியோகிரா</v>
      </c>
      <c r="E37" s="4" t="s">
        <v>478</v>
      </c>
      <c r="F37" s="3" t="str">
        <f ca="1">IFERROR(__xludf.DUMMYFUNCTION("GOOGLETRANSLATE(G37,""en"",""ta"")"),"பொன்னாங்கண்ணி")</f>
        <v>பொன்னாங்கண்ணி</v>
      </c>
      <c r="G37" s="4" t="s">
        <v>479</v>
      </c>
      <c r="H37" s="3" t="str">
        <f ca="1">IFERROR(__xludf.DUMMYFUNCTION("GOOGLETRANSLATE(I37,""en"",""ta"")"),"ஆல்டர்னாந்தெரா")</f>
        <v>ஆல்டர்னாந்தெரா</v>
      </c>
      <c r="I37" s="4" t="s">
        <v>480</v>
      </c>
      <c r="J37" s="3" t="str">
        <f ca="1">IFERROR(__xludf.DUMMYFUNCTION("GOOGLETRANSLATE(K37,""en"",""ta"")"),"பொன்னங்கண்டி குரா")</f>
        <v>பொன்னங்கண்டி குரா</v>
      </c>
      <c r="K37" s="4" t="s">
        <v>481</v>
      </c>
      <c r="L37" s="3" t="str">
        <f ca="1">IFERROR(__xludf.DUMMYFUNCTION("GOOGLETRANSLATE(M37,""en"",""ta"")"),"பொன்னாங்கண்ணி")</f>
        <v>பொன்னாங்கண்ணி</v>
      </c>
      <c r="M37" s="4" t="s">
        <v>482</v>
      </c>
      <c r="N37" s="3" t="str">
        <f ca="1">IFERROR(__xludf.DUMMYFUNCTION("GOOGLETRANSLATE(O37,""en"",""ta"")"),"குடாரிசாக்")</f>
        <v>குடாரிசாக்</v>
      </c>
      <c r="O37" s="4" t="s">
        <v>483</v>
      </c>
      <c r="P37" s="3"/>
      <c r="Q37" s="3" t="str">
        <f ca="1">IFERROR(__xludf.DUMMYFUNCTION("GOOGLETRANSLATE(R37,""en"",""ta"")"),"வருடாந்திர அல்லது வற்றாத, நீண்ட கிளைகளைக் கொண்ட, கீழ் முனைகளில் வேர்விடும். இலைகள் எளிமையானவை, எதிரெதிர், நேரியல். மலர்கள் சிறியவை, வெள்ளை நிறத்தில், சிறிய இலைக்கோணங்களில் கொத்தாக மின்னும். பழங்கள் சுருக்கப்பட்ட யூட்ரிக்கிள்கள். விதைகள் சிறியவை மற்றும் து"&amp;"ணை-வட்ட வடிவிலானவை.")</f>
        <v>வருடாந்திர அல்லது வற்றாத, நீண்ட கிளைகளைக் கொண்ட, கீழ் முனைகளில் வேர்விடும். இலைகள் எளிமையானவை, எதிரெதிர், நேரியல். மலர்கள் சிறியவை, வெள்ளை நிறத்தில், சிறிய இலைக்கோணங்களில் கொத்தாக மின்னும். பழங்கள் சுருக்கப்பட்ட யூட்ரிக்கிள்கள். விதைகள் சிறியவை மற்றும் துணை-வட்ட வடிவிலானவை.</v>
      </c>
      <c r="R37" s="4" t="s">
        <v>484</v>
      </c>
      <c r="S37" s="3" t="str">
        <f ca="1">IFERROR(__xludf.DUMMYFUNCTION("GOOGLETRANSLATE(T37,""en"",""ta"")"),"இல்லை")</f>
        <v>இல்லை</v>
      </c>
      <c r="T37" s="3" t="s">
        <v>46</v>
      </c>
      <c r="U37" s="3" t="str">
        <f ca="1">IFERROR(__xludf.DUMMYFUNCTION("GOOGLETRANSLATE(V37,""en"",""ta"")"),"#VALUE!")</f>
        <v>#VALUE!</v>
      </c>
      <c r="V37" s="3"/>
      <c r="W37" s="3" t="str">
        <f ca="1">IFERROR(__xludf.DUMMYFUNCTION("GOOGLETRANSLATE(X37,""en"",""ta"")"),"#VALUE!")</f>
        <v>#VALUE!</v>
      </c>
      <c r="X37" s="3"/>
      <c r="Y37" s="3" t="str">
        <f ca="1">IFERROR(__xludf.DUMMYFUNCTION("GOOGLETRANSLATE(Z37,""en"",""ta"")"),"#VALUE!")</f>
        <v>#VALUE!</v>
      </c>
      <c r="Z37" s="3"/>
      <c r="AA37" s="3" t="str">
        <f ca="1">IFERROR(__xludf.DUMMYFUNCTION("GOOGLETRANSLATE(AB37,""en"",""ta"")"),"#VALUE!")</f>
        <v>#VALUE!</v>
      </c>
      <c r="AB37" s="3"/>
      <c r="AC37" s="3" t="str">
        <f ca="1">IFERROR(__xludf.DUMMYFUNCTION("GOOGLETRANSLATE(AD37,""en"",""ta"")"),"#VALUE!")</f>
        <v>#VALUE!</v>
      </c>
      <c r="AD37" s="3"/>
      <c r="AE37" s="3" t="str">
        <f ca="1">IFERROR(__xludf.DUMMYFUNCTION("GOOGLETRANSLATE(AF37,""en"",""ta"")"),"#VALUE!")</f>
        <v>#VALUE!</v>
      </c>
      <c r="AF37" s="3"/>
      <c r="AG37" s="3" t="str">
        <f ca="1">IFERROR(__xludf.DUMMYFUNCTION("GOOGLETRANSLATE(AH37,""en"",""ta"")"),"#VALUE!")</f>
        <v>#VALUE!</v>
      </c>
      <c r="AH37" s="3"/>
      <c r="AI37" s="3" t="str">
        <f ca="1">IFERROR(__xludf.DUMMYFUNCTION("GOOGLETRANSLATE(AJ37,""en"",""ta"")"),"#VALUE!")</f>
        <v>#VALUE!</v>
      </c>
      <c r="AJ37" s="3"/>
      <c r="AK37" s="3" t="str">
        <f ca="1">IFERROR(__xludf.DUMMYFUNCTION("GOOGLETRANSLATE(AL37,""en"",""ta"")"),"#VALUE!")</f>
        <v>#VALUE!</v>
      </c>
      <c r="AL37" s="3"/>
      <c r="AM37" s="3" t="str">
        <f ca="1">IFERROR(__xludf.DUMMYFUNCTION("GOOGLETRANSLATE(AN37,""en"",""ta"")"),"#VALUE!")</f>
        <v>#VALUE!</v>
      </c>
      <c r="AN37" s="3"/>
      <c r="AO37" s="3" t="str">
        <f ca="1">IFERROR(__xludf.DUMMYFUNCTION("GOOGLETRANSLATE(AP37,""en"",""ta"")"),"#VALUE!")</f>
        <v>#VALUE!</v>
      </c>
      <c r="AP37" s="3"/>
      <c r="AQ37" s="3"/>
      <c r="AR37" s="3" t="str">
        <f ca="1">IFERROR(__xludf.DUMMYFUNCTION("GOOGLETRANSLATE(AS37,""en"",""ta"")"),"துவர்ப்பு மருந்து, குளிர்ச்சியூட்டும், சுத்திகரிப்பு நீக்கி, செரிமானத்தை ஊக்குவிக்கும், சோலாகோக், கேலக்டகோக், அறிவாற்றலை ஊக்குவிக்கும், ஃபெப்ரிஃபியூஜ், புற்றுநோய் எதிர்ப்பு.")</f>
        <v>துவர்ப்பு மருந்து, குளிர்ச்சியூட்டும், சுத்திகரிப்பு நீக்கி, செரிமானத்தை ஊக்குவிக்கும், சோலாகோக், கேலக்டகோக், அறிவாற்றலை ஊக்குவிக்கும், ஃபெப்ரிஃபியூஜ், புற்றுநோய் எதிர்ப்பு.</v>
      </c>
      <c r="AS37" s="4" t="s">
        <v>485</v>
      </c>
      <c r="AT37" s="3" t="str">
        <f ca="1">IFERROR(__xludf.DUMMYFUNCTION("GOOGLETRANSLATE(AU37,""en"",""ta"")"),"ஸ்டார்ச், சளி, எண்ணெய், பி-டோகோபெரோல்கள்.")</f>
        <v>ஸ்டார்ச், சளி, எண்ணெய், பி-டோகோபெரோல்கள்.</v>
      </c>
      <c r="AU37" s="4" t="s">
        <v>486</v>
      </c>
      <c r="AV37" s="3"/>
      <c r="AW37" s="3" t="str">
        <f ca="1">IFERROR(__xludf.DUMMYFUNCTION("GOOGLETRANSLATE(AX37,""en"",""ta"")"),"இலைப் பொடி, அகலிபா மற்றும் டெர்மினாலியா செபுலா ஆகியவற்றை நெய்யுடன் கலந்து, மூல நோய்க்கு உள்ளுக்குக் கொடுக்கிறார்கள். ii) இலைகளை நெய்யில் வறுத்து, கண்களில் பூசினால் கண் நோய்கள் குணமாகும்.")</f>
        <v>இலைப் பொடி, அகலிபா மற்றும் டெர்மினாலியா செபுலா ஆகியவற்றை நெய்யுடன் கலந்து, மூல நோய்க்கு உள்ளுக்குக் கொடுக்கிறார்கள். ii) இலைகளை நெய்யில் வறுத்து, கண்களில் பூசினால் கண் நோய்கள் குணமாகும்.</v>
      </c>
      <c r="AX37" s="4" t="s">
        <v>2459</v>
      </c>
      <c r="AY37" s="3"/>
      <c r="AZ37" s="3"/>
      <c r="BA37" s="3"/>
      <c r="BB37" s="3"/>
      <c r="BC37" s="3"/>
      <c r="BD37" s="3"/>
      <c r="BE37" s="3"/>
      <c r="BF37" s="3"/>
    </row>
    <row r="38" spans="1:58" ht="56" x14ac:dyDescent="0.15">
      <c r="A38" s="3">
        <v>37</v>
      </c>
      <c r="B38" s="3" t="str">
        <f ca="1">IFERROR(__xludf.DUMMYFUNCTION("GOOGLETRANSLATE(C38,""en"",""ta"")"),"அல்தியா அஃபிசினாலிஸ் லின். (மால்வேசி)")</f>
        <v>அல்தியா அஃபிசினாலிஸ் லின். (மால்வேசி)</v>
      </c>
      <c r="C38" s="4" t="s">
        <v>488</v>
      </c>
      <c r="D38" s="3" t="str">
        <f ca="1">IFERROR(__xludf.DUMMYFUNCTION("GOOGLETRANSLATE(E38,""en"",""ta"")"),"#VALUE!")</f>
        <v>#VALUE!</v>
      </c>
      <c r="E38" s="3"/>
      <c r="F38" s="3" t="str">
        <f ca="1">IFERROR(__xludf.DUMMYFUNCTION("GOOGLETRANSLATE(G38,""en"",""ta"")"),"சீமை துட்டி")</f>
        <v>சீமை துட்டி</v>
      </c>
      <c r="G38" s="4" t="s">
        <v>489</v>
      </c>
      <c r="H38" s="3" t="str">
        <f ca="1">IFERROR(__xludf.DUMMYFUNCTION("GOOGLETRANSLATE(I38,""en"",""ta"")"),"சதுப்பு மல்லோ")</f>
        <v>சதுப்பு மல்லோ</v>
      </c>
      <c r="I38" s="4" t="s">
        <v>490</v>
      </c>
      <c r="J38" s="3" t="str">
        <f ca="1">IFERROR(__xludf.DUMMYFUNCTION("GOOGLETRANSLATE(K38,""en"",""ta"")"),"சீமா துட்டுரா")</f>
        <v>சீமா துட்டுரா</v>
      </c>
      <c r="K38" s="4" t="s">
        <v>491</v>
      </c>
      <c r="L38" s="3" t="str">
        <f ca="1">IFERROR(__xludf.DUMMYFUNCTION("GOOGLETRANSLATE(M38,""en"",""ta"")"),"மால்வவிஷியோ")</f>
        <v>மால்வவிஷியோ</v>
      </c>
      <c r="M38" s="4" t="s">
        <v>492</v>
      </c>
      <c r="N38" s="3" t="str">
        <f ca="1">IFERROR(__xludf.DUMMYFUNCTION("GOOGLETRANSLATE(O38,""en"",""ta"")"),"குல்கைரோ")</f>
        <v>குல்கைரோ</v>
      </c>
      <c r="O38" s="4" t="s">
        <v>493</v>
      </c>
      <c r="P38" s="3"/>
      <c r="Q38" s="3" t="str">
        <f ca="1">IFERROR(__xludf.DUMMYFUNCTION("GOOGLETRANSLATE(R38,""en"",""ta"")"),"மரத்தாலான வேர் தண்டுகளைக் கொண்ட ஒரு வற்றாத மூலிகை. இலைகள் எளிமையானவை, சில நேரங்களில் மடல் கொண்டவை, முட்டை வடிவானவை அல்லது முட்டை வடிவானவை. மஞ்சரி இலைக்கோணங்களில் கொத்தாக, பூக்கள் மஞ்சரி போன்றது. பல செல்களைக் கொண்ட கருப்பையுடன் கூடிய ஸ்கிசோகார்ப் பழங்கள்.")</f>
        <v>மரத்தாலான வேர் தண்டுகளைக் கொண்ட ஒரு வற்றாத மூலிகை. இலைகள் எளிமையானவை, சில நேரங்களில் மடல் கொண்டவை, முட்டை வடிவானவை அல்லது முட்டை வடிவானவை. மஞ்சரி இலைக்கோணங்களில் கொத்தாக, பூக்கள் மஞ்சரி போன்றது. பல செல்களைக் கொண்ட கருப்பையுடன் கூடிய ஸ்கிசோகார்ப் பழங்கள்.</v>
      </c>
      <c r="R38" s="4" t="s">
        <v>494</v>
      </c>
      <c r="S38" s="3" t="str">
        <f ca="1">IFERROR(__xludf.DUMMYFUNCTION("GOOGLETRANSLATE(T38,""en"",""ta"")"),"இல்லை")</f>
        <v>இல்லை</v>
      </c>
      <c r="T38" s="3" t="s">
        <v>46</v>
      </c>
      <c r="U38" s="3" t="str">
        <f ca="1">IFERROR(__xludf.DUMMYFUNCTION("GOOGLETRANSLATE(V38,""en"",""ta"")"),"#VALUE!")</f>
        <v>#VALUE!</v>
      </c>
      <c r="V38" s="3"/>
      <c r="W38" s="3" t="str">
        <f ca="1">IFERROR(__xludf.DUMMYFUNCTION("GOOGLETRANSLATE(X38,""en"",""ta"")"),"#VALUE!")</f>
        <v>#VALUE!</v>
      </c>
      <c r="X38" s="3"/>
      <c r="Y38" s="3" t="str">
        <f ca="1">IFERROR(__xludf.DUMMYFUNCTION("GOOGLETRANSLATE(Z38,""en"",""ta"")"),"#VALUE!")</f>
        <v>#VALUE!</v>
      </c>
      <c r="Z38" s="3"/>
      <c r="AA38" s="3" t="str">
        <f ca="1">IFERROR(__xludf.DUMMYFUNCTION("GOOGLETRANSLATE(AB38,""en"",""ta"")"),"#VALUE!")</f>
        <v>#VALUE!</v>
      </c>
      <c r="AB38" s="3"/>
      <c r="AC38" s="3" t="str">
        <f ca="1">IFERROR(__xludf.DUMMYFUNCTION("GOOGLETRANSLATE(AD38,""en"",""ta"")"),"#VALUE!")</f>
        <v>#VALUE!</v>
      </c>
      <c r="AD38" s="3"/>
      <c r="AE38" s="3" t="str">
        <f ca="1">IFERROR(__xludf.DUMMYFUNCTION("GOOGLETRANSLATE(AF38,""en"",""ta"")"),"#VALUE!")</f>
        <v>#VALUE!</v>
      </c>
      <c r="AF38" s="3"/>
      <c r="AG38" s="3" t="str">
        <f ca="1">IFERROR(__xludf.DUMMYFUNCTION("GOOGLETRANSLATE(AH38,""en"",""ta"")"),"#VALUE!")</f>
        <v>#VALUE!</v>
      </c>
      <c r="AH38" s="3"/>
      <c r="AI38" s="3" t="str">
        <f ca="1">IFERROR(__xludf.DUMMYFUNCTION("GOOGLETRANSLATE(AJ38,""en"",""ta"")"),"#VALUE!")</f>
        <v>#VALUE!</v>
      </c>
      <c r="AJ38" s="3"/>
      <c r="AK38" s="3" t="str">
        <f ca="1">IFERROR(__xludf.DUMMYFUNCTION("GOOGLETRANSLATE(AL38,""en"",""ta"")"),"#VALUE!")</f>
        <v>#VALUE!</v>
      </c>
      <c r="AL38" s="3"/>
      <c r="AM38" s="3" t="str">
        <f ca="1">IFERROR(__xludf.DUMMYFUNCTION("GOOGLETRANSLATE(AN38,""en"",""ta"")"),"#VALUE!")</f>
        <v>#VALUE!</v>
      </c>
      <c r="AN38" s="3"/>
      <c r="AO38" s="3" t="str">
        <f ca="1">IFERROR(__xludf.DUMMYFUNCTION("GOOGLETRANSLATE(AP38,""en"",""ta"")"),"#VALUE!")</f>
        <v>#VALUE!</v>
      </c>
      <c r="AP38" s="3"/>
      <c r="AQ38" s="3"/>
      <c r="AR38" s="3" t="str">
        <f ca="1">IFERROR(__xludf.DUMMYFUNCTION("GOOGLETRANSLATE(AS38,""en"",""ta"")"),"மென்மையாக்கும் மற்றும் வலி நிவாரணி.")</f>
        <v>மென்மையாக்கும் மற்றும் வலி நிவாரணி.</v>
      </c>
      <c r="AS38" s="4" t="s">
        <v>495</v>
      </c>
      <c r="AT38" s="3" t="str">
        <f ca="1">IFERROR(__xludf.DUMMYFUNCTION("GOOGLETRANSLATE(AU38,""en"",""ta"")"),"டி-சைலோஸ், டி-கேலக்டோஸ், எல்-அராபினோஸ், 4-0-மெத்தில், டி-குளுகுரோனிக் அமிலம், பி-அஸ்பாரகின், பீட்டெய்ன், ஸ்டார்ச் மற்றும் சர்க்கரை.")</f>
        <v>டி-சைலோஸ், டி-கேலக்டோஸ், எல்-அராபினோஸ், 4-0-மெத்தில், டி-குளுகுரோனிக் அமிலம், பி-அஸ்பாரகின், பீட்டெய்ன், ஸ்டார்ச் மற்றும் சர்க்கரை.</v>
      </c>
      <c r="AU38" s="4" t="s">
        <v>496</v>
      </c>
      <c r="AV38" s="3"/>
      <c r="AW38" s="3" t="str">
        <f ca="1">IFERROR(__xludf.DUMMYFUNCTION("GOOGLETRANSLATE(AX38,""en"",""ta"")"),"இலைகள் மற்றும் பூக்கள் ஒரு பேஸ்டாக தயாரிக்கப்பட்டு தீக்காயங்களில் தடவப்படுகின்றன. ii) வேர் மற்றும் விதை எண்ணெய் லும்பாகோ மற்றும் மார்பக வீக்கத்திற்கு வெளிப்புறமாகப் பயன்படுத்தப்படுகிறது.")</f>
        <v>இலைகள் மற்றும் பூக்கள் ஒரு பேஸ்டாக தயாரிக்கப்பட்டு தீக்காயங்களில் தடவப்படுகின்றன. ii) வேர் மற்றும் விதை எண்ணெய் லும்பாகோ மற்றும் மார்பக வீக்கத்திற்கு வெளிப்புறமாகப் பயன்படுத்தப்படுகிறது.</v>
      </c>
      <c r="AX38" s="4" t="s">
        <v>497</v>
      </c>
      <c r="AY38" s="3"/>
      <c r="AZ38" s="3"/>
      <c r="BA38" s="3"/>
      <c r="BB38" s="3"/>
      <c r="BC38" s="3"/>
      <c r="BD38" s="3"/>
      <c r="BE38" s="3"/>
      <c r="BF38" s="3"/>
    </row>
    <row r="39" spans="1:58" ht="42" x14ac:dyDescent="0.15">
      <c r="A39" s="3">
        <v>38</v>
      </c>
      <c r="B39" s="3" t="str">
        <f ca="1">IFERROR(__xludf.DUMMYFUNCTION("GOOGLETRANSLATE(C39,""en"",""ta"")"),"அமராந்தஸ் கங்கேடிகஸ் லின். (அமரந்தேசி)")</f>
        <v>அமராந்தஸ் கங்கேடிகஸ் லின். (அமரந்தேசி)</v>
      </c>
      <c r="C39" s="4" t="s">
        <v>498</v>
      </c>
      <c r="D39" s="3" t="str">
        <f ca="1">IFERROR(__xludf.DUMMYFUNCTION("GOOGLETRANSLATE(E39,""en"",""ta"")"),"மரிஷா")</f>
        <v>மரிஷா</v>
      </c>
      <c r="E39" s="4" t="s">
        <v>499</v>
      </c>
      <c r="F39" s="3" t="str">
        <f ca="1">IFERROR(__xludf.DUMMYFUNCTION("GOOGLETRANSLATE(G39,""en"",""ta"")"),"தண்டுகீரை")</f>
        <v>தண்டுகீரை</v>
      </c>
      <c r="G39" s="4" t="s">
        <v>500</v>
      </c>
      <c r="H39" s="3" t="str">
        <f ca="1">IFERROR(__xludf.DUMMYFUNCTION("GOOGLETRANSLATE(I39,""en"",""ta"")"),"சீன கீரை")</f>
        <v>சீன கீரை</v>
      </c>
      <c r="I39" s="4" t="s">
        <v>501</v>
      </c>
      <c r="J39" s="3" t="str">
        <f ca="1">IFERROR(__xludf.DUMMYFUNCTION("GOOGLETRANSLATE(K39,""en"",""ta"")"),"டோட்டகுரா")</f>
        <v>டோட்டகுரா</v>
      </c>
      <c r="K39" s="4" t="s">
        <v>502</v>
      </c>
      <c r="L39" s="3" t="str">
        <f ca="1">IFERROR(__xludf.DUMMYFUNCTION("GOOGLETRANSLATE(M39,""en"",""ta"")"),"சீரா")</f>
        <v>சீரா</v>
      </c>
      <c r="M39" s="4" t="s">
        <v>503</v>
      </c>
      <c r="N39" s="3" t="str">
        <f ca="1">IFERROR(__xludf.DUMMYFUNCTION("GOOGLETRANSLATE(O39,""en"",""ta"")"),"லால்சாக்")</f>
        <v>லால்சாக்</v>
      </c>
      <c r="O39" s="4" t="s">
        <v>504</v>
      </c>
      <c r="P39" s="3"/>
      <c r="Q39" s="3" t="str">
        <f ca="1">IFERROR(__xludf.DUMMYFUNCTION("GOOGLETRANSLATE(R39,""en"",""ta"")"),"நிமிர்ந்த, தடித்த வருடாந்திர மூலிகை. இலைகள் எளிமையானவை, மாற்று வடிவானது, ஈட்டி வடிவானது முதல் நீள்வட்ட வடிவம் வரை, நுனி பெரும்பாலும் வெட்டப்பட்டவை. மலர்கள் கீழ் அச்சில் தைர்சாய்டு பேனிக்கிள்களாகக் கொத்தாக இருக்கும். பழங்கள் வட்ட வடிவ சுருக்கப்பட்ட யூட்ரிக"&amp;"்கிள் மற்றும் பிரிக்கப்படாதவை. விதைகள் சிறியவை, லெண்டிகுலர், கருப்பு மற்றும் கூரியவை.")</f>
        <v>நிமிர்ந்த, தடித்த வருடாந்திர மூலிகை. இலைகள் எளிமையானவை, மாற்று வடிவானது, ஈட்டி வடிவானது முதல் நீள்வட்ட வடிவம் வரை, நுனி பெரும்பாலும் வெட்டப்பட்டவை. மலர்கள் கீழ் அச்சில் தைர்சாய்டு பேனிக்கிள்களாகக் கொத்தாக இருக்கும். பழங்கள் வட்ட வடிவ சுருக்கப்பட்ட யூட்ரிக்கிள் மற்றும் பிரிக்கப்படாதவை. விதைகள் சிறியவை, லெண்டிகுலர், கருப்பு மற்றும் கூரியவை.</v>
      </c>
      <c r="R39" s="4" t="s">
        <v>505</v>
      </c>
      <c r="S39" s="3" t="str">
        <f ca="1">IFERROR(__xludf.DUMMYFUNCTION("GOOGLETRANSLATE(T39,""en"",""ta"")"),"இல்லை")</f>
        <v>இல்லை</v>
      </c>
      <c r="T39" s="3" t="s">
        <v>46</v>
      </c>
      <c r="U39" s="3" t="str">
        <f ca="1">IFERROR(__xludf.DUMMYFUNCTION("GOOGLETRANSLATE(V39,""en"",""ta"")"),"#VALUE!")</f>
        <v>#VALUE!</v>
      </c>
      <c r="V39" s="3"/>
      <c r="W39" s="3" t="str">
        <f ca="1">IFERROR(__xludf.DUMMYFUNCTION("GOOGLETRANSLATE(X39,""en"",""ta"")"),"#VALUE!")</f>
        <v>#VALUE!</v>
      </c>
      <c r="X39" s="3"/>
      <c r="Y39" s="3" t="str">
        <f ca="1">IFERROR(__xludf.DUMMYFUNCTION("GOOGLETRANSLATE(Z39,""en"",""ta"")"),"#VALUE!")</f>
        <v>#VALUE!</v>
      </c>
      <c r="Z39" s="3"/>
      <c r="AA39" s="3" t="str">
        <f ca="1">IFERROR(__xludf.DUMMYFUNCTION("GOOGLETRANSLATE(AB39,""en"",""ta"")"),"#VALUE!")</f>
        <v>#VALUE!</v>
      </c>
      <c r="AB39" s="3"/>
      <c r="AC39" s="3" t="str">
        <f ca="1">IFERROR(__xludf.DUMMYFUNCTION("GOOGLETRANSLATE(AD39,""en"",""ta"")"),"#VALUE!")</f>
        <v>#VALUE!</v>
      </c>
      <c r="AD39" s="3"/>
      <c r="AE39" s="3" t="str">
        <f ca="1">IFERROR(__xludf.DUMMYFUNCTION("GOOGLETRANSLATE(AF39,""en"",""ta"")"),"#VALUE!")</f>
        <v>#VALUE!</v>
      </c>
      <c r="AF39" s="3"/>
      <c r="AG39" s="3" t="str">
        <f ca="1">IFERROR(__xludf.DUMMYFUNCTION("GOOGLETRANSLATE(AH39,""en"",""ta"")"),"#VALUE!")</f>
        <v>#VALUE!</v>
      </c>
      <c r="AH39" s="3"/>
      <c r="AI39" s="3" t="str">
        <f ca="1">IFERROR(__xludf.DUMMYFUNCTION("GOOGLETRANSLATE(AJ39,""en"",""ta"")"),"#VALUE!")</f>
        <v>#VALUE!</v>
      </c>
      <c r="AJ39" s="3"/>
      <c r="AK39" s="3" t="str">
        <f ca="1">IFERROR(__xludf.DUMMYFUNCTION("GOOGLETRANSLATE(AL39,""en"",""ta"")"),"#VALUE!")</f>
        <v>#VALUE!</v>
      </c>
      <c r="AL39" s="3"/>
      <c r="AM39" s="3" t="str">
        <f ca="1">IFERROR(__xludf.DUMMYFUNCTION("GOOGLETRANSLATE(AN39,""en"",""ta"")"),"#VALUE!")</f>
        <v>#VALUE!</v>
      </c>
      <c r="AN39" s="3"/>
      <c r="AO39" s="3" t="str">
        <f ca="1">IFERROR(__xludf.DUMMYFUNCTION("GOOGLETRANSLATE(AP39,""en"",""ta"")"),"#VALUE!")</f>
        <v>#VALUE!</v>
      </c>
      <c r="AP39" s="3"/>
      <c r="AQ39" s="3"/>
      <c r="AR39" s="3" t="str">
        <f ca="1">IFERROR(__xludf.DUMMYFUNCTION("GOOGLETRANSLATE(AS39,""en"",""ta"")"),"குளிரூட்டி, துவர்ப்பு, மலமிளக்கி, மலமிளக்கி.")</f>
        <v>குளிரூட்டி, துவர்ப்பு, மலமிளக்கி, மலமிளக்கி.</v>
      </c>
      <c r="AS39" s="4" t="s">
        <v>506</v>
      </c>
      <c r="AT39" s="3" t="str">
        <f ca="1">IFERROR(__xludf.DUMMYFUNCTION("GOOGLETRANSLATE(AU39,""en"",""ta"")"),"அமரன்டின், ஐசோமரான்டின், பெட்டானின், கால்சியம், மெக்னீசியம் மற்றும் சிட்டோஸ்டெரால்.")</f>
        <v>அமரன்டின், ஐசோமரான்டின், பெட்டானின், கால்சியம், மெக்னீசியம் மற்றும் சிட்டோஸ்டெரால்.</v>
      </c>
      <c r="AU39" s="4" t="s">
        <v>507</v>
      </c>
      <c r="AV39" s="3"/>
      <c r="AW39" s="3" t="str">
        <f ca="1">IFERROR(__xludf.DUMMYFUNCTION("GOOGLETRANSLATE(AX39,""en"",""ta"")"),"மாதவிடாய் வலிக்கு இலைச்சாறு உட்புறமாகக் கொடுக்கப்படுகிறது. எரியும் சிறுநீர் கழித்தலுக்கு இலைகளை சமைத்து சாப்பிடுகிறார்கள்.")</f>
        <v>மாதவிடாய் வலிக்கு இலைச்சாறு உட்புறமாகக் கொடுக்கப்படுகிறது. எரியும் சிறுநீர் கழித்தலுக்கு இலைகளை சமைத்து சாப்பிடுகிறார்கள்.</v>
      </c>
      <c r="AX39" s="4" t="s">
        <v>508</v>
      </c>
      <c r="AY39" s="3"/>
      <c r="AZ39" s="3"/>
      <c r="BA39" s="3"/>
      <c r="BB39" s="3"/>
      <c r="BC39" s="3"/>
      <c r="BD39" s="3"/>
      <c r="BE39" s="3"/>
      <c r="BF39" s="3"/>
    </row>
    <row r="40" spans="1:58" ht="56" x14ac:dyDescent="0.15">
      <c r="A40" s="3">
        <v>39</v>
      </c>
      <c r="B40" s="3" t="str">
        <f ca="1">IFERROR(__xludf.DUMMYFUNCTION("GOOGLETRANSLATE(C40,""en"",""ta"")"),"அமராந்தஸ் ஸ்பினோசஸ் லின். (அமரந்தேசியே)")</f>
        <v>அமராந்தஸ் ஸ்பினோசஸ் லின். (அமரந்தேசியே)</v>
      </c>
      <c r="C40" s="4" t="s">
        <v>509</v>
      </c>
      <c r="D40" s="3" t="str">
        <f ca="1">IFERROR(__xludf.DUMMYFUNCTION("GOOGLETRANSLATE(E40,""en"",""ta"")"),"தண்டுலியா")</f>
        <v>தண்டுலியா</v>
      </c>
      <c r="E40" s="4" t="s">
        <v>510</v>
      </c>
      <c r="F40" s="3" t="str">
        <f ca="1">IFERROR(__xludf.DUMMYFUNCTION("GOOGLETRANSLATE(G40,""en"",""ta"")"),"முல்லு கீரை")</f>
        <v>முல்லு கீரை</v>
      </c>
      <c r="G40" s="3" t="s">
        <v>511</v>
      </c>
      <c r="H40" s="3" t="str">
        <f ca="1">IFERROR(__xludf.DUMMYFUNCTION("GOOGLETRANSLATE(I40,""en"",""ta"")"),"முள்ளந்தண்டு அமராந்த்")</f>
        <v>முள்ளந்தண்டு அமராந்த்</v>
      </c>
      <c r="I40" s="4" t="s">
        <v>512</v>
      </c>
      <c r="J40" s="3" t="str">
        <f ca="1">IFERROR(__xludf.DUMMYFUNCTION("GOOGLETRANSLATE(K40,""en"",""ta"")"),"முல்லா தோட்டா குரா")</f>
        <v>முல்லா தோட்டா குரா</v>
      </c>
      <c r="K40" s="4" t="s">
        <v>513</v>
      </c>
      <c r="L40" s="3" t="str">
        <f ca="1">IFERROR(__xludf.DUMMYFUNCTION("GOOGLETRANSLATE(M40,""en"",""ta"")"),"முல்லன் சீரா")</f>
        <v>முல்லன் சீரா</v>
      </c>
      <c r="M40" s="4" t="s">
        <v>514</v>
      </c>
      <c r="N40" s="3" t="str">
        <f ca="1">IFERROR(__xludf.DUMMYFUNCTION("GOOGLETRANSLATE(O40,""en"",""ta"")"),"கந்தபாஜி")</f>
        <v>கந்தபாஜி</v>
      </c>
      <c r="O40" s="4" t="s">
        <v>515</v>
      </c>
      <c r="P40" s="3"/>
      <c r="Q40" s="3" t="str">
        <f ca="1">IFERROR(__xludf.DUMMYFUNCTION("GOOGLETRANSLATE(R40,""en"",""ta"")"),"ஒரு சாய்ந்த சுழல் வடிவ வருடாந்திர மூலிகை பச்சை நிறத்தில் இருந்து ஊதா நிறத்தில் மாறுபடும். இலைகள் எளிமையானவை, மாற்று வடிவானவை, இலைக்காம்பு வடிவானவை மற்றும் முட்டை வடிவானவை, அச்சுகளில் முட்கள் உள்ளன. பூக்கள் அடர்த்தியான பேனிக்கிள்களில் கொத்தாக இருக்கும். பழ"&amp;"ங்கள் முட்டை வடிவானவை, சுருக்கப்பட்ட யூட்ரிக்கிள். விதைகள் சிறியவை, வட்ட வடிவமானவை மற்றும் கருப்பு.")</f>
        <v>ஒரு சாய்ந்த சுழல் வடிவ வருடாந்திர மூலிகை பச்சை நிறத்தில் இருந்து ஊதா நிறத்தில் மாறுபடும். இலைகள் எளிமையானவை, மாற்று வடிவானவை, இலைக்காம்பு வடிவானவை மற்றும் முட்டை வடிவானவை, அச்சுகளில் முட்கள் உள்ளன. பூக்கள் அடர்த்தியான பேனிக்கிள்களில் கொத்தாக இருக்கும். பழங்கள் முட்டை வடிவானவை, சுருக்கப்பட்ட யூட்ரிக்கிள். விதைகள் சிறியவை, வட்ட வடிவமானவை மற்றும் கருப்பு.</v>
      </c>
      <c r="R40" s="4" t="s">
        <v>516</v>
      </c>
      <c r="S40" s="3" t="str">
        <f ca="1">IFERROR(__xludf.DUMMYFUNCTION("GOOGLETRANSLATE(T40,""en"",""ta"")"),"பெருங்குடல், மெனோராஜியா மற்றும் எக்ஸிமா.")</f>
        <v>பெருங்குடல், மெனோராஜியா மற்றும் எக்ஸிமா.</v>
      </c>
      <c r="T40" s="4" t="s">
        <v>517</v>
      </c>
      <c r="U40" s="3" t="str">
        <f ca="1">IFERROR(__xludf.DUMMYFUNCTION("GOOGLETRANSLATE(V40,""en"",""ta"")"),"கோனோரியா.")</f>
        <v>கோனோரியா.</v>
      </c>
      <c r="V40" s="4" t="s">
        <v>518</v>
      </c>
      <c r="W40" s="3" t="str">
        <f ca="1">IFERROR(__xludf.DUMMYFUNCTION("GOOGLETRANSLATE(X40,""en"",""ta"")"),"வயிற்றுப்போக்கு, விந்து பலவீனம், வெள்ளைப்படுதல்.")</f>
        <v>வயிற்றுப்போக்கு, விந்து பலவீனம், வெள்ளைப்படுதல்.</v>
      </c>
      <c r="X40" s="4" t="s">
        <v>519</v>
      </c>
      <c r="Y40" s="3" t="str">
        <f ca="1">IFERROR(__xludf.DUMMYFUNCTION("GOOGLETRANSLATE(Z40,""en"",""ta"")"),"#VALUE!")</f>
        <v>#VALUE!</v>
      </c>
      <c r="Z40" s="3"/>
      <c r="AA40" s="3" t="str">
        <f ca="1">IFERROR(__xludf.DUMMYFUNCTION("GOOGLETRANSLATE(AB40,""en"",""ta"")"),"#VALUE!")</f>
        <v>#VALUE!</v>
      </c>
      <c r="AB40" s="3"/>
      <c r="AC40" s="3" t="str">
        <f ca="1">IFERROR(__xludf.DUMMYFUNCTION("GOOGLETRANSLATE(AD40,""en"",""ta"")"),"#VALUE!")</f>
        <v>#VALUE!</v>
      </c>
      <c r="AD40" s="3"/>
      <c r="AE40" s="3" t="str">
        <f ca="1">IFERROR(__xludf.DUMMYFUNCTION("GOOGLETRANSLATE(AF40,""en"",""ta"")"),"#VALUE!")</f>
        <v>#VALUE!</v>
      </c>
      <c r="AF40" s="3"/>
      <c r="AG40" s="3" t="str">
        <f ca="1">IFERROR(__xludf.DUMMYFUNCTION("GOOGLETRANSLATE(AH40,""en"",""ta"")"),"#VALUE!")</f>
        <v>#VALUE!</v>
      </c>
      <c r="AH40" s="3"/>
      <c r="AI40" s="3" t="str">
        <f ca="1">IFERROR(__xludf.DUMMYFUNCTION("GOOGLETRANSLATE(AJ40,""en"",""ta"")"),"#VALUE!")</f>
        <v>#VALUE!</v>
      </c>
      <c r="AJ40" s="3"/>
      <c r="AK40" s="3" t="str">
        <f ca="1">IFERROR(__xludf.DUMMYFUNCTION("GOOGLETRANSLATE(AL40,""en"",""ta"")"),"#VALUE!")</f>
        <v>#VALUE!</v>
      </c>
      <c r="AL40" s="3"/>
      <c r="AM40" s="3" t="str">
        <f ca="1">IFERROR(__xludf.DUMMYFUNCTION("GOOGLETRANSLATE(AN40,""en"",""ta"")"),"#VALUE!")</f>
        <v>#VALUE!</v>
      </c>
      <c r="AN40" s="3"/>
      <c r="AO40" s="3" t="str">
        <f ca="1">IFERROR(__xludf.DUMMYFUNCTION("GOOGLETRANSLATE(AP40,""en"",""ta"")"),"#VALUE!")</f>
        <v>#VALUE!</v>
      </c>
      <c r="AP40" s="3"/>
      <c r="AQ40" s="3"/>
      <c r="AR40" s="3" t="str">
        <f ca="1">IFERROR(__xludf.DUMMYFUNCTION("GOOGLETRANSLATE(AS40,""en"",""ta"")"),"குளிர்பதனப் பொருள், துவர்ப்பு மருந்து, மலமிளக்கி, எம்மெனாகோக், கேலக்டகோக் மற்றும் டையூரிடிக்")</f>
        <v>குளிர்பதனப் பொருள், துவர்ப்பு மருந்து, மலமிளக்கி, எம்மெனாகோக், கேலக்டகோக் மற்றும் டையூரிடிக்</v>
      </c>
      <c r="AS40" s="4" t="s">
        <v>520</v>
      </c>
      <c r="AT40" s="3" t="str">
        <f ca="1">IFERROR(__xludf.DUMMYFUNCTION("GOOGLETRANSLATE(AU40,""en"",""ta"")"),"ஹென்ட்ரியாகோன்டேன், கேம்பஸ்டெரால், கொழுப்பு, ஓலியானோலிக் அமிலம், டி-குளுகுரோனிக் அமிலம், ஏ-ஸ்பினாஸ்டெரால், பி-சிட்டோஸ்டெரால் மற்றும் அல்புமினாய்டு.")</f>
        <v>ஹென்ட்ரியாகோன்டேன், கேம்பஸ்டெரால், கொழுப்பு, ஓலியானோலிக் அமிலம், டி-குளுகுரோனிக் அமிலம், ஏ-ஸ்பினாஸ்டெரால், பி-சிட்டோஸ்டெரால் மற்றும் அல்புமினாய்டு.</v>
      </c>
      <c r="AU40" s="4" t="s">
        <v>521</v>
      </c>
      <c r="AV40" s="3"/>
      <c r="AW40" s="3" t="str">
        <f ca="1">IFERROR(__xludf.DUMMYFUNCTION("GOOGLETRANSLATE(AX40,""en"",""ta"")"),"வெள்ளைப்படுதலுக்கு வேரின் கஷாயம் உட்புறமாக கொடுக்கப்படுகிறது. ii) வேர் மற்றும் பூண்டு பேஸ்டாகி வயிற்றுக்கு உட்புறமாக கொடுக்கப்படுகிறது.")</f>
        <v>வெள்ளைப்படுதலுக்கு வேரின் கஷாயம் உட்புறமாக கொடுக்கப்படுகிறது. ii) வேர் மற்றும் பூண்டு பேஸ்டாகி வயிற்றுக்கு உட்புறமாக கொடுக்கப்படுகிறது.</v>
      </c>
      <c r="AX40" s="4" t="s">
        <v>522</v>
      </c>
      <c r="AY40" s="3"/>
      <c r="AZ40" s="3"/>
      <c r="BA40" s="3"/>
      <c r="BB40" s="3"/>
      <c r="BC40" s="3"/>
      <c r="BD40" s="3"/>
      <c r="BE40" s="3"/>
      <c r="BF40" s="3"/>
    </row>
    <row r="41" spans="1:58" ht="28" x14ac:dyDescent="0.15">
      <c r="A41" s="3">
        <v>40</v>
      </c>
      <c r="B41" s="3" t="str">
        <f ca="1">IFERROR(__xludf.DUMMYFUNCTION("GOOGLETRANSLATE(C41,""en"",""ta"")"),"அமராந்தஸ் விரிடிஸ் லின். (அமரந்தேசியே)")</f>
        <v>அமராந்தஸ் விரிடிஸ் லின். (அமரந்தேசியே)</v>
      </c>
      <c r="C41" s="4" t="s">
        <v>523</v>
      </c>
      <c r="D41" s="3" t="str">
        <f ca="1">IFERROR(__xludf.DUMMYFUNCTION("GOOGLETRANSLATE(E41,""en"",""ta"")"),"விஷக்னா")</f>
        <v>விஷக்னா</v>
      </c>
      <c r="E41" s="4" t="s">
        <v>524</v>
      </c>
      <c r="F41" s="3" t="str">
        <f ca="1">IFERROR(__xludf.DUMMYFUNCTION("GOOGLETRANSLATE(G41,""en"",""ta"")"),"குப்பை கீரை")</f>
        <v>குப்பை கீரை</v>
      </c>
      <c r="G41" s="4" t="s">
        <v>525</v>
      </c>
      <c r="H41" s="3" t="str">
        <f ca="1">IFERROR(__xludf.DUMMYFUNCTION("GOOGLETRANSLATE(I41,""en"",""ta"")"),"காட்டு அமராந்த்")</f>
        <v>காட்டு அமராந்த்</v>
      </c>
      <c r="I41" s="4" t="s">
        <v>526</v>
      </c>
      <c r="J41" s="3" t="str">
        <f ca="1">IFERROR(__xludf.DUMMYFUNCTION("GOOGLETRANSLATE(K41,""en"",""ta"")"),"சிலகா தோட்டகுரா")</f>
        <v>சிலகா தோட்டகுரா</v>
      </c>
      <c r="K41" s="4" t="s">
        <v>527</v>
      </c>
      <c r="L41" s="3" t="str">
        <f ca="1">IFERROR(__xludf.DUMMYFUNCTION("GOOGLETRANSLATE(M41,""en"",""ta"")"),"பயம் முன்யிட்")</f>
        <v>பயம் முன்யிட்</v>
      </c>
      <c r="M41" s="4" t="s">
        <v>528</v>
      </c>
      <c r="N41" s="3" t="str">
        <f ca="1">IFERROR(__xludf.DUMMYFUNCTION("GOOGLETRANSLATE(O41,""en"",""ta"")"),"கேட்டமேட்")</f>
        <v>கேட்டமேட்</v>
      </c>
      <c r="O41" s="4" t="s">
        <v>529</v>
      </c>
      <c r="P41" s="3"/>
      <c r="Q41" s="3" t="str">
        <f ca="1">IFERROR(__xludf.DUMMYFUNCTION("GOOGLETRANSLATE(R41,""en"",""ta"")"),"நிமிர்ந்த, கிளைத்த, உரோமங்களற்ற மூலிகை. இலைகள் எளிமையானவை, இலைக்காம்பு வடிவானது, முட்டை வடிவானது மற்றும் மழுங்கியவை. மலர்கள் சிறிய இலைக்கோணங்களில் கொத்தாக குறுகிய கூர்முனை போன்றது. விதைகள் சிறியவை, லெண்டிகுலர், பளபளப்பானவை மற்றும் கருப்பு.")</f>
        <v>நிமிர்ந்த, கிளைத்த, உரோமங்களற்ற மூலிகை. இலைகள் எளிமையானவை, இலைக்காம்பு வடிவானது, முட்டை வடிவானது மற்றும் மழுங்கியவை. மலர்கள் சிறிய இலைக்கோணங்களில் கொத்தாக குறுகிய கூர்முனை போன்றது. விதைகள் சிறியவை, லெண்டிகுலர், பளபளப்பானவை மற்றும் கருப்பு.</v>
      </c>
      <c r="R41" s="4" t="s">
        <v>530</v>
      </c>
      <c r="S41" s="3" t="str">
        <f ca="1">IFERROR(__xludf.DUMMYFUNCTION("GOOGLETRANSLATE(T41,""en"",""ta"")"),"இல்லை")</f>
        <v>இல்லை</v>
      </c>
      <c r="T41" s="3" t="s">
        <v>46</v>
      </c>
      <c r="U41" s="3" t="str">
        <f ca="1">IFERROR(__xludf.DUMMYFUNCTION("GOOGLETRANSLATE(V41,""en"",""ta"")"),"#VALUE!")</f>
        <v>#VALUE!</v>
      </c>
      <c r="V41" s="3"/>
      <c r="W41" s="3" t="str">
        <f ca="1">IFERROR(__xludf.DUMMYFUNCTION("GOOGLETRANSLATE(X41,""en"",""ta"")"),"#VALUE!")</f>
        <v>#VALUE!</v>
      </c>
      <c r="X41" s="3"/>
      <c r="Y41" s="3" t="str">
        <f ca="1">IFERROR(__xludf.DUMMYFUNCTION("GOOGLETRANSLATE(Z41,""en"",""ta"")"),"#VALUE!")</f>
        <v>#VALUE!</v>
      </c>
      <c r="Z41" s="3"/>
      <c r="AA41" s="3" t="str">
        <f ca="1">IFERROR(__xludf.DUMMYFUNCTION("GOOGLETRANSLATE(AB41,""en"",""ta"")"),"#VALUE!")</f>
        <v>#VALUE!</v>
      </c>
      <c r="AB41" s="3"/>
      <c r="AC41" s="3" t="str">
        <f ca="1">IFERROR(__xludf.DUMMYFUNCTION("GOOGLETRANSLATE(AD41,""en"",""ta"")"),"#VALUE!")</f>
        <v>#VALUE!</v>
      </c>
      <c r="AD41" s="3"/>
      <c r="AE41" s="3" t="str">
        <f ca="1">IFERROR(__xludf.DUMMYFUNCTION("GOOGLETRANSLATE(AF41,""en"",""ta"")"),"#VALUE!")</f>
        <v>#VALUE!</v>
      </c>
      <c r="AF41" s="3"/>
      <c r="AG41" s="3" t="str">
        <f ca="1">IFERROR(__xludf.DUMMYFUNCTION("GOOGLETRANSLATE(AH41,""en"",""ta"")"),"#VALUE!")</f>
        <v>#VALUE!</v>
      </c>
      <c r="AH41" s="3"/>
      <c r="AI41" s="3" t="str">
        <f ca="1">IFERROR(__xludf.DUMMYFUNCTION("GOOGLETRANSLATE(AJ41,""en"",""ta"")"),"#VALUE!")</f>
        <v>#VALUE!</v>
      </c>
      <c r="AJ41" s="3"/>
      <c r="AK41" s="3" t="str">
        <f ca="1">IFERROR(__xludf.DUMMYFUNCTION("GOOGLETRANSLATE(AL41,""en"",""ta"")"),"#VALUE!")</f>
        <v>#VALUE!</v>
      </c>
      <c r="AL41" s="3"/>
      <c r="AM41" s="3" t="str">
        <f ca="1">IFERROR(__xludf.DUMMYFUNCTION("GOOGLETRANSLATE(AN41,""en"",""ta"")"),"#VALUE!")</f>
        <v>#VALUE!</v>
      </c>
      <c r="AN41" s="3"/>
      <c r="AO41" s="3" t="str">
        <f ca="1">IFERROR(__xludf.DUMMYFUNCTION("GOOGLETRANSLATE(AP41,""en"",""ta"")"),"#VALUE!")</f>
        <v>#VALUE!</v>
      </c>
      <c r="AP41" s="3"/>
      <c r="AQ41" s="3"/>
      <c r="AR41" s="3" t="str">
        <f ca="1">IFERROR(__xludf.DUMMYFUNCTION("GOOGLETRANSLATE(AS41,""en"",""ta"")"),"மென்மையாக்கும் பொருள், ஊட்டச்சத்து, டானிக், குளிர்பதனப் பொருள் மற்றும் மாற்று மருந்து.")</f>
        <v>மென்மையாக்கும் பொருள், ஊட்டச்சத்து, டானிக், குளிர்பதனப் பொருள் மற்றும் மாற்று மருந்து.</v>
      </c>
      <c r="AS41" s="4" t="s">
        <v>531</v>
      </c>
      <c r="AT41" s="3" t="str">
        <f ca="1">IFERROR(__xludf.DUMMYFUNCTION("GOOGLETRANSLATE(AU41,""en"",""ta"")"),"அர்ஜினைன், ஹிஸ்டைடின், லைசின், மெத்தியோனைன் மற்றும் சிஸ்டைன்.")</f>
        <v>அர்ஜினைன், ஹிஸ்டைடின், லைசின், மெத்தியோனைன் மற்றும் சிஸ்டைன்.</v>
      </c>
      <c r="AU41" s="4" t="s">
        <v>532</v>
      </c>
      <c r="AV41" s="3"/>
      <c r="AW41" s="3" t="str">
        <f ca="1">IFERROR(__xludf.DUMMYFUNCTION("GOOGLETRANSLATE(AX41,""en"",""ta"")"),"பாம்பு கடி மற்றும் தேள் கொட்டுக்கு வேர்ப் பொடியை உள்ளுக்குள்ளாகக் கொடுக்கலாம். இலைப் பொடி மற்றும் கார்டியோஸ்பெர்ம் வேர்ப் பொடி மூட்டுவலி வலிக்கு பயன்படுத்தப்படுகிறது.")</f>
        <v>பாம்பு கடி மற்றும் தேள் கொட்டுக்கு வேர்ப் பொடியை உள்ளுக்குள்ளாகக் கொடுக்கலாம். இலைப் பொடி மற்றும் கார்டியோஸ்பெர்ம் வேர்ப் பொடி மூட்டுவலி வலிக்கு பயன்படுத்தப்படுகிறது.</v>
      </c>
      <c r="AX41" s="4" t="s">
        <v>533</v>
      </c>
      <c r="AY41" s="3"/>
      <c r="AZ41" s="3"/>
      <c r="BA41" s="3"/>
      <c r="BB41" s="3"/>
      <c r="BC41" s="3"/>
      <c r="BD41" s="3"/>
      <c r="BE41" s="3"/>
      <c r="BF41" s="3"/>
    </row>
    <row r="42" spans="1:58" ht="56" x14ac:dyDescent="0.15">
      <c r="A42" s="3">
        <v>41</v>
      </c>
      <c r="B42" s="3" t="str">
        <f ca="1">IFERROR(__xludf.DUMMYFUNCTION("GOOGLETRANSLATE(C42,""en"",""ta"")"),"அம்மன்னியா பேசிஃபெரா லின். (லித்ரேசி)")</f>
        <v>அம்மன்னியா பேசிஃபெரா லின். (லித்ரேசி)</v>
      </c>
      <c r="C42" s="4" t="s">
        <v>534</v>
      </c>
      <c r="D42" s="3" t="str">
        <f ca="1">IFERROR(__xludf.DUMMYFUNCTION("GOOGLETRANSLATE(E42,""en"",""ta"")"),"அக்னி-கர்பா")</f>
        <v>அக்னி-கர்பா</v>
      </c>
      <c r="E42" s="4" t="s">
        <v>535</v>
      </c>
      <c r="F42" s="3" t="str">
        <f ca="1">IFERROR(__xludf.DUMMYFUNCTION("GOOGLETRANSLATE(G42,""en"",""ta"")"),"கல்லுருவி")</f>
        <v>கல்லுருவி</v>
      </c>
      <c r="G42" s="4" t="s">
        <v>536</v>
      </c>
      <c r="H42" s="3" t="str">
        <f ca="1">IFERROR(__xludf.DUMMYFUNCTION("GOOGLETRANSLATE(I42,""en"",""ta"")"),"கொப்புளங்கள் அம்மோனியா")</f>
        <v>கொப்புளங்கள் அம்மோனியா</v>
      </c>
      <c r="I42" s="4" t="s">
        <v>537</v>
      </c>
      <c r="J42" s="3" t="str">
        <f ca="1">IFERROR(__xludf.DUMMYFUNCTION("GOOGLETRANSLATE(K42,""en"",""ta"")"),"அக்னிவேந்திர-பாகு")</f>
        <v>அக்னிவேந்திர-பாகு</v>
      </c>
      <c r="K42" s="4" t="s">
        <v>538</v>
      </c>
      <c r="L42" s="3" t="str">
        <f ca="1">IFERROR(__xludf.DUMMYFUNCTION("GOOGLETRANSLATE(M42,""en"",""ta"")"),"கல்லூர்வஞ்சி")</f>
        <v>கல்லூர்வஞ்சி</v>
      </c>
      <c r="M42" s="4" t="s">
        <v>539</v>
      </c>
      <c r="N42" s="3" t="str">
        <f ca="1">IFERROR(__xludf.DUMMYFUNCTION("GOOGLETRANSLATE(O42,""en"",""ta"")"),"டாட்மாரி")</f>
        <v>டாட்மாரி</v>
      </c>
      <c r="O42" s="4" t="s">
        <v>540</v>
      </c>
      <c r="P42" s="3"/>
      <c r="Q42" s="3" t="str">
        <f ca="1">IFERROR(__xludf.DUMMYFUNCTION("GOOGLETRANSLATE(R42,""en"",""ta"")"),"வருடாந்திர, உரோமங்களற்ற, ஈரமான இடங்களில் நிமிர்ந்த கிளைகளை கொண்ட மூலிகை, தண்டுகள் டெட்ராகோனஸ். இலைகள் எளிமையானவை, எதிரெதிர் மற்றும் குறுக்கு வடிவானது, காம்பற்றது, அடிப்பகுதியில் இதய வடிவமானது. மஞ்சரி அடர்த்தியான, இலைக்கோணங்களில் காணப்படும் சைம். பழ உறை, ப"&amp;"ுல்லிவட்டக் குழாயை விட சற்று நீளமானது. விதைகள் ஏராளமாகவும் சிறியதாகவும் இருக்கும்.")</f>
        <v>வருடாந்திர, உரோமங்களற்ற, ஈரமான இடங்களில் நிமிர்ந்த கிளைகளை கொண்ட மூலிகை, தண்டுகள் டெட்ராகோனஸ். இலைகள் எளிமையானவை, எதிரெதிர் மற்றும் குறுக்கு வடிவானது, காம்பற்றது, அடிப்பகுதியில் இதய வடிவமானது. மஞ்சரி அடர்த்தியான, இலைக்கோணங்களில் காணப்படும் சைம். பழ உறை, புல்லிவட்டக் குழாயை விட சற்று நீளமானது. விதைகள் ஏராளமாகவும் சிறியதாகவும் இருக்கும்.</v>
      </c>
      <c r="R42" s="4" t="s">
        <v>541</v>
      </c>
      <c r="S42" s="3" t="str">
        <f ca="1">IFERROR(__xludf.DUMMYFUNCTION("GOOGLETRANSLATE(T42,""en"",""ta"")"),"இல்லை")</f>
        <v>இல்லை</v>
      </c>
      <c r="T42" s="3" t="s">
        <v>46</v>
      </c>
      <c r="U42" s="3" t="str">
        <f ca="1">IFERROR(__xludf.DUMMYFUNCTION("GOOGLETRANSLATE(V42,""en"",""ta"")"),"#VALUE!")</f>
        <v>#VALUE!</v>
      </c>
      <c r="V42" s="3"/>
      <c r="W42" s="3" t="str">
        <f ca="1">IFERROR(__xludf.DUMMYFUNCTION("GOOGLETRANSLATE(X42,""en"",""ta"")"),"#VALUE!")</f>
        <v>#VALUE!</v>
      </c>
      <c r="X42" s="3"/>
      <c r="Y42" s="3" t="str">
        <f ca="1">IFERROR(__xludf.DUMMYFUNCTION("GOOGLETRANSLATE(Z42,""en"",""ta"")"),"#VALUE!")</f>
        <v>#VALUE!</v>
      </c>
      <c r="Z42" s="3"/>
      <c r="AA42" s="3" t="str">
        <f ca="1">IFERROR(__xludf.DUMMYFUNCTION("GOOGLETRANSLATE(AB42,""en"",""ta"")"),"#VALUE!")</f>
        <v>#VALUE!</v>
      </c>
      <c r="AB42" s="3"/>
      <c r="AC42" s="3" t="str">
        <f ca="1">IFERROR(__xludf.DUMMYFUNCTION("GOOGLETRANSLATE(AD42,""en"",""ta"")"),"#VALUE!")</f>
        <v>#VALUE!</v>
      </c>
      <c r="AD42" s="3"/>
      <c r="AE42" s="3" t="str">
        <f ca="1">IFERROR(__xludf.DUMMYFUNCTION("GOOGLETRANSLATE(AF42,""en"",""ta"")"),"#VALUE!")</f>
        <v>#VALUE!</v>
      </c>
      <c r="AF42" s="3"/>
      <c r="AG42" s="3" t="str">
        <f ca="1">IFERROR(__xludf.DUMMYFUNCTION("GOOGLETRANSLATE(AH42,""en"",""ta"")"),"#VALUE!")</f>
        <v>#VALUE!</v>
      </c>
      <c r="AH42" s="3"/>
      <c r="AI42" s="3" t="str">
        <f ca="1">IFERROR(__xludf.DUMMYFUNCTION("GOOGLETRANSLATE(AJ42,""en"",""ta"")"),"#VALUE!")</f>
        <v>#VALUE!</v>
      </c>
      <c r="AJ42" s="3"/>
      <c r="AK42" s="3" t="str">
        <f ca="1">IFERROR(__xludf.DUMMYFUNCTION("GOOGLETRANSLATE(AL42,""en"",""ta"")"),"#VALUE!")</f>
        <v>#VALUE!</v>
      </c>
      <c r="AL42" s="3"/>
      <c r="AM42" s="3" t="str">
        <f ca="1">IFERROR(__xludf.DUMMYFUNCTION("GOOGLETRANSLATE(AN42,""en"",""ta"")"),"#VALUE!")</f>
        <v>#VALUE!</v>
      </c>
      <c r="AN42" s="3"/>
      <c r="AO42" s="3" t="str">
        <f ca="1">IFERROR(__xludf.DUMMYFUNCTION("GOOGLETRANSLATE(AP42,""en"",""ta"")"),"#VALUE!")</f>
        <v>#VALUE!</v>
      </c>
      <c r="AP42" s="3"/>
      <c r="AQ42" s="3"/>
      <c r="AR42" s="3" t="str">
        <f ca="1">IFERROR(__xludf.DUMMYFUNCTION("GOOGLETRANSLATE(AS42,""en"",""ta"")"),"எரிச்சலூட்டும், கொப்புளத்தை உண்டாக்கும், வயிற்று வலியைத் தூண்டும், டைபாய்டு எதிர்ப்பு, காசநோய் எதிர்ப்பு மற்றும் மலமிளக்கியாகும்.")</f>
        <v>எரிச்சலூட்டும், கொப்புளத்தை உண்டாக்கும், வயிற்று வலியைத் தூண்டும், டைபாய்டு எதிர்ப்பு, காசநோய் எதிர்ப்பு மற்றும் மலமிளக்கியாகும்.</v>
      </c>
      <c r="AS42" s="4" t="s">
        <v>542</v>
      </c>
      <c r="AT42" s="3" t="str">
        <f ca="1">IFERROR(__xludf.DUMMYFUNCTION("GOOGLETRANSLATE(AU42,""en"",""ta"")"),"ரெசின், குளுக்கோஸ், ஆல்புமினாய்டுகள் மற்றும் வைட்டமின்-சி.")</f>
        <v>ரெசின், குளுக்கோஸ், ஆல்புமினாய்டுகள் மற்றும் வைட்டமின்-சி.</v>
      </c>
      <c r="AU42" s="4" t="s">
        <v>543</v>
      </c>
      <c r="AV42" s="3"/>
      <c r="AW42" s="3" t="str">
        <f ca="1">IFERROR(__xludf.DUMMYFUNCTION("GOOGLETRANSLATE(AX42,""en"",""ta"")"),"இலைகளை அரைத்து, வீக்கத்தைக் குறைக்க புண்களின் மீது தடவ வேண்டும். அவ்வப்போது ஏற்படும் காய்ச்சலுக்கு இலைப் பொடியுடன் இஞ்சியைக் கஷாயம் கொடுக்க வேண்டும்.")</f>
        <v>இலைகளை அரைத்து, வீக்கத்தைக் குறைக்க புண்களின் மீது தடவ வேண்டும். அவ்வப்போது ஏற்படும் காய்ச்சலுக்கு இலைப் பொடியுடன் இஞ்சியைக் கஷாயம் கொடுக்க வேண்டும்.</v>
      </c>
      <c r="AX42" s="4" t="s">
        <v>544</v>
      </c>
      <c r="AY42" s="3"/>
      <c r="AZ42" s="3"/>
      <c r="BA42" s="3"/>
      <c r="BB42" s="3"/>
      <c r="BC42" s="3"/>
      <c r="BD42" s="3"/>
      <c r="BE42" s="3"/>
      <c r="BF42" s="3"/>
    </row>
    <row r="43" spans="1:58" ht="70" x14ac:dyDescent="0.15">
      <c r="A43" s="3">
        <v>42</v>
      </c>
      <c r="B43" s="3" t="str">
        <f ca="1">IFERROR(__xludf.DUMMYFUNCTION("GOOGLETRANSLATE(C43,""en"",""ta"")"),"Amomum subulatum Roxb. (ஜிங்கிபெரேசி)")</f>
        <v>Amomum subulatum Roxb. (ஜிங்கிபெரேசி)</v>
      </c>
      <c r="C43" s="4" t="s">
        <v>545</v>
      </c>
      <c r="D43" s="3" t="str">
        <f ca="1">IFERROR(__xludf.DUMMYFUNCTION("GOOGLETRANSLATE(E43,""en"",""ta"")"),"ஐந்த்ரி")</f>
        <v>ஐந்த்ரி</v>
      </c>
      <c r="E43" s="4" t="s">
        <v>546</v>
      </c>
      <c r="F43" s="3" t="str">
        <f ca="1">IFERROR(__xludf.DUMMYFUNCTION("GOOGLETRANSLATE(G43,""en"",""ta"")"),"பெரளம்")</f>
        <v>பெரளம்</v>
      </c>
      <c r="G43" s="4" t="s">
        <v>547</v>
      </c>
      <c r="H43" s="3" t="str">
        <f ca="1">IFERROR(__xludf.DUMMYFUNCTION("GOOGLETRANSLATE(I43,""en"",""ta"")"),"பெரிய ஏலக்காய்")</f>
        <v>பெரிய ஏலக்காய்</v>
      </c>
      <c r="I43" s="4" t="s">
        <v>548</v>
      </c>
      <c r="J43" s="3" t="str">
        <f ca="1">IFERROR(__xludf.DUMMYFUNCTION("GOOGLETRANSLATE(K43,""en"",""ta"")"),"பெத்த ஏலக்காய்")</f>
        <v>பெத்த ஏலக்காய்</v>
      </c>
      <c r="K43" s="4" t="s">
        <v>549</v>
      </c>
      <c r="L43" s="3" t="str">
        <f ca="1">IFERROR(__xludf.DUMMYFUNCTION("GOOGLETRANSLATE(M43,""en"",""ta"")"),"பேரேலம்")</f>
        <v>பேரேலம்</v>
      </c>
      <c r="M43" s="4" t="s">
        <v>550</v>
      </c>
      <c r="N43" s="3" t="str">
        <f ca="1">IFERROR(__xludf.DUMMYFUNCTION("GOOGLETRANSLATE(O43,""en"",""ta"")"),"பரியேலாச்சி")</f>
        <v>பரியேலாச்சி</v>
      </c>
      <c r="O43" s="4" t="s">
        <v>551</v>
      </c>
      <c r="P43" s="3"/>
      <c r="Q43" s="3" t="str">
        <f ca="1">IFERROR(__xludf.DUMMYFUNCTION("GOOGLETRANSLATE(R43,""en"",""ta"")"),"இலை தண்டு, ஊர்ந்து செல்லும் வேர்த்தண்டுக்கிழங்குகள், கிளைகள் பல, நிமிர்ந்த, இலை தளிர்கள் கொண்ட உயரமான வற்றாத மூலிகை. இலைகள் நீள்வட்டம், ஈட்டி வடிவானது, உரோமங்களற்றது மற்றும் கூரியது. மஞ்சரி குறுகிய மஞ்சரியுடன் கூடிய கோள வடிவ கூர்முனை கொண்டது. பழங்கள் காப்"&amp;"ஸ்யூல், ஒழுங்கற்ற தலைகீழ் வடிவானது, நறுமண விதைகளுடன் முக்கோண வடிவமானது.")</f>
        <v>இலை தண்டு, ஊர்ந்து செல்லும் வேர்த்தண்டுக்கிழங்குகள், கிளைகள் பல, நிமிர்ந்த, இலை தளிர்கள் கொண்ட உயரமான வற்றாத மூலிகை. இலைகள் நீள்வட்டம், ஈட்டி வடிவானது, உரோமங்களற்றது மற்றும் கூரியது. மஞ்சரி குறுகிய மஞ்சரியுடன் கூடிய கோள வடிவ கூர்முனை கொண்டது. பழங்கள் காப்ஸ்யூல், ஒழுங்கற்ற தலைகீழ் வடிவானது, நறுமண விதைகளுடன் முக்கோண வடிவமானது.</v>
      </c>
      <c r="R43" s="4" t="s">
        <v>552</v>
      </c>
      <c r="S43" s="3" t="str">
        <f ca="1">IFERROR(__xludf.DUMMYFUNCTION("GOOGLETRANSLATE(T43,""en"",""ta"")"),"இல்லை")</f>
        <v>இல்லை</v>
      </c>
      <c r="T43" s="3" t="s">
        <v>46</v>
      </c>
      <c r="U43" s="3" t="str">
        <f ca="1">IFERROR(__xludf.DUMMYFUNCTION("GOOGLETRANSLATE(V43,""en"",""ta"")"),"பசியின்மை, வாந்தி, டிஸ்ஸ்பெசியா, வாய்வு, அரிப்பு, ஓடோன்டால்ஜியா, மூச்சுக்குழாய் அழற்சி மற்றும் இதயக் குறைபாடு.")</f>
        <v>பசியின்மை, வாந்தி, டிஸ்ஸ்பெசியா, வாய்வு, அரிப்பு, ஓடோன்டால்ஜியா, மூச்சுக்குழாய் அழற்சி மற்றும் இதயக் குறைபாடு.</v>
      </c>
      <c r="V43" s="4" t="s">
        <v>553</v>
      </c>
      <c r="W43" s="3" t="str">
        <f ca="1">IFERROR(__xludf.DUMMYFUNCTION("GOOGLETRANSLATE(X43,""en"",""ta"")"),"#VALUE!")</f>
        <v>#VALUE!</v>
      </c>
      <c r="X43" s="3"/>
      <c r="Y43" s="3" t="str">
        <f ca="1">IFERROR(__xludf.DUMMYFUNCTION("GOOGLETRANSLATE(Z43,""en"",""ta"")"),"#VALUE!")</f>
        <v>#VALUE!</v>
      </c>
      <c r="Z43" s="3"/>
      <c r="AA43" s="3" t="str">
        <f ca="1">IFERROR(__xludf.DUMMYFUNCTION("GOOGLETRANSLATE(AB43,""en"",""ta"")"),"#VALUE!")</f>
        <v>#VALUE!</v>
      </c>
      <c r="AB43" s="3"/>
      <c r="AC43" s="3" t="str">
        <f ca="1">IFERROR(__xludf.DUMMYFUNCTION("GOOGLETRANSLATE(AD43,""en"",""ta"")"),"#VALUE!")</f>
        <v>#VALUE!</v>
      </c>
      <c r="AD43" s="3"/>
      <c r="AE43" s="3" t="str">
        <f ca="1">IFERROR(__xludf.DUMMYFUNCTION("GOOGLETRANSLATE(AF43,""en"",""ta"")"),"#VALUE!")</f>
        <v>#VALUE!</v>
      </c>
      <c r="AF43" s="3"/>
      <c r="AG43" s="3" t="str">
        <f ca="1">IFERROR(__xludf.DUMMYFUNCTION("GOOGLETRANSLATE(AH43,""en"",""ta"")"),"#VALUE!")</f>
        <v>#VALUE!</v>
      </c>
      <c r="AH43" s="3"/>
      <c r="AI43" s="3" t="str">
        <f ca="1">IFERROR(__xludf.DUMMYFUNCTION("GOOGLETRANSLATE(AJ43,""en"",""ta"")"),"#VALUE!")</f>
        <v>#VALUE!</v>
      </c>
      <c r="AJ43" s="3"/>
      <c r="AK43" s="3" t="str">
        <f ca="1">IFERROR(__xludf.DUMMYFUNCTION("GOOGLETRANSLATE(AL43,""en"",""ta"")"),"#VALUE!")</f>
        <v>#VALUE!</v>
      </c>
      <c r="AL43" s="3"/>
      <c r="AM43" s="3" t="str">
        <f ca="1">IFERROR(__xludf.DUMMYFUNCTION("GOOGLETRANSLATE(AN43,""en"",""ta"")"),"#VALUE!")</f>
        <v>#VALUE!</v>
      </c>
      <c r="AN43" s="3"/>
      <c r="AO43" s="3" t="str">
        <f ca="1">IFERROR(__xludf.DUMMYFUNCTION("GOOGLETRANSLATE(AP43,""en"",""ta"")"),"#VALUE!")</f>
        <v>#VALUE!</v>
      </c>
      <c r="AP43" s="3"/>
      <c r="AQ43" s="3"/>
      <c r="AR43" s="3" t="str">
        <f ca="1">IFERROR(__xludf.DUMMYFUNCTION("GOOGLETRANSLATE(AS43,""en"",""ta"")"),"கசப்பு, நறுமணம், வெப்பத்தை அதிகரிக்கும், பசியைத் தூண்டும், இரைப்பை குடல் அழற்சியைத் தூண்டும் மற்றும் செரிமானத்தைத் தூண்டும்.")</f>
        <v>கசப்பு, நறுமணம், வெப்பத்தை அதிகரிக்கும், பசியைத் தூண்டும், இரைப்பை குடல் அழற்சியைத் தூண்டும் மற்றும் செரிமானத்தைத் தூண்டும்.</v>
      </c>
      <c r="AS43" s="4" t="s">
        <v>554</v>
      </c>
      <c r="AT43" s="3" t="str">
        <f ca="1">IFERROR(__xludf.DUMMYFUNCTION("GOOGLETRANSLATE(AU43,""en"",""ta"")"),"கார்டமோனின், ஆல்பினெடின், சுபுலின், பெட்டுனிடைன்-3, 5-டிக்ளூகோசைடு மற்றும் சினியோல்.")</f>
        <v>கார்டமோனின், ஆல்பினெடின், சுபுலின், பெட்டுனிடைன்-3, 5-டிக்ளூகோசைடு மற்றும் சினியோல்.</v>
      </c>
      <c r="AU43" s="4" t="s">
        <v>555</v>
      </c>
      <c r="AV43" s="3"/>
      <c r="AW43" s="3" t="str">
        <f ca="1">IFERROR(__xludf.DUMMYFUNCTION("GOOGLETRANSLATE(AX43,""en"",""ta"")"),"பல் சொத்தை மற்றும் ஈறுகளில் இரத்தப்போக்கு ஏற்பட்டால், விதைகளின் கஷாயம் வாய் கொப்பளிக்கப் பயன்படுகிறது. விதைகளைப் பொடியாக்கி அஜீரணக் கோளாறுகளுக்குப் பயன்படுத்தலாம்.")</f>
        <v>பல் சொத்தை மற்றும் ஈறுகளில் இரத்தப்போக்கு ஏற்பட்டால், விதைகளின் கஷாயம் வாய் கொப்பளிக்கப் பயன்படுகிறது. விதைகளைப் பொடியாக்கி அஜீரணக் கோளாறுகளுக்குப் பயன்படுத்தலாம்.</v>
      </c>
      <c r="AX43" s="4" t="s">
        <v>556</v>
      </c>
      <c r="AY43" s="3"/>
      <c r="AZ43" s="3"/>
      <c r="BA43" s="3"/>
      <c r="BB43" s="3"/>
      <c r="BC43" s="3"/>
      <c r="BD43" s="3"/>
      <c r="BE43" s="3"/>
      <c r="BF43" s="3"/>
    </row>
    <row r="44" spans="1:58" ht="56" x14ac:dyDescent="0.15">
      <c r="A44" s="3">
        <v>43</v>
      </c>
      <c r="B44" s="3" t="str">
        <f ca="1">IFERROR(__xludf.DUMMYFUNCTION("GOOGLETRANSLATE(C44,""en"",""ta"")"),"Amorphophallus campanulatus Blume ex Decne. (அரேசியே)")</f>
        <v>Amorphophallus campanulatus Blume ex Decne. (அரேசியே)</v>
      </c>
      <c r="C44" s="4" t="s">
        <v>557</v>
      </c>
      <c r="D44" s="3" t="str">
        <f ca="1">IFERROR(__xludf.DUMMYFUNCTION("GOOGLETRANSLATE(E44,""en"",""ta"")"),"அர்சக்னா")</f>
        <v>அர்சக்னா</v>
      </c>
      <c r="E44" s="4" t="s">
        <v>558</v>
      </c>
      <c r="F44" s="3" t="str">
        <f ca="1">IFERROR(__xludf.DUMMYFUNCTION("GOOGLETRANSLATE(G44,""en"",""ta"")"),"செனைக்கிழங்கு")</f>
        <v>செனைக்கிழங்கு</v>
      </c>
      <c r="G44" s="4" t="s">
        <v>559</v>
      </c>
      <c r="H44" s="3" t="str">
        <f ca="1">IFERROR(__xludf.DUMMYFUNCTION("GOOGLETRANSLATE(I44,""en"",""ta"")"),"யானைக்கால் சேனைக்கிழங்கு")</f>
        <v>யானைக்கால் சேனைக்கிழங்கு</v>
      </c>
      <c r="I44" s="4" t="s">
        <v>560</v>
      </c>
      <c r="J44" s="3" t="str">
        <f ca="1">IFERROR(__xludf.DUMMYFUNCTION("GOOGLETRANSLATE(K44,""en"",""ta"")"),"கண்டா கடா")</f>
        <v>கண்டா கடா</v>
      </c>
      <c r="K44" s="4" t="s">
        <v>561</v>
      </c>
      <c r="L44" s="3" t="str">
        <f ca="1">IFERROR(__xludf.DUMMYFUNCTION("GOOGLETRANSLATE(M44,""en"",""ta"")"),"சென்னா")</f>
        <v>சென்னா</v>
      </c>
      <c r="M44" s="4" t="s">
        <v>562</v>
      </c>
      <c r="N44" s="3" t="str">
        <f ca="1">IFERROR(__xludf.DUMMYFUNCTION("GOOGLETRANSLATE(O44,""en"",""ta"")"),"ஜமிகண்ட்")</f>
        <v>ஜமிகண்ட்</v>
      </c>
      <c r="O44" s="4" t="s">
        <v>563</v>
      </c>
      <c r="P44" s="3"/>
      <c r="Q44" s="3" t="str">
        <f ca="1">IFERROR(__xludf.DUMMYFUNCTION("GOOGLETRANSLATE(R44,""en"",""ta"")"),"கிழங்கு போன்ற தடித்த மூலிகை, கிழங்குகள் தாழ்ந்தவை, கோள வடிவமானவை அல்லது அரைக்கோள வடிவமானவை. இலைகள் அகலமானவை, துண்டுகள் முழுவதுமாக பரவி அல்லது முட்கரண்டி, இறுதியானது சாய்வாக நீள்வட்டமாகவும் கூரியதாகவும் இருக்கும். மஞ்சரி ஒரு ஸ்பேடிக்ஸ், ஸ்பேத் புதியதாகவும்"&amp;" நீளமாகவும் இருக்கும். பழங்கள் பெர்ரி. விதைகள் 2-3.")</f>
        <v>கிழங்கு போன்ற தடித்த மூலிகை, கிழங்குகள் தாழ்ந்தவை, கோள வடிவமானவை அல்லது அரைக்கோள வடிவமானவை. இலைகள் அகலமானவை, துண்டுகள் முழுவதுமாக பரவி அல்லது முட்கரண்டி, இறுதியானது சாய்வாக நீள்வட்டமாகவும் கூரியதாகவும் இருக்கும். மஞ்சரி ஒரு ஸ்பேடிக்ஸ், ஸ்பேத் புதியதாகவும் நீளமாகவும் இருக்கும். பழங்கள் பெர்ரி. விதைகள் 2-3.</v>
      </c>
      <c r="R44" s="4" t="s">
        <v>564</v>
      </c>
      <c r="S44" s="3" t="str">
        <f ca="1">IFERROR(__xludf.DUMMYFUNCTION("GOOGLETRANSLATE(T44,""en"",""ta"")"),"இல்லை")</f>
        <v>இல்லை</v>
      </c>
      <c r="T44" s="3" t="s">
        <v>46</v>
      </c>
      <c r="U44" s="3" t="str">
        <f ca="1">IFERROR(__xludf.DUMMYFUNCTION("GOOGLETRANSLATE(V44,""en"",""ta"")"),"#VALUE!")</f>
        <v>#VALUE!</v>
      </c>
      <c r="V44" s="3"/>
      <c r="W44" s="3" t="str">
        <f ca="1">IFERROR(__xludf.DUMMYFUNCTION("GOOGLETRANSLATE(X44,""en"",""ta"")"),"#VALUE!")</f>
        <v>#VALUE!</v>
      </c>
      <c r="X44" s="3"/>
      <c r="Y44" s="3" t="str">
        <f ca="1">IFERROR(__xludf.DUMMYFUNCTION("GOOGLETRANSLATE(Z44,""en"",""ta"")"),"#VALUE!")</f>
        <v>#VALUE!</v>
      </c>
      <c r="Z44" s="3"/>
      <c r="AA44" s="3" t="str">
        <f ca="1">IFERROR(__xludf.DUMMYFUNCTION("GOOGLETRANSLATE(AB44,""en"",""ta"")"),"#VALUE!")</f>
        <v>#VALUE!</v>
      </c>
      <c r="AB44" s="3"/>
      <c r="AC44" s="3" t="str">
        <f ca="1">IFERROR(__xludf.DUMMYFUNCTION("GOOGLETRANSLATE(AD44,""en"",""ta"")"),"#VALUE!")</f>
        <v>#VALUE!</v>
      </c>
      <c r="AD44" s="3"/>
      <c r="AE44" s="3" t="str">
        <f ca="1">IFERROR(__xludf.DUMMYFUNCTION("GOOGLETRANSLATE(AF44,""en"",""ta"")"),"#VALUE!")</f>
        <v>#VALUE!</v>
      </c>
      <c r="AF44" s="3"/>
      <c r="AG44" s="3" t="str">
        <f ca="1">IFERROR(__xludf.DUMMYFUNCTION("GOOGLETRANSLATE(AH44,""en"",""ta"")"),"#VALUE!")</f>
        <v>#VALUE!</v>
      </c>
      <c r="AH44" s="3"/>
      <c r="AI44" s="3" t="str">
        <f ca="1">IFERROR(__xludf.DUMMYFUNCTION("GOOGLETRANSLATE(AJ44,""en"",""ta"")"),"#VALUE!")</f>
        <v>#VALUE!</v>
      </c>
      <c r="AJ44" s="3"/>
      <c r="AK44" s="3" t="str">
        <f ca="1">IFERROR(__xludf.DUMMYFUNCTION("GOOGLETRANSLATE(AL44,""en"",""ta"")"),"#VALUE!")</f>
        <v>#VALUE!</v>
      </c>
      <c r="AL44" s="3"/>
      <c r="AM44" s="3" t="str">
        <f ca="1">IFERROR(__xludf.DUMMYFUNCTION("GOOGLETRANSLATE(AN44,""en"",""ta"")"),"#VALUE!")</f>
        <v>#VALUE!</v>
      </c>
      <c r="AN44" s="3"/>
      <c r="AO44" s="3" t="str">
        <f ca="1">IFERROR(__xludf.DUMMYFUNCTION("GOOGLETRANSLATE(AP44,""en"",""ta"")"),"#VALUE!")</f>
        <v>#VALUE!</v>
      </c>
      <c r="AP44" s="3"/>
      <c r="AQ44" s="3"/>
      <c r="AR44" s="3" t="str">
        <f ca="1">IFERROR(__xludf.DUMMYFUNCTION("GOOGLETRANSLATE(AS44,""en"",""ta"")"),"வயிற்று வலி நிவாரணி, இரைப்பை குடல் வலி நிவாரணி மற்றும் டானிக்.")</f>
        <v>வயிற்று வலி நிவாரணி, இரைப்பை குடல் வலி நிவாரணி மற்றும் டானிக்.</v>
      </c>
      <c r="AS44" s="4" t="s">
        <v>565</v>
      </c>
      <c r="AT44" s="3" t="str">
        <f ca="1">IFERROR(__xludf.DUMMYFUNCTION("GOOGLETRANSLATE(AU44,""en"",""ta"")"),"வைட்டமின்-ஏ, ஐசோலூசின், வேலின், லைசின், ஆக்ஸாலிக் அமிலம் மற்றும் ஸ்டிக்மாஸ்டரால்.")</f>
        <v>வைட்டமின்-ஏ, ஐசோலூசின், வேலின், லைசின், ஆக்ஸாலிக் அமிலம் மற்றும் ஸ்டிக்மாஸ்டரால்.</v>
      </c>
      <c r="AU44" s="4" t="s">
        <v>566</v>
      </c>
      <c r="AV44" s="3"/>
      <c r="AW44" s="3" t="str">
        <f ca="1">IFERROR(__xludf.DUMMYFUNCTION("GOOGLETRANSLATE(AX44,""en"",""ta"")"),"உட்புற நோயைக் குணப்படுத்தும் ஒரு காரமான சாறு பெற கிழங்கை வேகவைக்க வேண்டும். இலைக்காம்பின் புளித்த சாறு வயிற்றுப்போக்கைக் குணப்படுத்தப் பயன்படுகிறது.")</f>
        <v>உட்புற நோயைக் குணப்படுத்தும் ஒரு காரமான சாறு பெற கிழங்கை வேகவைக்க வேண்டும். இலைக்காம்பின் புளித்த சாறு வயிற்றுப்போக்கைக் குணப்படுத்தப் பயன்படுகிறது.</v>
      </c>
      <c r="AX44" s="4" t="s">
        <v>567</v>
      </c>
      <c r="AY44" s="3"/>
      <c r="AZ44" s="3"/>
      <c r="BA44" s="3"/>
      <c r="BB44" s="3"/>
      <c r="BC44" s="3"/>
      <c r="BD44" s="3"/>
      <c r="BE44" s="3"/>
      <c r="BF44" s="3"/>
    </row>
    <row r="45" spans="1:58" ht="56" x14ac:dyDescent="0.15">
      <c r="A45" s="3">
        <v>44</v>
      </c>
      <c r="B45" s="3" t="str">
        <f ca="1">IFERROR(__xludf.DUMMYFUNCTION("GOOGLETRANSLATE(C45,""en"",""ta"")"),"அமார்போபாலஸ் டூபியஸ் ப்ளூம். (அரேசியே)")</f>
        <v>அமார்போபாலஸ் டூபியஸ் ப்ளூம். (அரேசியே)</v>
      </c>
      <c r="C45" s="4" t="s">
        <v>568</v>
      </c>
      <c r="D45" s="3" t="str">
        <f ca="1">IFERROR(__xludf.DUMMYFUNCTION("GOOGLETRANSLATE(E45,""en"",""ta"")"),"கனன காந்தா")</f>
        <v>கனன காந்தா</v>
      </c>
      <c r="E45" s="4" t="s">
        <v>569</v>
      </c>
      <c r="F45" s="3" t="str">
        <f ca="1">IFERROR(__xludf.DUMMYFUNCTION("GOOGLETRANSLATE(G45,""en"",""ta"")"),"கட்டு கருணை")</f>
        <v>கட்டு கருணை</v>
      </c>
      <c r="G45" s="4" t="s">
        <v>570</v>
      </c>
      <c r="H45" s="3" t="str">
        <f ca="1">IFERROR(__xludf.DUMMYFUNCTION("GOOGLETRANSLATE(I45,""en"",""ta"")"),"ஊதா நிற தண்டு கொண்ட டிராகன்")</f>
        <v>ஊதா நிற தண்டு கொண்ட டிராகன்</v>
      </c>
      <c r="I45" s="4" t="s">
        <v>571</v>
      </c>
      <c r="J45" s="3" t="str">
        <f ca="1">IFERROR(__xludf.DUMMYFUNCTION("GOOGLETRANSLATE(K45,""en"",""ta"")"),"தியா காந்தா")</f>
        <v>தியா காந்தா</v>
      </c>
      <c r="K45" s="4" t="s">
        <v>572</v>
      </c>
      <c r="L45" s="3" t="str">
        <f ca="1">IFERROR(__xludf.DUMMYFUNCTION("GOOGLETRANSLATE(M45,""en"",""ta"")"),"கட்டு சேனா")</f>
        <v>கட்டு சேனா</v>
      </c>
      <c r="M45" s="4" t="s">
        <v>573</v>
      </c>
      <c r="N45" s="3" t="str">
        <f ca="1">IFERROR(__xludf.DUMMYFUNCTION("GOOGLETRANSLATE(O45,""en"",""ta"")"),"ஜங்கிலி சூரன்")</f>
        <v>ஜங்கிலி சூரன்</v>
      </c>
      <c r="O45" s="4" t="s">
        <v>574</v>
      </c>
      <c r="P45" s="3"/>
      <c r="Q45" s="3" t="str">
        <f ca="1">IFERROR(__xludf.DUMMYFUNCTION("GOOGLETRANSLATE(R45,""en"",""ta"")"),"மாற்றியமைக்கப்பட்ட நிலத்தடி தண்டுடன் கூடிய வற்றாத கிழங்கு வடிவ மூலிகை. இலைகள் மூன்று பிரிவுகளாக, குறுகிய மற்றும் கரடுமுரடான காம்புகளுடன் பின்னே அல்லது இரு பின்னே இருக்கும். மஞ்சரி ஒரு ஸ்பேடிக்ஸ், பூக்கள் ஃபண்டிபுலிஃபார்மிஸ் மற்றும் ஒரு பாலினத்தைச் சேர்ந்த"&amp;"வை, ஸ்பேடிக்ஸ் ஸ்பேத்தை விட சிறியது. பழங்கள் பெர்ரி, முட்டை வடிவானது. விதைகள் 2-3.")</f>
        <v>மாற்றியமைக்கப்பட்ட நிலத்தடி தண்டுடன் கூடிய வற்றாத கிழங்கு வடிவ மூலிகை. இலைகள் மூன்று பிரிவுகளாக, குறுகிய மற்றும் கரடுமுரடான காம்புகளுடன் பின்னே அல்லது இரு பின்னே இருக்கும். மஞ்சரி ஒரு ஸ்பேடிக்ஸ், பூக்கள் ஃபண்டிபுலிஃபார்மிஸ் மற்றும் ஒரு பாலினத்தைச் சேர்ந்தவை, ஸ்பேடிக்ஸ் ஸ்பேத்தை விட சிறியது. பழங்கள் பெர்ரி, முட்டை வடிவானது. விதைகள் 2-3.</v>
      </c>
      <c r="R45" s="4" t="s">
        <v>575</v>
      </c>
      <c r="S45" s="3" t="str">
        <f ca="1">IFERROR(__xludf.DUMMYFUNCTION("GOOGLETRANSLATE(T45,""en"",""ta"")"),"இல்லை")</f>
        <v>இல்லை</v>
      </c>
      <c r="T45" s="3" t="s">
        <v>46</v>
      </c>
      <c r="U45" s="3" t="str">
        <f ca="1">IFERROR(__xludf.DUMMYFUNCTION("GOOGLETRANSLATE(V45,""en"",""ta"")"),"#VALUE!")</f>
        <v>#VALUE!</v>
      </c>
      <c r="V45" s="3"/>
      <c r="W45" s="3" t="str">
        <f ca="1">IFERROR(__xludf.DUMMYFUNCTION("GOOGLETRANSLATE(X45,""en"",""ta"")"),"#VALUE!")</f>
        <v>#VALUE!</v>
      </c>
      <c r="X45" s="3"/>
      <c r="Y45" s="3" t="str">
        <f ca="1">IFERROR(__xludf.DUMMYFUNCTION("GOOGLETRANSLATE(Z45,""en"",""ta"")"),"#VALUE!")</f>
        <v>#VALUE!</v>
      </c>
      <c r="Z45" s="3"/>
      <c r="AA45" s="3" t="str">
        <f ca="1">IFERROR(__xludf.DUMMYFUNCTION("GOOGLETRANSLATE(AB45,""en"",""ta"")"),"#VALUE!")</f>
        <v>#VALUE!</v>
      </c>
      <c r="AB45" s="3"/>
      <c r="AC45" s="3" t="str">
        <f ca="1">IFERROR(__xludf.DUMMYFUNCTION("GOOGLETRANSLATE(AD45,""en"",""ta"")"),"#VALUE!")</f>
        <v>#VALUE!</v>
      </c>
      <c r="AD45" s="3"/>
      <c r="AE45" s="3" t="str">
        <f ca="1">IFERROR(__xludf.DUMMYFUNCTION("GOOGLETRANSLATE(AF45,""en"",""ta"")"),"#VALUE!")</f>
        <v>#VALUE!</v>
      </c>
      <c r="AF45" s="3"/>
      <c r="AG45" s="3" t="str">
        <f ca="1">IFERROR(__xludf.DUMMYFUNCTION("GOOGLETRANSLATE(AH45,""en"",""ta"")"),"#VALUE!")</f>
        <v>#VALUE!</v>
      </c>
      <c r="AH45" s="3"/>
      <c r="AI45" s="3" t="str">
        <f ca="1">IFERROR(__xludf.DUMMYFUNCTION("GOOGLETRANSLATE(AJ45,""en"",""ta"")"),"#VALUE!")</f>
        <v>#VALUE!</v>
      </c>
      <c r="AJ45" s="3"/>
      <c r="AK45" s="3" t="str">
        <f ca="1">IFERROR(__xludf.DUMMYFUNCTION("GOOGLETRANSLATE(AL45,""en"",""ta"")"),"#VALUE!")</f>
        <v>#VALUE!</v>
      </c>
      <c r="AL45" s="3"/>
      <c r="AM45" s="3" t="str">
        <f ca="1">IFERROR(__xludf.DUMMYFUNCTION("GOOGLETRANSLATE(AN45,""en"",""ta"")"),"#VALUE!")</f>
        <v>#VALUE!</v>
      </c>
      <c r="AN45" s="3"/>
      <c r="AO45" s="3" t="str">
        <f ca="1">IFERROR(__xludf.DUMMYFUNCTION("GOOGLETRANSLATE(AP45,""en"",""ta"")"),"#VALUE!")</f>
        <v>#VALUE!</v>
      </c>
      <c r="AP45" s="3"/>
      <c r="AQ45" s="3"/>
      <c r="AR45" s="3" t="str">
        <f ca="1">IFERROR(__xludf.DUMMYFUNCTION("GOOGLETRANSLATE(AS45,""en"",""ta"")"),"வயிற்று வலி நிவாரணி, இரைப்பை குடல் வலி நிவாரணி மற்றும் டானிக்.")</f>
        <v>வயிற்று வலி நிவாரணி, இரைப்பை குடல் வலி நிவாரணி மற்றும் டானிக்.</v>
      </c>
      <c r="AS45" s="4" t="s">
        <v>565</v>
      </c>
      <c r="AT45" s="3" t="str">
        <f ca="1">IFERROR(__xludf.DUMMYFUNCTION("GOOGLETRANSLATE(AU45,""en"",""ta"")"),"பெத்துலினிக் அமிலம், ட்ரைகோன்டேன், ராம்னோஸ், சைலோஸ் மற்றும் ஆல்புமினாய்டுகள்.")</f>
        <v>பெத்துலினிக் அமிலம், ட்ரைகோன்டேன், ராம்னோஸ், சைலோஸ் மற்றும் ஆல்புமினாய்டுகள்.</v>
      </c>
      <c r="AU45" s="4" t="s">
        <v>576</v>
      </c>
      <c r="AV45" s="3"/>
      <c r="AW45" s="3" t="str">
        <f ca="1">IFERROR(__xludf.DUMMYFUNCTION("GOOGLETRANSLATE(AX45,""en"",""ta"")"),"இந்தப் பனைமரம் மாதவிடாயை ஒழுங்குபடுத்தி கண் நோயைக் குணப்படுத்தும். இந்தப் பனைமரத்தை புளிச் சாற்றில் கொதிக்க வைத்து காய்கறியாகச் சாப்பிடுவதால் மூல நோய் மற்றும் மூல நோய் நீங்கும்.")</f>
        <v>இந்தப் பனைமரம் மாதவிடாயை ஒழுங்குபடுத்தி கண் நோயைக் குணப்படுத்தும். இந்தப் பனைமரத்தை புளிச் சாற்றில் கொதிக்க வைத்து காய்கறியாகச் சாப்பிடுவதால் மூல நோய் மற்றும் மூல நோய் நீங்கும்.</v>
      </c>
      <c r="AX45" s="4" t="s">
        <v>577</v>
      </c>
      <c r="AY45" s="3"/>
      <c r="AZ45" s="3"/>
      <c r="BA45" s="3"/>
      <c r="BB45" s="3"/>
      <c r="BC45" s="3"/>
      <c r="BD45" s="3"/>
      <c r="BE45" s="3"/>
      <c r="BF45" s="3"/>
    </row>
    <row r="46" spans="1:58" ht="56" x14ac:dyDescent="0.15">
      <c r="A46" s="3">
        <v>45</v>
      </c>
      <c r="B46" s="3" t="str">
        <f ca="1">IFERROR(__xludf.DUMMYFUNCTION("GOOGLETRANSLATE(C46,""en"",""ta"")"),"அனகார்டியம் ஆக்சிடென்டேல் லின். (அனகார்டியேசி)")</f>
        <v>அனகார்டியம் ஆக்சிடென்டேல் லின். (அனகார்டியேசி)</v>
      </c>
      <c r="C46" s="4" t="s">
        <v>578</v>
      </c>
      <c r="D46" s="3" t="str">
        <f ca="1">IFERROR(__xludf.DUMMYFUNCTION("GOOGLETRANSLATE(E46,""en"",""ta"")"),"கஜுடகா")</f>
        <v>கஜுடகா</v>
      </c>
      <c r="E46" s="4" t="s">
        <v>579</v>
      </c>
      <c r="F46" s="3" t="str">
        <f ca="1">IFERROR(__xludf.DUMMYFUNCTION("GOOGLETRANSLATE(G46,""en"",""ta"")"),"முந்திரிகை")</f>
        <v>முந்திரிகை</v>
      </c>
      <c r="G46" s="4" t="s">
        <v>580</v>
      </c>
      <c r="H46" s="3" t="str">
        <f ca="1">IFERROR(__xludf.DUMMYFUNCTION("GOOGLETRANSLATE(I46,""en"",""ta"")"),"முந்திரி பருப்பு")</f>
        <v>முந்திரி பருப்பு</v>
      </c>
      <c r="I46" s="4" t="s">
        <v>581</v>
      </c>
      <c r="J46" s="3" t="str">
        <f ca="1">IFERROR(__xludf.DUMMYFUNCTION("GOOGLETRANSLATE(K46,""en"",""ta"")"),"ஜிடிமாமிடி")</f>
        <v>ஜிடிமாமிடி</v>
      </c>
      <c r="K46" s="4" t="s">
        <v>582</v>
      </c>
      <c r="L46" s="3" t="str">
        <f ca="1">IFERROR(__xludf.DUMMYFUNCTION("GOOGLETRANSLATE(M46,""en"",""ta"")"),"ஆண்டி பருப்பு")</f>
        <v>ஆண்டி பருப்பு</v>
      </c>
      <c r="M46" s="4" t="s">
        <v>583</v>
      </c>
      <c r="N46" s="3" t="str">
        <f ca="1">IFERROR(__xludf.DUMMYFUNCTION("GOOGLETRANSLATE(O46,""en"",""ta"")"),"கஜு")</f>
        <v>கஜு</v>
      </c>
      <c r="O46" s="4" t="s">
        <v>584</v>
      </c>
      <c r="P46" s="3"/>
      <c r="Q46" s="3" t="str">
        <f ca="1">IFERROR(__xludf.DUMMYFUNCTION("GOOGLETRANSLATE(R46,""en"",""ta"")"),"ஒரு சிறிய, பரவும், பசுமையான மரம், பொதுவாக பிசின் சாறு கொண்டது. இலைகள் எளிமையானவை, மாறி மாறி அல்லது அரிதாக எதிரெதிர், இலைக்காம்பு வடிவானது, முட்டை வடிவானது, உரோமங்களற்றது மற்றும் முழுமையாக இருக்கும். மஞ்சரி சிறியது, மஞ்சள் நிற கோடுகளுடன் இளஞ்சிவப்பு நிறத்த"&amp;"ில், முனையில், ஸ்டாமினேட் மற்றும் ஹெர்மோஃப்ரோடைட் பூக்களுடன் தெளிவாகத் தெரிந்த ப்ராக்டியேட் பேனிக்கிள்கள். மஞ்சள் அல்லது சிவப்பு பொய்யான பழத்தில் பச்சை நிற சாம்பல் நிற கொட்டை பழங்கள்.")</f>
        <v>ஒரு சிறிய, பரவும், பசுமையான மரம், பொதுவாக பிசின் சாறு கொண்டது. இலைகள் எளிமையானவை, மாறி மாறி அல்லது அரிதாக எதிரெதிர், இலைக்காம்பு வடிவானது, முட்டை வடிவானது, உரோமங்களற்றது மற்றும் முழுமையாக இருக்கும். மஞ்சரி சிறியது, மஞ்சள் நிற கோடுகளுடன் இளஞ்சிவப்பு நிறத்தில், முனையில், ஸ்டாமினேட் மற்றும் ஹெர்மோஃப்ரோடைட் பூக்களுடன் தெளிவாகத் தெரிந்த ப்ராக்டியேட் பேனிக்கிள்கள். மஞ்சள் அல்லது சிவப்பு பொய்யான பழத்தில் பச்சை நிற சாம்பல் நிற கொட்டை பழங்கள்.</v>
      </c>
      <c r="R46" s="4" t="s">
        <v>585</v>
      </c>
      <c r="S46" s="3" t="str">
        <f ca="1">IFERROR(__xludf.DUMMYFUNCTION("GOOGLETRANSLATE(T46,""en"",""ta"")"),"இல்லை")</f>
        <v>இல்லை</v>
      </c>
      <c r="T46" s="3" t="s">
        <v>46</v>
      </c>
      <c r="U46" s="3" t="str">
        <f ca="1">IFERROR(__xludf.DUMMYFUNCTION("GOOGLETRANSLATE(V46,""en"",""ta"")"),"#VALUE!")</f>
        <v>#VALUE!</v>
      </c>
      <c r="V46" s="3"/>
      <c r="W46" s="3" t="str">
        <f ca="1">IFERROR(__xludf.DUMMYFUNCTION("GOOGLETRANSLATE(X46,""en"",""ta"")"),"#VALUE!")</f>
        <v>#VALUE!</v>
      </c>
      <c r="X46" s="3"/>
      <c r="Y46" s="3" t="str">
        <f ca="1">IFERROR(__xludf.DUMMYFUNCTION("GOOGLETRANSLATE(Z46,""en"",""ta"")"),"#VALUE!")</f>
        <v>#VALUE!</v>
      </c>
      <c r="Z46" s="3"/>
      <c r="AA46" s="3" t="str">
        <f ca="1">IFERROR(__xludf.DUMMYFUNCTION("GOOGLETRANSLATE(AB46,""en"",""ta"")"),"#VALUE!")</f>
        <v>#VALUE!</v>
      </c>
      <c r="AB46" s="3"/>
      <c r="AC46" s="3" t="str">
        <f ca="1">IFERROR(__xludf.DUMMYFUNCTION("GOOGLETRANSLATE(AD46,""en"",""ta"")"),"#VALUE!")</f>
        <v>#VALUE!</v>
      </c>
      <c r="AD46" s="3"/>
      <c r="AE46" s="3" t="str">
        <f ca="1">IFERROR(__xludf.DUMMYFUNCTION("GOOGLETRANSLATE(AF46,""en"",""ta"")"),"#VALUE!")</f>
        <v>#VALUE!</v>
      </c>
      <c r="AF46" s="3"/>
      <c r="AG46" s="3" t="str">
        <f ca="1">IFERROR(__xludf.DUMMYFUNCTION("GOOGLETRANSLATE(AH46,""en"",""ta"")"),"#VALUE!")</f>
        <v>#VALUE!</v>
      </c>
      <c r="AH46" s="3"/>
      <c r="AI46" s="3" t="str">
        <f ca="1">IFERROR(__xludf.DUMMYFUNCTION("GOOGLETRANSLATE(AJ46,""en"",""ta"")"),"#VALUE!")</f>
        <v>#VALUE!</v>
      </c>
      <c r="AJ46" s="3"/>
      <c r="AK46" s="3" t="str">
        <f ca="1">IFERROR(__xludf.DUMMYFUNCTION("GOOGLETRANSLATE(AL46,""en"",""ta"")"),"#VALUE!")</f>
        <v>#VALUE!</v>
      </c>
      <c r="AL46" s="3"/>
      <c r="AM46" s="3" t="str">
        <f ca="1">IFERROR(__xludf.DUMMYFUNCTION("GOOGLETRANSLATE(AN46,""en"",""ta"")"),"தொழுநோய், தடிப்புத் தோல் அழற்சி, மருக்களில் கொப்புளங்கள், புண் மற்றும் ஸ்கர்வி ஆகியவற்றில் மயக்க மருந்து.")</f>
        <v>தொழுநோய், தடிப்புத் தோல் அழற்சி, மருக்களில் கொப்புளங்கள், புண் மற்றும் ஸ்கர்வி ஆகியவற்றில் மயக்க மருந்து.</v>
      </c>
      <c r="AN46" s="4" t="s">
        <v>586</v>
      </c>
      <c r="AO46" s="3" t="str">
        <f ca="1">IFERROR(__xludf.DUMMYFUNCTION("GOOGLETRANSLATE(AP46,""en"",""ta"")"),"#VALUE!")</f>
        <v>#VALUE!</v>
      </c>
      <c r="AP46" s="3"/>
      <c r="AQ46" s="3"/>
      <c r="AR46" s="3" t="str">
        <f ca="1">IFERROR(__xludf.DUMMYFUNCTION("GOOGLETRANSLATE(AS46,""en"",""ta"")"),"மாற்று, துவர்ப்பு மற்றும் ருபேஃபேசியன்ட், பாக்டீரியா எதிர்ப்பு, ஃபைலேரியல் எதிர்ப்பு")</f>
        <v>மாற்று, துவர்ப்பு மற்றும் ருபேஃபேசியன்ட், பாக்டீரியா எதிர்ப்பு, ஃபைலேரியல் எதிர்ப்பு</v>
      </c>
      <c r="AS46" s="4" t="s">
        <v>587</v>
      </c>
      <c r="AT46" s="3" t="str">
        <f ca="1">IFERROR(__xludf.DUMMYFUNCTION("GOOGLETRANSLATE(AU46,""en"",""ta"")"),"எத்தில்காலேட், லுகோ-டெல்பினிடின், எலாஜிக் அமிலம், பி-சிட்டோஸ்டெரால், அனகார்டிக் அமிலம், கார்டோல்கள், கார்டோனால்கள், மெத்தில் கார்டோல்கள்.")</f>
        <v>எத்தில்காலேட், லுகோ-டெல்பினிடின், எலாஜிக் அமிலம், பி-சிட்டோஸ்டெரால், அனகார்டிக் அமிலம், கார்டோல்கள், கார்டோனால்கள், மெத்தில் கார்டோல்கள்.</v>
      </c>
      <c r="AU46" s="4" t="s">
        <v>588</v>
      </c>
      <c r="AV46" s="3"/>
      <c r="AW46" s="3" t="str">
        <f ca="1">IFERROR(__xludf.DUMMYFUNCTION("GOOGLETRANSLATE(AX46,""en"",""ta"")"),"விதைகள் ஊட்டச்சத்து மிக்கவை மற்றும் பாலுணர்வைத் தூண்டும் விளைவைக் கொண்டுள்ளன. விதைகளிலிருந்து வரும் எண்ணெய் எரிச்சலூட்டும் விஷத்திற்கு ஒரு இயந்திர மற்றும் வேதியியல் மருந்தாகும்.")</f>
        <v>விதைகள் ஊட்டச்சத்து மிக்கவை மற்றும் பாலுணர்வைத் தூண்டும் விளைவைக் கொண்டுள்ளன. விதைகளிலிருந்து வரும் எண்ணெய் எரிச்சலூட்டும் விஷத்திற்கு ஒரு இயந்திர மற்றும் வேதியியல் மருந்தாகும்.</v>
      </c>
      <c r="AX46" s="4" t="s">
        <v>589</v>
      </c>
      <c r="AY46" s="3"/>
      <c r="AZ46" s="3"/>
      <c r="BA46" s="3"/>
      <c r="BB46" s="3"/>
      <c r="BC46" s="3"/>
      <c r="BD46" s="3"/>
      <c r="BE46" s="3"/>
      <c r="BF46" s="3"/>
    </row>
    <row r="47" spans="1:58" ht="42" x14ac:dyDescent="0.15">
      <c r="A47" s="3">
        <v>46</v>
      </c>
      <c r="B47" s="3" t="str">
        <f ca="1">IFERROR(__xludf.DUMMYFUNCTION("GOOGLETRANSLATE(C47,""en"",""ta"")"),"அனாசைக்ளஸ் பைரெத்ரம் டிசி. (ஆஸ்டரேசி)")</f>
        <v>அனாசைக்ளஸ் பைரெத்ரம் டிசி. (ஆஸ்டரேசி)</v>
      </c>
      <c r="C47" s="4" t="s">
        <v>590</v>
      </c>
      <c r="D47" s="3" t="str">
        <f ca="1">IFERROR(__xludf.DUMMYFUNCTION("GOOGLETRANSLATE(E47,""en"",""ta"")"),"அகரகரவ")</f>
        <v>அகரகரவ</v>
      </c>
      <c r="E47" s="4" t="s">
        <v>2460</v>
      </c>
      <c r="F47" s="3" t="str">
        <f ca="1">IFERROR(__xludf.DUMMYFUNCTION("GOOGLETRANSLATE(G47,""en"",""ta"")"),"அக்கிரகாரம்")</f>
        <v>அக்கிரகாரம்</v>
      </c>
      <c r="G47" s="4" t="s">
        <v>591</v>
      </c>
      <c r="H47" s="3" t="str">
        <f ca="1">IFERROR(__xludf.DUMMYFUNCTION("GOOGLETRANSLATE(I47,""en"",""ta"")"),"ஸ்பானிஷ் பெல்லிட்டரி")</f>
        <v>ஸ்பானிஷ் பெல்லிட்டரி</v>
      </c>
      <c r="I47" s="4" t="s">
        <v>592</v>
      </c>
      <c r="J47" s="3" t="str">
        <f ca="1">IFERROR(__xludf.DUMMYFUNCTION("GOOGLETRANSLATE(K47,""en"",""ta"")"),"அக்கலகர்ரா")</f>
        <v>அக்கலகர்ரா</v>
      </c>
      <c r="K47" s="4" t="s">
        <v>593</v>
      </c>
      <c r="L47" s="3" t="str">
        <f ca="1">IFERROR(__xludf.DUMMYFUNCTION("GOOGLETRANSLATE(M47,""en"",""ta"")"),"அக்கலகரம்")</f>
        <v>அக்கலகரம்</v>
      </c>
      <c r="M47" s="4" t="s">
        <v>594</v>
      </c>
      <c r="N47" s="3" t="str">
        <f ca="1">IFERROR(__xludf.DUMMYFUNCTION("GOOGLETRANSLATE(O47,""en"",""ta"")"),"அகர்கரா")</f>
        <v>அகர்கரா</v>
      </c>
      <c r="O47" s="4" t="s">
        <v>595</v>
      </c>
      <c r="P47" s="3"/>
      <c r="Q47" s="3" t="str">
        <f ca="1">IFERROR(__xludf.DUMMYFUNCTION("GOOGLETRANSLATE(R47,""en"",""ta"")"),"ஒரு வற்றாத, நுனியில் வளரும் மூலிகை, தண்டு முடிகளால் சூழப்பட்டுள்ளது. இலைகள் மாறி மாறி, இருமுனை கூட்டு வடிவத்தில் காணப்படும். மஞ்சரி தலை, ரே பூக்கள் வெள்ளை நிறத்திலும், வட்ட பூக்கள் மஞ்சள் நிறத்திலும், இலைக்கோணங்களில் அல்லது முனையத்திலும் இருக்கும். பழங்கள"&amp;"் உலர்ந்த அசீன், விதைகள் நிமிர்ந்து இருக்கும்.")</f>
        <v>ஒரு வற்றாத, நுனியில் வளரும் மூலிகை, தண்டு முடிகளால் சூழப்பட்டுள்ளது. இலைகள் மாறி மாறி, இருமுனை கூட்டு வடிவத்தில் காணப்படும். மஞ்சரி தலை, ரே பூக்கள் வெள்ளை நிறத்திலும், வட்ட பூக்கள் மஞ்சள் நிறத்திலும், இலைக்கோணங்களில் அல்லது முனையத்திலும் இருக்கும். பழங்கள் உலர்ந்த அசீன், விதைகள் நிமிர்ந்து இருக்கும்.</v>
      </c>
      <c r="R47" s="4" t="s">
        <v>596</v>
      </c>
      <c r="S47" s="3" t="str">
        <f ca="1">IFERROR(__xludf.DUMMYFUNCTION("GOOGLETRANSLATE(T47,""en"",""ta"")"),"இல்லை")</f>
        <v>இல்லை</v>
      </c>
      <c r="T47" s="3" t="s">
        <v>46</v>
      </c>
      <c r="U47" s="3" t="str">
        <f ca="1">IFERROR(__xludf.DUMMYFUNCTION("GOOGLETRANSLATE(V47,""en"",""ta"")"),"#VALUE!")</f>
        <v>#VALUE!</v>
      </c>
      <c r="V47" s="3"/>
      <c r="W47" s="3" t="str">
        <f ca="1">IFERROR(__xludf.DUMMYFUNCTION("GOOGLETRANSLATE(X47,""en"",""ta"")"),"#VALUE!")</f>
        <v>#VALUE!</v>
      </c>
      <c r="X47" s="3"/>
      <c r="Y47" s="3" t="str">
        <f ca="1">IFERROR(__xludf.DUMMYFUNCTION("GOOGLETRANSLATE(Z47,""en"",""ta"")"),"#VALUE!")</f>
        <v>#VALUE!</v>
      </c>
      <c r="Z47" s="3"/>
      <c r="AA47" s="3" t="str">
        <f ca="1">IFERROR(__xludf.DUMMYFUNCTION("GOOGLETRANSLATE(AB47,""en"",""ta"")"),"#VALUE!")</f>
        <v>#VALUE!</v>
      </c>
      <c r="AB47" s="3"/>
      <c r="AC47" s="3" t="str">
        <f ca="1">IFERROR(__xludf.DUMMYFUNCTION("GOOGLETRANSLATE(AD47,""en"",""ta"")"),"#VALUE!")</f>
        <v>#VALUE!</v>
      </c>
      <c r="AD47" s="3"/>
      <c r="AE47" s="3" t="str">
        <f ca="1">IFERROR(__xludf.DUMMYFUNCTION("GOOGLETRANSLATE(AF47,""en"",""ta"")"),"#VALUE!")</f>
        <v>#VALUE!</v>
      </c>
      <c r="AF47" s="3"/>
      <c r="AG47" s="3" t="str">
        <f ca="1">IFERROR(__xludf.DUMMYFUNCTION("GOOGLETRANSLATE(AH47,""en"",""ta"")"),"#VALUE!")</f>
        <v>#VALUE!</v>
      </c>
      <c r="AH47" s="3"/>
      <c r="AI47" s="3" t="str">
        <f ca="1">IFERROR(__xludf.DUMMYFUNCTION("GOOGLETRANSLATE(AJ47,""en"",""ta"")"),"#VALUE!")</f>
        <v>#VALUE!</v>
      </c>
      <c r="AJ47" s="3"/>
      <c r="AK47" s="3" t="str">
        <f ca="1">IFERROR(__xludf.DUMMYFUNCTION("GOOGLETRANSLATE(AL47,""en"",""ta"")"),"#VALUE!")</f>
        <v>#VALUE!</v>
      </c>
      <c r="AL47" s="3"/>
      <c r="AM47" s="3" t="str">
        <f ca="1">IFERROR(__xludf.DUMMYFUNCTION("GOOGLETRANSLATE(AN47,""en"",""ta"")"),"#VALUE!")</f>
        <v>#VALUE!</v>
      </c>
      <c r="AN47" s="3"/>
      <c r="AO47" s="3" t="str">
        <f ca="1">IFERROR(__xludf.DUMMYFUNCTION("GOOGLETRANSLATE(AP47,""en"",""ta"")"),"#VALUE!")</f>
        <v>#VALUE!</v>
      </c>
      <c r="AP47" s="3"/>
      <c r="AQ47" s="3"/>
      <c r="AR47" s="3" t="str">
        <f ca="1">IFERROR(__xludf.DUMMYFUNCTION("GOOGLETRANSLATE(AS47,""en"",""ta"")"),"தூண்டுதல், ரூப்ஃபேசியன்ட், சியாலாக்.")</f>
        <v>தூண்டுதல், ரூப்ஃபேசியன்ட், சியாலாக்.</v>
      </c>
      <c r="AS47" s="4" t="s">
        <v>597</v>
      </c>
      <c r="AT47" s="3" t="str">
        <f ca="1">IFERROR(__xludf.DUMMYFUNCTION("GOOGLETRANSLATE(AU47,""en"",""ta"")"),"அனாசைக்ளின், அமிடீஸ், செசமின், ஹைட்ரோகரோலின், டைரமைன் அமைடுகள் மற்றும் பெல்லிடோரின், பைப்பரைடைடு.")</f>
        <v>அனாசைக்ளின், அமிடீஸ், செசமின், ஹைட்ரோகரோலின், டைரமைன் அமைடுகள் மற்றும் பெல்லிடோரின், பைப்பரைடைடு.</v>
      </c>
      <c r="AU47" s="4" t="s">
        <v>598</v>
      </c>
      <c r="AV47" s="3"/>
      <c r="AW47" s="3" t="str">
        <f ca="1">IFERROR(__xludf.DUMMYFUNCTION("GOOGLETRANSLATE(AX47,""en"",""ta"")"),"கால்-கை வலிப்புக்கு வேரின் பொடியை தேனில் கலந்து கொடுக்கிறார்கள். வேரின் கஷாயம் பல் சொத்தை, பல் வலி, டான்சிலைடிஸ் போன்றவற்றுக்கு வாய் கொப்பளிக்க பயனுள்ளதாக இருக்கும்.")</f>
        <v>கால்-கை வலிப்புக்கு வேரின் பொடியை தேனில் கலந்து கொடுக்கிறார்கள். வேரின் கஷாயம் பல் சொத்தை, பல் வலி, டான்சிலைடிஸ் போன்றவற்றுக்கு வாய் கொப்பளிக்க பயனுள்ளதாக இருக்கும்.</v>
      </c>
      <c r="AX47" s="4" t="s">
        <v>599</v>
      </c>
      <c r="AY47" s="3"/>
      <c r="AZ47" s="3"/>
      <c r="BA47" s="3"/>
      <c r="BB47" s="3"/>
      <c r="BC47" s="3"/>
      <c r="BD47" s="3"/>
      <c r="BE47" s="3"/>
      <c r="BF47" s="3"/>
    </row>
    <row r="48" spans="1:58" ht="56" x14ac:dyDescent="0.15">
      <c r="A48" s="3">
        <v>47</v>
      </c>
      <c r="B48" s="3" t="str">
        <f ca="1">IFERROR(__xludf.DUMMYFUNCTION("GOOGLETRANSLATE(C48,""en"",""ta"")"),"அனாமிர்தா கோகுலஸ் லின். (மெனிஸ்பெர்மேசி)")</f>
        <v>அனாமிர்தா கோகுலஸ் லின். (மெனிஸ்பெர்மேசி)</v>
      </c>
      <c r="C48" s="4" t="s">
        <v>600</v>
      </c>
      <c r="D48" s="3" t="str">
        <f ca="1">IFERROR(__xludf.DUMMYFUNCTION("GOOGLETRANSLATE(E48,""en"",""ta"")"),"காகஃபாலா")</f>
        <v>காகஃபாலா</v>
      </c>
      <c r="E48" s="4" t="s">
        <v>601</v>
      </c>
      <c r="F48" s="3" t="str">
        <f ca="1">IFERROR(__xludf.DUMMYFUNCTION("GOOGLETRANSLATE(G48,""en"",""ta"")"),"கக்காய் கொல்லி")</f>
        <v>கக்காய் கொல்லி</v>
      </c>
      <c r="G48" s="4" t="s">
        <v>602</v>
      </c>
      <c r="H48" s="3" t="str">
        <f ca="1">IFERROR(__xludf.DUMMYFUNCTION("GOOGLETRANSLATE(I48,""en"",""ta"")"),"காகக் கொலையாளி")</f>
        <v>காகக் கொலையாளி</v>
      </c>
      <c r="I48" s="4" t="s">
        <v>603</v>
      </c>
      <c r="J48" s="3" t="str">
        <f ca="1">IFERROR(__xludf.DUMMYFUNCTION("GOOGLETRANSLATE(K48,""en"",""ta"")"),"காக்கினிச்சம்பு-சேட்டு")</f>
        <v>காக்கினிச்சம்பு-சேட்டு</v>
      </c>
      <c r="K48" s="4" t="s">
        <v>604</v>
      </c>
      <c r="L48" s="3" t="str">
        <f ca="1">IFERROR(__xludf.DUMMYFUNCTION("GOOGLETRANSLATE(M48,""en"",""ta"")"),"நாஞ்சின் குரா")</f>
        <v>நாஞ்சின் குரா</v>
      </c>
      <c r="M48" s="4" t="s">
        <v>605</v>
      </c>
      <c r="N48" s="3" t="str">
        <f ca="1">IFERROR(__xludf.DUMMYFUNCTION("GOOGLETRANSLATE(O48,""en"",""ta"")"),"காக்மாரி")</f>
        <v>காக்மாரி</v>
      </c>
      <c r="O48" s="4" t="s">
        <v>606</v>
      </c>
      <c r="P48" s="3"/>
      <c r="Q48" s="3" t="str">
        <f ca="1">IFERROR(__xludf.DUMMYFUNCTION("GOOGLETRANSLATE(R48,""en"",""ta"")"),"ஒரு பெரிய ஏறும் புதர். இலைகள் பெரியவை, அகன்ற முட்டை வடிவானது அல்லது சப்ஆர்பிகுலர், நீண்ட இலைக்காம்புடன். மஞ்சரி பழைய மரத்தின் முனைகளிலிருந்து தொங்கும் பச்சை நிற பூக்களின் நீண்ட பேனிகல்கள். பழங்கள் ட்ரூப், ரெனிஃபார்ம் கருப்பு அல்லது சிவப்பு பழுப்பு நிறத்தி"&amp;"ல் மற்றும் சுருக்கமாக இருக்கும். விதைகள் கோள வடிவமானது, சுருக்கப்பட்டவை மற்றும் கிணறு வடிவமானது.")</f>
        <v>ஒரு பெரிய ஏறும் புதர். இலைகள் பெரியவை, அகன்ற முட்டை வடிவானது அல்லது சப்ஆர்பிகுலர், நீண்ட இலைக்காம்புடன். மஞ்சரி பழைய மரத்தின் முனைகளிலிருந்து தொங்கும் பச்சை நிற பூக்களின் நீண்ட பேனிகல்கள். பழங்கள் ட்ரூப், ரெனிஃபார்ம் கருப்பு அல்லது சிவப்பு பழுப்பு நிறத்தில் மற்றும் சுருக்கமாக இருக்கும். விதைகள் கோள வடிவமானது, சுருக்கப்பட்டவை மற்றும் கிணறு வடிவமானது.</v>
      </c>
      <c r="R48" s="4" t="s">
        <v>607</v>
      </c>
      <c r="S48" s="3" t="str">
        <f ca="1">IFERROR(__xludf.DUMMYFUNCTION("GOOGLETRANSLATE(T48,""en"",""ta"")"),"இல்லை")</f>
        <v>இல்லை</v>
      </c>
      <c r="T48" s="3" t="s">
        <v>46</v>
      </c>
      <c r="U48" s="3" t="str">
        <f ca="1">IFERROR(__xludf.DUMMYFUNCTION("GOOGLETRANSLATE(V48,""en"",""ta"")"),"ஃபிதிசிஸ்")</f>
        <v>ஃபிதிசிஸ்</v>
      </c>
      <c r="V48" s="4" t="s">
        <v>249</v>
      </c>
      <c r="W48" s="3" t="str">
        <f ca="1">IFERROR(__xludf.DUMMYFUNCTION("GOOGLETRANSLATE(X48,""en"",""ta"")"),"#VALUE!")</f>
        <v>#VALUE!</v>
      </c>
      <c r="X48" s="3"/>
      <c r="Y48" s="3" t="str">
        <f ca="1">IFERROR(__xludf.DUMMYFUNCTION("GOOGLETRANSLATE(Z48,""en"",""ta"")"),"#VALUE!")</f>
        <v>#VALUE!</v>
      </c>
      <c r="Z48" s="3"/>
      <c r="AA48" s="3" t="str">
        <f ca="1">IFERROR(__xludf.DUMMYFUNCTION("GOOGLETRANSLATE(AB48,""en"",""ta"")"),"#VALUE!")</f>
        <v>#VALUE!</v>
      </c>
      <c r="AB48" s="3"/>
      <c r="AC48" s="3" t="str">
        <f ca="1">IFERROR(__xludf.DUMMYFUNCTION("GOOGLETRANSLATE(AD48,""en"",""ta"")"),"#VALUE!")</f>
        <v>#VALUE!</v>
      </c>
      <c r="AD48" s="3"/>
      <c r="AE48" s="3" t="str">
        <f ca="1">IFERROR(__xludf.DUMMYFUNCTION("GOOGLETRANSLATE(AF48,""en"",""ta"")"),"#VALUE!")</f>
        <v>#VALUE!</v>
      </c>
      <c r="AF48" s="3"/>
      <c r="AG48" s="3" t="str">
        <f ca="1">IFERROR(__xludf.DUMMYFUNCTION("GOOGLETRANSLATE(AH48,""en"",""ta"")"),"#VALUE!")</f>
        <v>#VALUE!</v>
      </c>
      <c r="AH48" s="3"/>
      <c r="AI48" s="3" t="str">
        <f ca="1">IFERROR(__xludf.DUMMYFUNCTION("GOOGLETRANSLATE(AJ48,""en"",""ta"")"),"#VALUE!")</f>
        <v>#VALUE!</v>
      </c>
      <c r="AJ48" s="3"/>
      <c r="AK48" s="3" t="str">
        <f ca="1">IFERROR(__xludf.DUMMYFUNCTION("GOOGLETRANSLATE(AL48,""en"",""ta"")"),"#VALUE!")</f>
        <v>#VALUE!</v>
      </c>
      <c r="AL48" s="3"/>
      <c r="AM48" s="3" t="str">
        <f ca="1">IFERROR(__xludf.DUMMYFUNCTION("GOOGLETRANSLATE(AN48,""en"",""ta"")"),"தோல் நோய்கள், சிரங்கு, பேன்களை அழிக்கும், காக்கை விஷம்.")</f>
        <v>தோல் நோய்கள், சிரங்கு, பேன்களை அழிக்கும், காக்கை விஷம்.</v>
      </c>
      <c r="AN48" s="4" t="s">
        <v>608</v>
      </c>
      <c r="AO48" s="3" t="str">
        <f ca="1">IFERROR(__xludf.DUMMYFUNCTION("GOOGLETRANSLATE(AP48,""en"",""ta"")"),"#VALUE!")</f>
        <v>#VALUE!</v>
      </c>
      <c r="AP48" s="3"/>
      <c r="AQ48" s="3"/>
      <c r="AR48" s="3" t="str">
        <f ca="1">IFERROR(__xludf.DUMMYFUNCTION("GOOGLETRANSLATE(AS48,""en"",""ta"")"),"மயக்க மருந்து, மயக்க மருந்து")</f>
        <v>மயக்க மருந்து, மயக்க மருந்து</v>
      </c>
      <c r="AS48" s="4" t="s">
        <v>609</v>
      </c>
      <c r="AT48" s="3" t="str">
        <f ca="1">IFERROR(__xludf.DUMMYFUNCTION("GOOGLETRANSLATE(AU48,""en"",""ta"")"),"பிக்ரோடாக்சின், கோக்குலின், அனாமிர்டின், மெனிஸ்பெர்மைன், பால்மிடிக் அமிலம், லினோலிக் அமிலம், ஸ்டீரிக் அமிலம் மற்றும் பாராமெனிஸ்பெர்மைன்.")</f>
        <v>பிக்ரோடாக்சின், கோக்குலின், அனாமிர்டின், மெனிஸ்பெர்மைன், பால்மிடிக் அமிலம், லினோலிக் அமிலம், ஸ்டீரிக் அமிலம் மற்றும் பாராமெனிஸ்பெர்மைன்.</v>
      </c>
      <c r="AU48" s="4" t="s">
        <v>610</v>
      </c>
      <c r="AV48" s="3"/>
      <c r="AW48" s="3" t="str">
        <f ca="1">IFERROR(__xludf.DUMMYFUNCTION("GOOGLETRANSLATE(AX48,""en"",""ta"")"),"i) பழச்சாறு சிரங்கு மற்றும் காயங்களுக்குப் பயன்படுத்தப்படுகிறது. ii) பேன்களைக் கொல்ல விதைகளைப் பொடித்து தலையில் தடவப்படுகிறது.")</f>
        <v>i) பழச்சாறு சிரங்கு மற்றும் காயங்களுக்குப் பயன்படுத்தப்படுகிறது. ii) பேன்களைக் கொல்ல விதைகளைப் பொடித்து தலையில் தடவப்படுகிறது.</v>
      </c>
      <c r="AX48" s="4" t="s">
        <v>2461</v>
      </c>
      <c r="AY48" s="3"/>
      <c r="AZ48" s="3"/>
      <c r="BA48" s="3"/>
      <c r="BB48" s="3"/>
      <c r="BC48" s="3"/>
      <c r="BD48" s="3"/>
      <c r="BE48" s="3"/>
      <c r="BF48" s="3"/>
    </row>
    <row r="49" spans="1:58" ht="70" x14ac:dyDescent="0.15">
      <c r="A49" s="3">
        <v>48</v>
      </c>
      <c r="B49" s="3" t="str">
        <f ca="1">IFERROR(__xludf.DUMMYFUNCTION("GOOGLETRANSLATE(C49,""en"",""ta"")"),"அனனாஸ் சாடிவஸ் (லின்.) மெரில் (ப்ரோமிலியாசி)")</f>
        <v>அனனாஸ் சாடிவஸ் (லின்.) மெரில் (ப்ரோமிலியாசி)</v>
      </c>
      <c r="C49" s="4" t="s">
        <v>612</v>
      </c>
      <c r="D49" s="3" t="str">
        <f ca="1">IFERROR(__xludf.DUMMYFUNCTION("GOOGLETRANSLATE(E49,""en"",""ta"")"),"அனம்நாசம்")</f>
        <v>அனம்நாசம்</v>
      </c>
      <c r="E49" s="4" t="s">
        <v>613</v>
      </c>
      <c r="F49" s="3" t="str">
        <f ca="1">IFERROR(__xludf.DUMMYFUNCTION("GOOGLETRANSLATE(G49,""en"",""ta"")"),"அண்ணாசி பஜம்")</f>
        <v>அண்ணாசி பஜம்</v>
      </c>
      <c r="G49" s="4" t="s">
        <v>614</v>
      </c>
      <c r="H49" s="3" t="str">
        <f ca="1">IFERROR(__xludf.DUMMYFUNCTION("GOOGLETRANSLATE(I49,""en"",""ta"")"),"பைன் ஆப்பிள்")</f>
        <v>பைன் ஆப்பிள்</v>
      </c>
      <c r="I49" s="4" t="s">
        <v>615</v>
      </c>
      <c r="J49" s="3" t="str">
        <f ca="1">IFERROR(__xludf.DUMMYFUNCTION("GOOGLETRANSLATE(K49,""en"",""ta"")"),"அனாசா பாண்டு")</f>
        <v>அனாசா பாண்டு</v>
      </c>
      <c r="K49" s="4" t="s">
        <v>616</v>
      </c>
      <c r="L49" s="3" t="str">
        <f ca="1">IFERROR(__xludf.DUMMYFUNCTION("GOOGLETRANSLATE(M49,""en"",""ta"")"),"கைத்த சக்கா")</f>
        <v>கைத்த சக்கா</v>
      </c>
      <c r="M49" s="4" t="s">
        <v>617</v>
      </c>
      <c r="N49" s="3" t="str">
        <f ca="1">IFERROR(__xludf.DUMMYFUNCTION("GOOGLETRANSLATE(O49,""en"",""ta"")"),"அனன்னாஸ்")</f>
        <v>அனன்னாஸ்</v>
      </c>
      <c r="O49" s="4" t="s">
        <v>618</v>
      </c>
      <c r="P49" s="3"/>
      <c r="Q49" s="3" t="str">
        <f ca="1">IFERROR(__xludf.DUMMYFUNCTION("GOOGLETRANSLATE(R49,""en"",""ta"")"),"ஒரு வற்றாத மூலிகை, பெரும்பாலும் எபிஃபைடிக், தண்டு தடிமனாக, தடித்ததாகவும், இலைகளால் மறைக்கப்பட்டதாகவும் இருக்கும். இலைகள் உறுதியானவை, கொத்தாக, தீவிரமானவை, ரோசெட் சுழல் வடிவத்தில் உறை போன்ற இலை அடிப்பகுதியுடன் அமைக்கப்பட்டிருக்கும். மஞ்சரி என்பது ஒரு முனைய "&amp;"கூட்டு ஸ்பைக் ஆகும். பூக்கள் ஒவ்வொன்றும் சதைப்பற்றுள்ளவை, ஒரு கரடுமுரடான பூச்செடியுடன் இருக்கும். பழங்கள் கலவையாக இருக்கும்.")</f>
        <v>ஒரு வற்றாத மூலிகை, பெரும்பாலும் எபிஃபைடிக், தண்டு தடிமனாக, தடித்ததாகவும், இலைகளால் மறைக்கப்பட்டதாகவும் இருக்கும். இலைகள் உறுதியானவை, கொத்தாக, தீவிரமானவை, ரோசெட் சுழல் வடிவத்தில் உறை போன்ற இலை அடிப்பகுதியுடன் அமைக்கப்பட்டிருக்கும். மஞ்சரி என்பது ஒரு முனைய கூட்டு ஸ்பைக் ஆகும். பூக்கள் ஒவ்வொன்றும் சதைப்பற்றுள்ளவை, ஒரு கரடுமுரடான பூச்செடியுடன் இருக்கும். பழங்கள் கலவையாக இருக்கும்.</v>
      </c>
      <c r="R49" s="4" t="s">
        <v>619</v>
      </c>
      <c r="S49" s="3" t="str">
        <f ca="1">IFERROR(__xludf.DUMMYFUNCTION("GOOGLETRANSLATE(T49,""en"",""ta"")"),"இல்லை")</f>
        <v>இல்லை</v>
      </c>
      <c r="T49" s="3" t="s">
        <v>46</v>
      </c>
      <c r="U49" s="3" t="str">
        <f ca="1">IFERROR(__xludf.DUMMYFUNCTION("GOOGLETRANSLATE(V49,""en"",""ta"")"),"#VALUE!")</f>
        <v>#VALUE!</v>
      </c>
      <c r="V49" s="3"/>
      <c r="W49" s="3" t="str">
        <f ca="1">IFERROR(__xludf.DUMMYFUNCTION("GOOGLETRANSLATE(X49,""en"",""ta"")"),"#VALUE!")</f>
        <v>#VALUE!</v>
      </c>
      <c r="X49" s="3"/>
      <c r="Y49" s="3" t="str">
        <f ca="1">IFERROR(__xludf.DUMMYFUNCTION("GOOGLETRANSLATE(Z49,""en"",""ta"")"),"#VALUE!")</f>
        <v>#VALUE!</v>
      </c>
      <c r="Z49" s="3"/>
      <c r="AA49" s="3" t="str">
        <f ca="1">IFERROR(__xludf.DUMMYFUNCTION("GOOGLETRANSLATE(AB49,""en"",""ta"")"),"#VALUE!")</f>
        <v>#VALUE!</v>
      </c>
      <c r="AB49" s="3"/>
      <c r="AC49" s="3" t="str">
        <f ca="1">IFERROR(__xludf.DUMMYFUNCTION("GOOGLETRANSLATE(AD49,""en"",""ta"")"),"#VALUE!")</f>
        <v>#VALUE!</v>
      </c>
      <c r="AD49" s="3"/>
      <c r="AE49" s="3" t="str">
        <f ca="1">IFERROR(__xludf.DUMMYFUNCTION("GOOGLETRANSLATE(AF49,""en"",""ta"")"),"#VALUE!")</f>
        <v>#VALUE!</v>
      </c>
      <c r="AF49" s="3"/>
      <c r="AG49" s="3" t="str">
        <f ca="1">IFERROR(__xludf.DUMMYFUNCTION("GOOGLETRANSLATE(AH49,""en"",""ta"")"),"#VALUE!")</f>
        <v>#VALUE!</v>
      </c>
      <c r="AH49" s="3"/>
      <c r="AI49" s="3" t="str">
        <f ca="1">IFERROR(__xludf.DUMMYFUNCTION("GOOGLETRANSLATE(AJ49,""en"",""ta"")"),"#VALUE!")</f>
        <v>#VALUE!</v>
      </c>
      <c r="AJ49" s="3"/>
      <c r="AK49" s="3" t="str">
        <f ca="1">IFERROR(__xludf.DUMMYFUNCTION("GOOGLETRANSLATE(AL49,""en"",""ta"")"),"#VALUE!")</f>
        <v>#VALUE!</v>
      </c>
      <c r="AL49" s="3"/>
      <c r="AM49" s="3" t="str">
        <f ca="1">IFERROR(__xludf.DUMMYFUNCTION("GOOGLETRANSLATE(AN49,""en"",""ta"")"),"#VALUE!")</f>
        <v>#VALUE!</v>
      </c>
      <c r="AN49" s="3"/>
      <c r="AO49" s="3" t="str">
        <f ca="1">IFERROR(__xludf.DUMMYFUNCTION("GOOGLETRANSLATE(AP49,""en"",""ta"")"),"#VALUE!")</f>
        <v>#VALUE!</v>
      </c>
      <c r="AP49" s="3"/>
      <c r="AQ49" s="3"/>
      <c r="AR49" s="3" t="str">
        <f ca="1">IFERROR(__xludf.DUMMYFUNCTION("GOOGLETRANSLATE(AS49,""en"",""ta"")"),"சுத்திகரிப்பு, புழுக்கொல்லி, பூச்சிக்கொல்லி, டையூரிடிக், ஸ்கார்பியூடிக் எதிர்ப்பு, டயாபோரெடிக், கருக்கலைப்பு மருந்து, அபெரியண்ட், அழற்சி எதிர்ப்பு &amp; எம்மெனாகோக்.")</f>
        <v>சுத்திகரிப்பு, புழுக்கொல்லி, பூச்சிக்கொல்லி, டையூரிடிக், ஸ்கார்பியூடிக் எதிர்ப்பு, டயாபோரெடிக், கருக்கலைப்பு மருந்து, அபெரியண்ட், அழற்சி எதிர்ப்பு &amp; எம்மெனாகோக்.</v>
      </c>
      <c r="AS49" s="4" t="s">
        <v>620</v>
      </c>
      <c r="AT49" s="3" t="str">
        <f ca="1">IFERROR(__xludf.DUMMYFUNCTION("GOOGLETRANSLATE(AU49,""en"",""ta"")"),"ப்ரோமெலின், எர்கோஸ்டெரால், பெராக்சைடு, ஸ்டிக்மாஸ்டனால் மற்றும் கேம்பஸ்டனால்.")</f>
        <v>ப்ரோமெலின், எர்கோஸ்டெரால், பெராக்சைடு, ஸ்டிக்மாஸ்டனால் மற்றும் கேம்பஸ்டனால்.</v>
      </c>
      <c r="AU49" s="4" t="s">
        <v>621</v>
      </c>
      <c r="AV49" s="3"/>
      <c r="AW49" s="3" t="str">
        <f ca="1">IFERROR(__xludf.DUMMYFUNCTION("GOOGLETRANSLATE(AX49,""en"",""ta"")"),"பழுக்காத பழச்சாறு அதிக அளவில் குடிப்பது 
கருப்பை சுருக்கத்தை ஏற்படுத்துகிறது மற்றும் கர்ப்பிணிப் பெண்கள் இதைத் தவிர்க்க வேண்டும் 
சர்க்கரையுடன் கூடிய புதிய இலைச்சாறு 
விக்கலை நீக்குகிறது 
மற்றும் மலமிளக்கியாக செயல்படுகிறது .")</f>
        <v>பழுக்காத பழச்சாறு அதிக அளவில் குடிப்பது 
கருப்பை சுருக்கத்தை ஏற்படுத்துகிறது மற்றும் கர்ப்பிணிப் பெண்கள் இதைத் தவிர்க்க வேண்டும் 
சர்க்கரையுடன் கூடிய புதிய இலைச்சாறு 
விக்கலை நீக்குகிறது 
மற்றும் மலமிளக்கியாக செயல்படுகிறது .</v>
      </c>
      <c r="AX49" s="3" t="s">
        <v>622</v>
      </c>
      <c r="AY49" s="3"/>
      <c r="AZ49" s="3"/>
      <c r="BA49" s="3"/>
      <c r="BB49" s="3"/>
      <c r="BC49" s="3"/>
      <c r="BD49" s="3"/>
      <c r="BE49" s="3"/>
      <c r="BF49" s="3"/>
    </row>
    <row r="50" spans="1:58" ht="42" x14ac:dyDescent="0.15">
      <c r="A50" s="3">
        <v>49</v>
      </c>
      <c r="B50" s="3" t="str">
        <f ca="1">IFERROR(__xludf.DUMMYFUNCTION("GOOGLETRANSLATE(C50,""en"",""ta"")"),"ஆண்ட்ரோகிராஃபிஸ் எக்கியோய்டிஸ் நீஸ். (அகாந்தேசி)")</f>
        <v>ஆண்ட்ரோகிராஃபிஸ் எக்கியோய்டிஸ் நீஸ். (அகாந்தேசி)</v>
      </c>
      <c r="C50" s="4" t="s">
        <v>623</v>
      </c>
      <c r="D50" s="3" t="str">
        <f ca="1">IFERROR(__xludf.DUMMYFUNCTION("GOOGLETRANSLATE(E50,""en"",""ta"")"),"#VALUE!")</f>
        <v>#VALUE!</v>
      </c>
      <c r="F50" s="3" t="str">
        <f ca="1">IFERROR(__xludf.DUMMYFUNCTION("GOOGLETRANSLATE(G50,""en"",""ta"")"),"கோபுரம் தாங்கி")</f>
        <v>கோபுரம் தாங்கி</v>
      </c>
      <c r="G50" s="4" t="s">
        <v>624</v>
      </c>
      <c r="H50" s="3" t="str">
        <f ca="1">IFERROR(__xludf.DUMMYFUNCTION("GOOGLETRANSLATE(I50,""en"",""ta"")"),"#VALUE!")</f>
        <v>#VALUE!</v>
      </c>
      <c r="I50" s="3"/>
      <c r="J50" s="3" t="str">
        <f ca="1">IFERROR(__xludf.DUMMYFUNCTION("GOOGLETRANSLATE(K50,""en"",""ta"")"),"சலவ-புரி-கட்டா")</f>
        <v>சலவ-புரி-கட்டா</v>
      </c>
      <c r="K50" s="4" t="s">
        <v>625</v>
      </c>
      <c r="L50" s="3" t="str">
        <f ca="1">IFERROR(__xludf.DUMMYFUNCTION("GOOGLETRANSLATE(M50,""en"",""ta"")"),"மாலா-குலுக்கி")</f>
        <v>மாலா-குலுக்கி</v>
      </c>
      <c r="M50" s="4" t="s">
        <v>626</v>
      </c>
      <c r="N50" s="3" t="str">
        <f ca="1">IFERROR(__xludf.DUMMYFUNCTION("GOOGLETRANSLATE(O50,""en"",""ta"")"),"சாரயேதா")</f>
        <v>சாரயேதா</v>
      </c>
      <c r="O50" s="4" t="s">
        <v>627</v>
      </c>
      <c r="P50" s="3"/>
      <c r="Q50" s="3" t="str">
        <f ca="1">IFERROR(__xludf.DUMMYFUNCTION("GOOGLETRANSLATE(R50,""en"",""ta"")"),"மூலிகை நாற்கர மூலிகை. தண்டு விரிந்த முடிகளால் மூடப்பட்டிருக்கும். இலைகள் எளிமையானவை, காம்பற்றவை, நீள்வட்டமானது மற்றும் முழுமையானவை. இலைக்கோணங்களில் ஏராளமான பூக்கள் உள்ளன. ராச்சிஸ் முடிகள் கொண்டது. பழங்கள் அகலமானவை, நீள்வட்ட வடிவமானவை மற்றும் சுருக்கப்பட்ட"&amp;" காப்ஸ்யூல்கள். விதைகள் சுருக்கப்பட்டவை.")</f>
        <v>மூலிகை நாற்கர மூலிகை. தண்டு விரிந்த முடிகளால் மூடப்பட்டிருக்கும். இலைகள் எளிமையானவை, காம்பற்றவை, நீள்வட்டமானது மற்றும் முழுமையானவை. இலைக்கோணங்களில் ஏராளமான பூக்கள் உள்ளன. ராச்சிஸ் முடிகள் கொண்டது. பழங்கள் அகலமானவை, நீள்வட்ட வடிவமானவை மற்றும் சுருக்கப்பட்ட காப்ஸ்யூல்கள். விதைகள் சுருக்கப்பட்டவை.</v>
      </c>
      <c r="R50" s="4" t="s">
        <v>628</v>
      </c>
      <c r="S50" s="3" t="str">
        <f ca="1">IFERROR(__xludf.DUMMYFUNCTION("GOOGLETRANSLATE(T50,""en"",""ta"")"),"இல்லை")</f>
        <v>இல்லை</v>
      </c>
      <c r="T50" s="3" t="s">
        <v>46</v>
      </c>
      <c r="U50" s="3" t="str">
        <f ca="1">IFERROR(__xludf.DUMMYFUNCTION("GOOGLETRANSLATE(V50,""en"",""ta"")"),"#VALUE!")</f>
        <v>#VALUE!</v>
      </c>
      <c r="V50" s="3"/>
      <c r="W50" s="3" t="str">
        <f ca="1">IFERROR(__xludf.DUMMYFUNCTION("GOOGLETRANSLATE(X50,""en"",""ta"")"),"#VALUE!")</f>
        <v>#VALUE!</v>
      </c>
      <c r="X50" s="3"/>
      <c r="Y50" s="3" t="str">
        <f ca="1">IFERROR(__xludf.DUMMYFUNCTION("GOOGLETRANSLATE(Z50,""en"",""ta"")"),"#VALUE!")</f>
        <v>#VALUE!</v>
      </c>
      <c r="Z50" s="3"/>
      <c r="AA50" s="3" t="str">
        <f ca="1">IFERROR(__xludf.DUMMYFUNCTION("GOOGLETRANSLATE(AB50,""en"",""ta"")"),"#VALUE!")</f>
        <v>#VALUE!</v>
      </c>
      <c r="AB50" s="3"/>
      <c r="AC50" s="3" t="str">
        <f ca="1">IFERROR(__xludf.DUMMYFUNCTION("GOOGLETRANSLATE(AD50,""en"",""ta"")"),"#VALUE!")</f>
        <v>#VALUE!</v>
      </c>
      <c r="AD50" s="3"/>
      <c r="AE50" s="3" t="str">
        <f ca="1">IFERROR(__xludf.DUMMYFUNCTION("GOOGLETRANSLATE(AF50,""en"",""ta"")"),"#VALUE!")</f>
        <v>#VALUE!</v>
      </c>
      <c r="AF50" s="3"/>
      <c r="AG50" s="3" t="str">
        <f ca="1">IFERROR(__xludf.DUMMYFUNCTION("GOOGLETRANSLATE(AH50,""en"",""ta"")"),"#VALUE!")</f>
        <v>#VALUE!</v>
      </c>
      <c r="AH50" s="3"/>
      <c r="AI50" s="3" t="str">
        <f ca="1">IFERROR(__xludf.DUMMYFUNCTION("GOOGLETRANSLATE(AJ50,""en"",""ta"")"),"#VALUE!")</f>
        <v>#VALUE!</v>
      </c>
      <c r="AJ50" s="3"/>
      <c r="AK50" s="3" t="str">
        <f ca="1">IFERROR(__xludf.DUMMYFUNCTION("GOOGLETRANSLATE(AL50,""en"",""ta"")"),"#VALUE!")</f>
        <v>#VALUE!</v>
      </c>
      <c r="AL50" s="3"/>
      <c r="AM50" s="3" t="str">
        <f ca="1">IFERROR(__xludf.DUMMYFUNCTION("GOOGLETRANSLATE(AN50,""en"",""ta"")"),"#VALUE!")</f>
        <v>#VALUE!</v>
      </c>
      <c r="AN50" s="3"/>
      <c r="AO50" s="3" t="str">
        <f ca="1">IFERROR(__xludf.DUMMYFUNCTION("GOOGLETRANSLATE(AP50,""en"",""ta"")"),"#VALUE!")</f>
        <v>#VALUE!</v>
      </c>
      <c r="AP50" s="3"/>
      <c r="AQ50" s="3"/>
      <c r="AR50" s="3" t="str">
        <f ca="1">IFERROR(__xludf.DUMMYFUNCTION("GOOGLETRANSLATE(AS50,""en"",""ta"")"),"காய்ச்சல் மருந்து.")</f>
        <v>காய்ச்சல் மருந்து.</v>
      </c>
      <c r="AS50" s="4" t="s">
        <v>629</v>
      </c>
      <c r="AT50" s="3" t="str">
        <f ca="1">IFERROR(__xludf.DUMMYFUNCTION("GOOGLETRANSLATE(AU50,""en"",""ta"")"),"எக்கியோய்டினின், எக்கோய்டின், குயினைன் சல்பேட்")</f>
        <v>எக்கியோய்டினின், எக்கோய்டின், குயினைன் சல்பேட்</v>
      </c>
      <c r="AU50" s="4" t="s">
        <v>630</v>
      </c>
      <c r="AV50" s="3"/>
      <c r="AW50" s="3" t="str">
        <f ca="1">IFERROR(__xludf.DUMMYFUNCTION("GOOGLETRANSLATE(AX50,""en"",""ta"")"),"காய்ச்சலுக்கு இலைச்சாறு உட்புறமாக செலுத்தப்படுகிறது. வேர்ப் பொடியை தேனுடன் கலந்து குடித்தால் தடிப்புத் தோல் அழற்சி குணமாகும்.")</f>
        <v>காய்ச்சலுக்கு இலைச்சாறு உட்புறமாக செலுத்தப்படுகிறது. வேர்ப் பொடியை தேனுடன் கலந்து குடித்தால் தடிப்புத் தோல் அழற்சி குணமாகும்.</v>
      </c>
      <c r="AX50" s="4" t="s">
        <v>631</v>
      </c>
      <c r="AY50" s="3"/>
      <c r="AZ50" s="3"/>
      <c r="BA50" s="3"/>
      <c r="BB50" s="3"/>
      <c r="BC50" s="3"/>
      <c r="BD50" s="3"/>
      <c r="BE50" s="3"/>
      <c r="BF50" s="3"/>
    </row>
    <row r="51" spans="1:58" ht="70" x14ac:dyDescent="0.15">
      <c r="A51" s="3">
        <v>50</v>
      </c>
      <c r="B51" s="3" t="str">
        <f ca="1">IFERROR(__xludf.DUMMYFUNCTION("GOOGLETRANSLATE(C51,""en"",""ta"")"),"ஆண்ட்ரோகிராஃபிஸ் பானிகுலேட்டா வால். எக்ஸ் நீஸ். (அகாந்தேசி)")</f>
        <v>ஆண்ட்ரோகிராஃபிஸ் பானிகுலேட்டா வால். எக்ஸ் நீஸ். (அகாந்தேசி)</v>
      </c>
      <c r="C51" s="4" t="s">
        <v>632</v>
      </c>
      <c r="D51" s="3" t="str">
        <f ca="1">IFERROR(__xludf.DUMMYFUNCTION("GOOGLETRANSLATE(E51,""en"",""ta"")"),"புனிம்பா")</f>
        <v>புனிம்பா</v>
      </c>
      <c r="E51" s="4" t="s">
        <v>633</v>
      </c>
      <c r="F51" s="3" t="str">
        <f ca="1">IFERROR(__xludf.DUMMYFUNCTION("GOOGLETRANSLATE(G51,""en"",""ta"")"),"நிலவேம்பு")</f>
        <v>நிலவேம்பு</v>
      </c>
      <c r="G51" s="4" t="s">
        <v>634</v>
      </c>
      <c r="H51" s="3" t="str">
        <f ca="1">IFERROR(__xludf.DUMMYFUNCTION("GOOGLETRANSLATE(I51,""en"",""ta"")"),"உருவாக்கு")</f>
        <v>உருவாக்கு</v>
      </c>
      <c r="I51" s="4" t="s">
        <v>635</v>
      </c>
      <c r="J51" s="3" t="str">
        <f ca="1">IFERROR(__xludf.DUMMYFUNCTION("GOOGLETRANSLATE(K51,""en"",""ta"")"),"நிலா வேமு")</f>
        <v>நிலா வேமு</v>
      </c>
      <c r="K51" s="4" t="s">
        <v>636</v>
      </c>
      <c r="L51" s="3" t="str">
        <f ca="1">IFERROR(__xludf.DUMMYFUNCTION("GOOGLETRANSLATE(M51,""en"",""ta"")"),"கிரியாட்டு")</f>
        <v>கிரியாட்டு</v>
      </c>
      <c r="M51" s="4" t="s">
        <v>637</v>
      </c>
      <c r="N51" s="3" t="str">
        <f ca="1">IFERROR(__xludf.DUMMYFUNCTION("GOOGLETRANSLATE(O51,""en"",""ta"")"),"கல்மேக்")</f>
        <v>கல்மேக்</v>
      </c>
      <c r="O51" s="4" t="s">
        <v>638</v>
      </c>
      <c r="P51" s="3"/>
      <c r="Q51" s="3" t="str">
        <f ca="1">IFERROR(__xludf.DUMMYFUNCTION("GOOGLETRANSLATE(R51,""en"",""ta"")"),"சிறிய மூலிகை, தண்டு நாற்கோணமானது, கீழ் பகுதி சளி போன்றது, மேல் பகுதி ரோமங்களுடன் இருக்கும். இலைகள் எளிமையானவை, உரோமங்களற்றவை, ஈட்டி வடிவானது மற்றும் நீளமானது. மஞ்சரி பேனிகல், புல்லி மடல் சுரப்பி மற்றும் உரோமங்களுடையது. மலர்கள் சிறியதாகவும் வெள்ளை நிறமாகவு"&amp;"ம் பிலிப் கொரோலாவுடன் இருக்கும். பழங்கள் நீள்வட்ட காப்ஸ்யூல், செங்குத்து செங்கோணத்தில் சுருக்கப்பட்டிருக்கும். விதைகள் கடினமானவை மற்றும் உரோமங்களற்றவை.")</f>
        <v>சிறிய மூலிகை, தண்டு நாற்கோணமானது, கீழ் பகுதி சளி போன்றது, மேல் பகுதி ரோமங்களுடன் இருக்கும். இலைகள் எளிமையானவை, உரோமங்களற்றவை, ஈட்டி வடிவானது மற்றும் நீளமானது. மஞ்சரி பேனிகல், புல்லி மடல் சுரப்பி மற்றும் உரோமங்களுடையது. மலர்கள் சிறியதாகவும் வெள்ளை நிறமாகவும் பிலிப் கொரோலாவுடன் இருக்கும். பழங்கள் நீள்வட்ட காப்ஸ்யூல், செங்குத்து செங்கோணத்தில் சுருக்கப்பட்டிருக்கும். விதைகள் கடினமானவை மற்றும் உரோமங்களற்றவை.</v>
      </c>
      <c r="R51" s="4" t="s">
        <v>639</v>
      </c>
      <c r="S51" s="3" t="str">
        <f ca="1">IFERROR(__xludf.DUMMYFUNCTION("GOOGLETRANSLATE(T51,""en"",""ta"")"),"இல்லை")</f>
        <v>இல்லை</v>
      </c>
      <c r="T51" s="3" t="s">
        <v>46</v>
      </c>
      <c r="U51" s="3" t="str">
        <f ca="1">IFERROR(__xludf.DUMMYFUNCTION("GOOGLETRANSLATE(V51,""en"",""ta"")"),"#VALUE!")</f>
        <v>#VALUE!</v>
      </c>
      <c r="V51" s="3"/>
      <c r="W51" s="3" t="str">
        <f ca="1">IFERROR(__xludf.DUMMYFUNCTION("GOOGLETRANSLATE(X51,""en"",""ta"")"),"#VALUE!")</f>
        <v>#VALUE!</v>
      </c>
      <c r="X51" s="3"/>
      <c r="Y51" s="3" t="str">
        <f ca="1">IFERROR(__xludf.DUMMYFUNCTION("GOOGLETRANSLATE(Z51,""en"",""ta"")"),"#VALUE!")</f>
        <v>#VALUE!</v>
      </c>
      <c r="Z51" s="3"/>
      <c r="AA51" s="3" t="str">
        <f ca="1">IFERROR(__xludf.DUMMYFUNCTION("GOOGLETRANSLATE(AB51,""en"",""ta"")"),"#VALUE!")</f>
        <v>#VALUE!</v>
      </c>
      <c r="AB51" s="3"/>
      <c r="AC51" s="3" t="str">
        <f ca="1">IFERROR(__xludf.DUMMYFUNCTION("GOOGLETRANSLATE(AD51,""en"",""ta"")"),"#VALUE!")</f>
        <v>#VALUE!</v>
      </c>
      <c r="AD51" s="3"/>
      <c r="AE51" s="3" t="str">
        <f ca="1">IFERROR(__xludf.DUMMYFUNCTION("GOOGLETRANSLATE(AF51,""en"",""ta"")"),"#VALUE!")</f>
        <v>#VALUE!</v>
      </c>
      <c r="AF51" s="3"/>
      <c r="AG51" s="3" t="str">
        <f ca="1">IFERROR(__xludf.DUMMYFUNCTION("GOOGLETRANSLATE(AH51,""en"",""ta"")"),"#VALUE!")</f>
        <v>#VALUE!</v>
      </c>
      <c r="AH51" s="3"/>
      <c r="AI51" s="3" t="str">
        <f ca="1">IFERROR(__xludf.DUMMYFUNCTION("GOOGLETRANSLATE(AJ51,""en"",""ta"")"),"#VALUE!")</f>
        <v>#VALUE!</v>
      </c>
      <c r="AJ51" s="3"/>
      <c r="AK51" s="3" t="str">
        <f ca="1">IFERROR(__xludf.DUMMYFUNCTION("GOOGLETRANSLATE(AL51,""en"",""ta"")"),"#VALUE!")</f>
        <v>#VALUE!</v>
      </c>
      <c r="AL51" s="3"/>
      <c r="AM51" s="3" t="str">
        <f ca="1">IFERROR(__xludf.DUMMYFUNCTION("GOOGLETRANSLATE(AN51,""en"",""ta"")"),"#VALUE!")</f>
        <v>#VALUE!</v>
      </c>
      <c r="AN51" s="3"/>
      <c r="AO51" s="3" t="str">
        <f ca="1">IFERROR(__xludf.DUMMYFUNCTION("GOOGLETRANSLATE(AP51,""en"",""ta"")"),"#VALUE!")</f>
        <v>#VALUE!</v>
      </c>
      <c r="AP51" s="3"/>
      <c r="AQ51" s="3"/>
      <c r="AR51" s="3" t="str">
        <f ca="1">IFERROR(__xludf.DUMMYFUNCTION("GOOGLETRANSLATE(AS51,""en"",""ta"")"),"வயிற்று வலி நிவாரணி, டானிக், இரத்த சுத்திகரிப்பான், மாற்று மருந்து, காய்ச்சல் மருந்து, புழுக்களுக்கு மருந்தாகும் மருந்து, டைபாய்டு எதிர்ப்பு மற்றும் சோலாகோக்")</f>
        <v>வயிற்று வலி நிவாரணி, டானிக், இரத்த சுத்திகரிப்பான், மாற்று மருந்து, காய்ச்சல் மருந்து, புழுக்களுக்கு மருந்தாகும் மருந்து, டைபாய்டு எதிர்ப்பு மற்றும் சோலாகோக்</v>
      </c>
      <c r="AS51" s="4" t="s">
        <v>640</v>
      </c>
      <c r="AT51" s="3" t="str">
        <f ca="1">IFERROR(__xludf.DUMMYFUNCTION("GOOGLETRANSLATE(AU51,""en"",""ta"")"),"ஆண்ட்ரோகிராஃபின், ஆண்ட்ரோகிராஃபோலைடு, பானிகோலின், ஆண்ட்ரோகிராஃபிசைடு, காஃபிக் அமிலம், குளோரோஜெனிக் அமிலம், டைகாஃபியோல் குயினிக் அமிலம் மற்றும் ஃபிளாவோன்கள்.")</f>
        <v>ஆண்ட்ரோகிராஃபின், ஆண்ட்ரோகிராஃபோலைடு, பானிகோலின், ஆண்ட்ரோகிராஃபிசைடு, காஃபிக் அமிலம், குளோரோஜெனிக் அமிலம், டைகாஃபியோல் குயினிக் அமிலம் மற்றும் ஃபிளாவோன்கள்.</v>
      </c>
      <c r="AU51" s="4" t="s">
        <v>641</v>
      </c>
      <c r="AV51" s="3"/>
      <c r="AW51" s="3" t="str">
        <f ca="1">IFERROR(__xludf.DUMMYFUNCTION("GOOGLETRANSLATE(AX51,""en"",""ta"")"),"நரம்பு வலி மற்றும் காய்ச்சலுக்கு இலைகளின் கஷாயம் கொடுக்கப்படுகிறது. அஜீரணத்தால் ஏற்படும் வயிற்றுப்போக்கை நிறுத்த இலைச் சாறு உள்ளே கொடுக்கப்படுகிறது.")</f>
        <v>நரம்பு வலி மற்றும் காய்ச்சலுக்கு இலைகளின் கஷாயம் கொடுக்கப்படுகிறது. அஜீரணத்தால் ஏற்படும் வயிற்றுப்போக்கை நிறுத்த இலைச் சாறு உள்ளே கொடுக்கப்படுகிறது.</v>
      </c>
      <c r="AX51" s="4" t="s">
        <v>642</v>
      </c>
      <c r="AY51" s="3"/>
      <c r="AZ51" s="3"/>
      <c r="BA51" s="3"/>
      <c r="BB51" s="3"/>
      <c r="BC51" s="3"/>
      <c r="BD51" s="3"/>
      <c r="BE51" s="3"/>
      <c r="BF51" s="3"/>
    </row>
    <row r="52" spans="1:58" ht="56" x14ac:dyDescent="0.15">
      <c r="A52" s="3">
        <v>51</v>
      </c>
      <c r="B52" s="3" t="str">
        <f ca="1">IFERROR(__xludf.DUMMYFUNCTION("GOOGLETRANSLATE(C52,""en"",""ta"")"),"அனெதம் கிரேவோலென்ஸ்")</f>
        <v>அனெதம் கிரேவோலென்ஸ்</v>
      </c>
      <c r="C52" s="4" t="s">
        <v>643</v>
      </c>
      <c r="D52" s="3" t="str">
        <f ca="1">IFERROR(__xludf.DUMMYFUNCTION("GOOGLETRANSLATE(E52,""en"",""ta"")"),"சதபுஷ்பி")</f>
        <v>சதபுஷ்பி</v>
      </c>
      <c r="E52" s="4" t="s">
        <v>644</v>
      </c>
      <c r="F52" s="3" t="str">
        <f ca="1">IFERROR(__xludf.DUMMYFUNCTION("GOOGLETRANSLATE(G52,""en"",""ta"")"),"சதகுப்பை")</f>
        <v>சதகுப்பை</v>
      </c>
      <c r="G52" s="4" t="s">
        <v>645</v>
      </c>
      <c r="H52" s="3" t="str">
        <f ca="1">IFERROR(__xludf.DUMMYFUNCTION("GOOGLETRANSLATE(I52,""en"",""ta"")"),"வெந்தயம்")</f>
        <v>வெந்தயம்</v>
      </c>
      <c r="I52" s="3" t="s">
        <v>646</v>
      </c>
      <c r="J52" s="3" t="str">
        <f ca="1">IFERROR(__xludf.DUMMYFUNCTION("GOOGLETRANSLATE(K52,""en"",""ta"")"),"ஷடா குபிவிட்டுலு")</f>
        <v>ஷடா குபிவிட்டுலு</v>
      </c>
      <c r="K52" s="4" t="s">
        <v>647</v>
      </c>
      <c r="L52" s="3" t="str">
        <f ca="1">IFERROR(__xludf.DUMMYFUNCTION("GOOGLETRANSLATE(M52,""en"",""ta"")"),"சதுக்குப்பா")</f>
        <v>சதுக்குப்பா</v>
      </c>
      <c r="M52" s="4" t="s">
        <v>648</v>
      </c>
      <c r="N52" s="3" t="str">
        <f ca="1">IFERROR(__xludf.DUMMYFUNCTION("GOOGLETRANSLATE(O52,""en"",""ta"")"),"சோவா")</f>
        <v>சோவா</v>
      </c>
      <c r="O52" s="4" t="s">
        <v>649</v>
      </c>
      <c r="P52" s="3"/>
      <c r="Q52" s="3" t="str">
        <f ca="1">IFERROR(__xludf.DUMMYFUNCTION("GOOGLETRANSLATE(R52,""en"",""ta"")"),"வருடாந்திர நிமிர்ந்த, உரோமங்களற்ற மூலிகை. இலைகள் மாறி மாறி காணப்படும், கூட்டு, இலைக்காம்பு வடிவானது, அடிப்பகுதியில் உறை போன்றது. மலர்கள் வழக்கமானவை, ஹெர்மோஃப்ரோடைட், மஞ்சரி மற்றும் அம்பல். பழங்கள் நீள்வட்டமாக, பின்புறமாக சுருக்கப்பட்டவை, மெரிகார்ப்ஸ் தட்ட"&amp;"ையானவை, பக்கவாட்டு முகடுகள் இறக்கைகளுடன் இருக்கும்.")</f>
        <v>வருடாந்திர நிமிர்ந்த, உரோமங்களற்ற மூலிகை. இலைகள் மாறி மாறி காணப்படும், கூட்டு, இலைக்காம்பு வடிவானது, அடிப்பகுதியில் உறை போன்றது. மலர்கள் வழக்கமானவை, ஹெர்மோஃப்ரோடைட், மஞ்சரி மற்றும் அம்பல். பழங்கள் நீள்வட்டமாக, பின்புறமாக சுருக்கப்பட்டவை, மெரிகார்ப்ஸ் தட்டையானவை, பக்கவாட்டு முகடுகள் இறக்கைகளுடன் இருக்கும்.</v>
      </c>
      <c r="R52" s="4" t="s">
        <v>650</v>
      </c>
      <c r="S52" s="3" t="str">
        <f ca="1">IFERROR(__xludf.DUMMYFUNCTION("GOOGLETRANSLATE(T52,""en"",""ta"")"),"மூட்டு வீக்கம் மற்றும் வாத நோய்.")</f>
        <v>மூட்டு வீக்கம் மற்றும் வாத நோய்.</v>
      </c>
      <c r="T52" s="4" t="s">
        <v>651</v>
      </c>
      <c r="U52" s="3" t="str">
        <f ca="1">IFERROR(__xludf.DUMMYFUNCTION("GOOGLETRANSLATE(V52,""en"",""ta"")"),"#VALUE!")</f>
        <v>#VALUE!</v>
      </c>
      <c r="V52" s="3"/>
      <c r="W52" s="3" t="str">
        <f ca="1">IFERROR(__xludf.DUMMYFUNCTION("GOOGLETRANSLATE(X52,""en"",""ta"")"),"கொதிப்புகள், புண்கள்.")</f>
        <v>கொதிப்புகள், புண்கள்.</v>
      </c>
      <c r="X52" s="4" t="s">
        <v>652</v>
      </c>
      <c r="Y52" s="3" t="str">
        <f ca="1">IFERROR(__xludf.DUMMYFUNCTION("GOOGLETRANSLATE(Z52,""en"",""ta"")"),"#VALUE!")</f>
        <v>#VALUE!</v>
      </c>
      <c r="Z52" s="3"/>
      <c r="AA52" s="3" t="str">
        <f ca="1">IFERROR(__xludf.DUMMYFUNCTION("GOOGLETRANSLATE(AB52,""en"",""ta"")"),"#VALUE!")</f>
        <v>#VALUE!</v>
      </c>
      <c r="AB52" s="3"/>
      <c r="AC52" s="3" t="str">
        <f ca="1">IFERROR(__xludf.DUMMYFUNCTION("GOOGLETRANSLATE(AD52,""en"",""ta"")"),"#VALUE!")</f>
        <v>#VALUE!</v>
      </c>
      <c r="AD52" s="3"/>
      <c r="AE52" s="3" t="str">
        <f ca="1">IFERROR(__xludf.DUMMYFUNCTION("GOOGLETRANSLATE(AF52,""en"",""ta"")"),"#VALUE!")</f>
        <v>#VALUE!</v>
      </c>
      <c r="AF52" s="3"/>
      <c r="AG52" s="3" t="str">
        <f ca="1">IFERROR(__xludf.DUMMYFUNCTION("GOOGLETRANSLATE(AH52,""en"",""ta"")"),"#VALUE!")</f>
        <v>#VALUE!</v>
      </c>
      <c r="AH52" s="3"/>
      <c r="AI52" s="3" t="str">
        <f ca="1">IFERROR(__xludf.DUMMYFUNCTION("GOOGLETRANSLATE(AJ52,""en"",""ta"")"),"#VALUE!")</f>
        <v>#VALUE!</v>
      </c>
      <c r="AJ52" s="3"/>
      <c r="AK52" s="3" t="str">
        <f ca="1">IFERROR(__xludf.DUMMYFUNCTION("GOOGLETRANSLATE(AL52,""en"",""ta"")"),"#VALUE!")</f>
        <v>#VALUE!</v>
      </c>
      <c r="AL52" s="3"/>
      <c r="AM52" s="3" t="str">
        <f ca="1">IFERROR(__xludf.DUMMYFUNCTION("GOOGLETRANSLATE(AN52,""en"",""ta"")"),"வாய்வு, விக்கல், வயிற்று வலி, வயிற்றுப்போக்கு மற்றும் வயிற்றுப்போக்கு.")</f>
        <v>வாய்வு, விக்கல், வயிற்று வலி, வயிற்றுப்போக்கு மற்றும் வயிற்றுப்போக்கு.</v>
      </c>
      <c r="AN52" s="4" t="s">
        <v>653</v>
      </c>
      <c r="AO52" s="3" t="str">
        <f ca="1">IFERROR(__xludf.DUMMYFUNCTION("GOOGLETRANSLATE(AP52,""en"",""ta"")"),"#VALUE!")</f>
        <v>#VALUE!</v>
      </c>
      <c r="AP52" s="3"/>
      <c r="AQ52" s="3"/>
      <c r="AR52" s="3" t="str">
        <f ca="1">IFERROR(__xludf.DUMMYFUNCTION("GOOGLETRANSLATE(AS52,""en"",""ta"")"),"கார்மினேட்டிவ், வயிற்று வலி நிவாரணி, ஊக்கி, சிறுநீர் பெருக்கி, எம்மெனாகோக் மற்றும் கேலக்டகோக்")</f>
        <v>கார்மினேட்டிவ், வயிற்று வலி நிவாரணி, ஊக்கி, சிறுநீர் பெருக்கி, எம்மெனாகோக் மற்றும் கேலக்டகோக்</v>
      </c>
      <c r="AS52" s="4" t="s">
        <v>654</v>
      </c>
      <c r="AT52" s="3" t="str">
        <f ca="1">IFERROR(__xludf.DUMMYFUNCTION("GOOGLETRANSLATE(AU52,""en"",""ta"")"),"அனெத்தின், ஃபெல்லான்ரீன், டிரிபெட்ரோசிலினின், கார்வோன், பெட்ரோசிலினிக்டியோலின், விசெனின் மற்றும் அபினீன்.")</f>
        <v>அனெத்தின், ஃபெல்லான்ரீன், டிரிபெட்ரோசிலினின், கார்வோன், பெட்ரோசிலினிக்டியோலின், விசெனின் மற்றும் அபினீன்.</v>
      </c>
      <c r="AU52" s="4" t="s">
        <v>655</v>
      </c>
      <c r="AV52" s="3"/>
      <c r="AW52" s="3" t="str">
        <f ca="1">IFERROR(__xludf.DUMMYFUNCTION("GOOGLETRANSLATE(AX52,""en"",""ta"")"),"அஜீரணம், வாந்தி மற்றும் வயிற்றுப்போக்குக்கு குழந்தைகளுக்கு இலைச்சாறு உள்ளே கொடுக்கப்படுகிறது. விதைகளின் பொடியை வெந்நீரில் ஊறவைத்து, இரைப்பை பிரச்சனைகளுக்கு உள்ளே கொடுக்கப்படுகிறது.")</f>
        <v>அஜீரணம், வாந்தி மற்றும் வயிற்றுப்போக்குக்கு குழந்தைகளுக்கு இலைச்சாறு உள்ளே கொடுக்கப்படுகிறது. விதைகளின் பொடியை வெந்நீரில் ஊறவைத்து, இரைப்பை பிரச்சனைகளுக்கு உள்ளே கொடுக்கப்படுகிறது.</v>
      </c>
      <c r="AX52" s="4" t="s">
        <v>656</v>
      </c>
      <c r="AY52" s="3"/>
      <c r="AZ52" s="3"/>
      <c r="BA52" s="3"/>
      <c r="BB52" s="3"/>
      <c r="BC52" s="3"/>
      <c r="BD52" s="3"/>
      <c r="BE52" s="3"/>
      <c r="BF52" s="3"/>
    </row>
    <row r="53" spans="1:58" ht="70" x14ac:dyDescent="0.15">
      <c r="A53" s="3">
        <v>52</v>
      </c>
      <c r="B53" s="3" t="str">
        <f ca="1">IFERROR(__xludf.DUMMYFUNCTION("GOOGLETRANSLATE(C53,""en"",""ta"")"),"அனிசோகிலஸ் கார்னோசஸ்")</f>
        <v>அனிசோகிலஸ் கார்னோசஸ்</v>
      </c>
      <c r="C53" s="4" t="s">
        <v>657</v>
      </c>
      <c r="D53" s="3" t="str">
        <f ca="1">IFERROR(__xludf.DUMMYFUNCTION("GOOGLETRANSLATE(E53,""en"",""ta"")"),"இந்துபர்ணி")</f>
        <v>இந்துபர்ணி</v>
      </c>
      <c r="E53" s="4" t="s">
        <v>658</v>
      </c>
      <c r="F53" s="3" t="str">
        <f ca="1">IFERROR(__xludf.DUMMYFUNCTION("GOOGLETRANSLATE(G53,""en"",""ta"")"),"கற்பூரவல்லி")</f>
        <v>கற்பூரவல்லி</v>
      </c>
      <c r="G53" s="4" t="s">
        <v>659</v>
      </c>
      <c r="H53" s="3" t="str">
        <f ca="1">IFERROR(__xludf.DUMMYFUNCTION("GOOGLETRANSLATE(I53,""en"",""ta"")"),"அடர்த்தியான இலைகள் கொண்ட லாவெண்டர்")</f>
        <v>அடர்த்தியான இலைகள் கொண்ட லாவெண்டர்</v>
      </c>
      <c r="I53" s="4" t="s">
        <v>660</v>
      </c>
      <c r="J53" s="3" t="str">
        <f ca="1">IFERROR(__xludf.DUMMYFUNCTION("GOOGLETRANSLATE(K53,""en"",""ta"")"),"ரிச்சுரோட்டா")</f>
        <v>ரிச்சுரோட்டா</v>
      </c>
      <c r="K53" s="4" t="s">
        <v>661</v>
      </c>
      <c r="L53" s="3" t="str">
        <f ca="1">IFERROR(__xludf.DUMMYFUNCTION("GOOGLETRANSLATE(M53,""en"",""ta"")"),"கற்பூர வள்ளி")</f>
        <v>கற்பூர வள்ளி</v>
      </c>
      <c r="M53" s="4" t="s">
        <v>662</v>
      </c>
      <c r="N53" s="3" t="str">
        <f ca="1">IFERROR(__xludf.DUMMYFUNCTION("GOOGLETRANSLATE(O53,""en"",""ta"")"),"சீதாகி")</f>
        <v>சீதாகி</v>
      </c>
      <c r="O53" s="4" t="s">
        <v>663</v>
      </c>
      <c r="P53" s="3"/>
      <c r="Q53" s="3" t="str">
        <f ca="1">IFERROR(__xludf.DUMMYFUNCTION("GOOGLETRANSLATE(R53,""en"",""ta"")"),"நிமிர்ந்த, மணம் கொண்ட சதைப்பற்றுள்ள மூலிகை. இலைகள் எளிமையானவை, எதிரெதிர், இலைக்காம்பு சதைப்பற்றுள்ளவை, அகன்ற முட்டை வடிவானது முதல் மழுங்கிய பல் விளிம்புடன் இருக்கும். மலர்கள் வெளிர் ஊதா நிறத்தில் நீண்ட மஞ்சரி மஞ்சரியில் காணப்படும். பழங்கள் 4, முட்டை வடிவ "&amp;"உலர்ந்த கொட்டைகள். விதைகள் பழுப்பு நிறமாகவும் சுருக்கப்பட்டதாகவும் இருக்கும்.")</f>
        <v>நிமிர்ந்த, மணம் கொண்ட சதைப்பற்றுள்ள மூலிகை. இலைகள் எளிமையானவை, எதிரெதிர், இலைக்காம்பு சதைப்பற்றுள்ளவை, அகன்ற முட்டை வடிவானது முதல் மழுங்கிய பல் விளிம்புடன் இருக்கும். மலர்கள் வெளிர் ஊதா நிறத்தில் நீண்ட மஞ்சரி மஞ்சரியில் காணப்படும். பழங்கள் 4, முட்டை வடிவ உலர்ந்த கொட்டைகள். விதைகள் பழுப்பு நிறமாகவும் சுருக்கப்பட்டதாகவும் இருக்கும்.</v>
      </c>
      <c r="R53" s="4" t="s">
        <v>664</v>
      </c>
      <c r="S53" s="3" t="str">
        <f ca="1">IFERROR(__xludf.DUMMYFUNCTION("GOOGLETRANSLATE(T53,""en"",""ta"")"),"இல்லை")</f>
        <v>இல்லை</v>
      </c>
      <c r="T53" s="3" t="s">
        <v>46</v>
      </c>
      <c r="U53" s="3" t="str">
        <f ca="1">IFERROR(__xludf.DUMMYFUNCTION("GOOGLETRANSLATE(V53,""en"",""ta"")"),"#VALUE!")</f>
        <v>#VALUE!</v>
      </c>
      <c r="V53" s="3"/>
      <c r="W53" s="3" t="str">
        <f ca="1">IFERROR(__xludf.DUMMYFUNCTION("GOOGLETRANSLATE(X53,""en"",""ta"")"),"#VALUE!")</f>
        <v>#VALUE!</v>
      </c>
      <c r="X53" s="3"/>
      <c r="Y53" s="3" t="str">
        <f ca="1">IFERROR(__xludf.DUMMYFUNCTION("GOOGLETRANSLATE(Z53,""en"",""ta"")"),"#VALUE!")</f>
        <v>#VALUE!</v>
      </c>
      <c r="Z53" s="3"/>
      <c r="AA53" s="3" t="str">
        <f ca="1">IFERROR(__xludf.DUMMYFUNCTION("GOOGLETRANSLATE(AB53,""en"",""ta"")"),"#VALUE!")</f>
        <v>#VALUE!</v>
      </c>
      <c r="AB53" s="3"/>
      <c r="AC53" s="3" t="str">
        <f ca="1">IFERROR(__xludf.DUMMYFUNCTION("GOOGLETRANSLATE(AD53,""en"",""ta"")"),"#VALUE!")</f>
        <v>#VALUE!</v>
      </c>
      <c r="AD53" s="3"/>
      <c r="AE53" s="3" t="str">
        <f ca="1">IFERROR(__xludf.DUMMYFUNCTION("GOOGLETRANSLATE(AF53,""en"",""ta"")"),"#VALUE!")</f>
        <v>#VALUE!</v>
      </c>
      <c r="AF53" s="3"/>
      <c r="AG53" s="3" t="str">
        <f ca="1">IFERROR(__xludf.DUMMYFUNCTION("GOOGLETRANSLATE(AH53,""en"",""ta"")"),"#VALUE!")</f>
        <v>#VALUE!</v>
      </c>
      <c r="AH53" s="3"/>
      <c r="AI53" s="3" t="str">
        <f ca="1">IFERROR(__xludf.DUMMYFUNCTION("GOOGLETRANSLATE(AJ53,""en"",""ta"")"),"#VALUE!")</f>
        <v>#VALUE!</v>
      </c>
      <c r="AJ53" s="3"/>
      <c r="AK53" s="3" t="str">
        <f ca="1">IFERROR(__xludf.DUMMYFUNCTION("GOOGLETRANSLATE(AL53,""en"",""ta"")"),"#VALUE!")</f>
        <v>#VALUE!</v>
      </c>
      <c r="AL53" s="3"/>
      <c r="AM53" s="3" t="str">
        <f ca="1">IFERROR(__xludf.DUMMYFUNCTION("GOOGLETRANSLATE(AN53,""en"",""ta"")"),"#VALUE!")</f>
        <v>#VALUE!</v>
      </c>
      <c r="AN53" s="3"/>
      <c r="AO53" s="3" t="str">
        <f ca="1">IFERROR(__xludf.DUMMYFUNCTION("GOOGLETRANSLATE(AP53,""en"",""ta"")"),"#VALUE!")</f>
        <v>#VALUE!</v>
      </c>
      <c r="AP53" s="3"/>
      <c r="AQ53" s="3"/>
      <c r="AR53" s="3" t="str">
        <f ca="1">IFERROR(__xludf.DUMMYFUNCTION("GOOGLETRANSLATE(AS53,""en"",""ta"")"),"தூண்டுதல், டயாபோரெடிக், சளி நீக்கி, தசை தளர்த்தி, தசை வலிப்பு எதிர்ப்பு, பாக்டீரிசைடு, பூஞ்சைக் கொல்லி")</f>
        <v>தூண்டுதல், டயாபோரெடிக், சளி நீக்கி, தசை தளர்த்தி, தசை வலிப்பு எதிர்ப்பு, பாக்டீரிசைடு, பூஞ்சைக் கொல்லி</v>
      </c>
      <c r="AS53" s="4" t="s">
        <v>665</v>
      </c>
      <c r="AT53" s="3" t="str">
        <f ca="1">IFERROR(__xludf.DUMMYFUNCTION("GOOGLETRANSLATE(AU53,""en"",""ta"")"),"ஆவியாகும் அத்தியாவசிய எண்ணெய், டயோஸ்மெடின், டயோஸ்மின், லுடியோலின் மற்றும் அபிஜெனின்")</f>
        <v>ஆவியாகும் அத்தியாவசிய எண்ணெய், டயோஸ்மெடின், டயோஸ்மின், லுடியோலின் மற்றும் அபிஜெனின்</v>
      </c>
      <c r="AU53" s="4" t="s">
        <v>666</v>
      </c>
      <c r="AV53" s="3"/>
      <c r="AW53" s="3" t="str">
        <f ca="1">IFERROR(__xludf.DUMMYFUNCTION("GOOGLETRANSLATE(AX53,""en"",""ta"")"),"இலைச்சாற்றில் சர்க்கரை கலந்து குடிப்பது குழந்தைகளுக்கு ஏற்படும் இருமலை குணப்படுத்தும். இலைச்சாற்றை நல்லெண்ணெயுடன் சேர்த்து கொதிக்க வைத்து நெற்றியில் பூசினால் குளிர்ச்சி தரும் மருந்து கிடைக்கும்.")</f>
        <v>இலைச்சாற்றில் சர்க்கரை கலந்து குடிப்பது குழந்தைகளுக்கு ஏற்படும் இருமலை குணப்படுத்தும். இலைச்சாற்றை நல்லெண்ணெயுடன் சேர்த்து கொதிக்க வைத்து நெற்றியில் பூசினால் குளிர்ச்சி தரும் மருந்து கிடைக்கும்.</v>
      </c>
      <c r="AX53" s="4" t="s">
        <v>667</v>
      </c>
      <c r="AY53" s="3"/>
      <c r="AZ53" s="3"/>
      <c r="BA53" s="3"/>
      <c r="BB53" s="3"/>
      <c r="BC53" s="3"/>
      <c r="BD53" s="3"/>
      <c r="BE53" s="3"/>
      <c r="BF53" s="3"/>
    </row>
    <row r="54" spans="1:58" ht="42" x14ac:dyDescent="0.15">
      <c r="A54" s="3">
        <v>53</v>
      </c>
      <c r="B54" s="3" t="str">
        <f ca="1">IFERROR(__xludf.DUMMYFUNCTION("GOOGLETRANSLATE(C54,""en"",""ta"")"),"அனிசோமெலஸ் மலபாரிகா")</f>
        <v>அனிசோமெலஸ் மலபாரிகா</v>
      </c>
      <c r="C54" s="4" t="s">
        <v>668</v>
      </c>
      <c r="D54" s="3" t="str">
        <f ca="1">IFERROR(__xludf.DUMMYFUNCTION("GOOGLETRANSLATE(E54,""en"",""ta"")"),"அலமூலா")</f>
        <v>அலமூலா</v>
      </c>
      <c r="E54" s="4" t="s">
        <v>669</v>
      </c>
      <c r="F54" s="3" t="str">
        <f ca="1">IFERROR(__xludf.DUMMYFUNCTION("GOOGLETRANSLATE(G54,""en"",""ta"")"),"பெருந்தும்பை")</f>
        <v>பெருந்தும்பை</v>
      </c>
      <c r="G54" s="4" t="s">
        <v>670</v>
      </c>
      <c r="H54" s="3" t="str">
        <f ca="1">IFERROR(__xludf.DUMMYFUNCTION("GOOGLETRANSLATE(I54,""en"",""ta"")"),"மலபார் கேட்மின்ட்")</f>
        <v>மலபார் கேட்மின்ட்</v>
      </c>
      <c r="I54" s="4" t="s">
        <v>671</v>
      </c>
      <c r="J54" s="3" t="str">
        <f ca="1">IFERROR(__xludf.DUMMYFUNCTION("GOOGLETRANSLATE(K54,""en"",""ta"")"),"மகா பீரா")</f>
        <v>மகா பீரா</v>
      </c>
      <c r="K54" s="4" t="s">
        <v>672</v>
      </c>
      <c r="L54" s="3" t="str">
        <f ca="1">IFERROR(__xludf.DUMMYFUNCTION("GOOGLETRANSLATE(M54,""en"",""ta"")"),"கரிதும்பா")</f>
        <v>கரிதும்பா</v>
      </c>
      <c r="M54" s="4" t="s">
        <v>673</v>
      </c>
      <c r="N54" s="3" t="str">
        <f ca="1">IFERROR(__xludf.DUMMYFUNCTION("GOOGLETRANSLATE(O54,""en"",""ta"")"),"கலாபங்க்ரா")</f>
        <v>கலாபங்க்ரா</v>
      </c>
      <c r="O54" s="4" t="s">
        <v>674</v>
      </c>
      <c r="P54" s="3"/>
      <c r="Q54" s="3" t="str">
        <f ca="1">IFERROR(__xludf.DUMMYFUNCTION("GOOGLETRANSLATE(R54,""en"",""ta"")"),"ஒரு நறுமணமிக்க, அடர்த்தியான உரோமங்களுடைய, வற்றாத, நிமிர்ந்த கிளைகளைக் கொண்ட, டெட்ராகோனஸ் தண்டுடன் கூடிய மூலிகை. இலைகள் எளிமையானவை, நீள்வட்டமானவை, எதிரெதிர், மென்மையானவை, வெள்ளை நிற உரோமங்களுடையவை மற்றும் ஈட்டி வடிவானவை. மஞ்சரி வெளிர் ஊதா நிறமானது, இலைக்கோ"&amp;"ணங்களில் காணப்படும் மற்றும் குறுகிய கூர்முனைகளின் சுருள்களில் காணப்படும். பழங்கள் கார்செருலஸ். விதைகள் மென்மையானவை, நீள்வட்ட வடிவானவை மற்றும் சுருக்கப்பட்டவை.")</f>
        <v>ஒரு நறுமணமிக்க, அடர்த்தியான உரோமங்களுடைய, வற்றாத, நிமிர்ந்த கிளைகளைக் கொண்ட, டெட்ராகோனஸ் தண்டுடன் கூடிய மூலிகை. இலைகள் எளிமையானவை, நீள்வட்டமானவை, எதிரெதிர், மென்மையானவை, வெள்ளை நிற உரோமங்களுடையவை மற்றும் ஈட்டி வடிவானவை. மஞ்சரி வெளிர் ஊதா நிறமானது, இலைக்கோணங்களில் காணப்படும் மற்றும் குறுகிய கூர்முனைகளின் சுருள்களில் காணப்படும். பழங்கள் கார்செருலஸ். விதைகள் மென்மையானவை, நீள்வட்ட வடிவானவை மற்றும் சுருக்கப்பட்டவை.</v>
      </c>
      <c r="R54" s="4" t="s">
        <v>675</v>
      </c>
      <c r="S54" s="3" t="str">
        <f ca="1">IFERROR(__xludf.DUMMYFUNCTION("GOOGLETRANSLATE(T54,""en"",""ta"")"),"இல்லை")</f>
        <v>இல்லை</v>
      </c>
      <c r="T54" s="3" t="s">
        <v>46</v>
      </c>
      <c r="U54" s="3" t="str">
        <f ca="1">IFERROR(__xludf.DUMMYFUNCTION("GOOGLETRANSLATE(V54,""en"",""ta"")"),"#VALUE!")</f>
        <v>#VALUE!</v>
      </c>
      <c r="V54" s="3"/>
      <c r="W54" s="3" t="str">
        <f ca="1">IFERROR(__xludf.DUMMYFUNCTION("GOOGLETRANSLATE(X54,""en"",""ta"")"),"#VALUE!")</f>
        <v>#VALUE!</v>
      </c>
      <c r="X54" s="3"/>
      <c r="Y54" s="3" t="str">
        <f ca="1">IFERROR(__xludf.DUMMYFUNCTION("GOOGLETRANSLATE(Z54,""en"",""ta"")"),"#VALUE!")</f>
        <v>#VALUE!</v>
      </c>
      <c r="Z54" s="3"/>
      <c r="AA54" s="3" t="str">
        <f ca="1">IFERROR(__xludf.DUMMYFUNCTION("GOOGLETRANSLATE(AB54,""en"",""ta"")"),"#VALUE!")</f>
        <v>#VALUE!</v>
      </c>
      <c r="AB54" s="3"/>
      <c r="AC54" s="3" t="str">
        <f ca="1">IFERROR(__xludf.DUMMYFUNCTION("GOOGLETRANSLATE(AD54,""en"",""ta"")"),"#VALUE!")</f>
        <v>#VALUE!</v>
      </c>
      <c r="AD54" s="3"/>
      <c r="AE54" s="3" t="str">
        <f ca="1">IFERROR(__xludf.DUMMYFUNCTION("GOOGLETRANSLATE(AF54,""en"",""ta"")"),"#VALUE!")</f>
        <v>#VALUE!</v>
      </c>
      <c r="AF54" s="3"/>
      <c r="AG54" s="3" t="str">
        <f ca="1">IFERROR(__xludf.DUMMYFUNCTION("GOOGLETRANSLATE(AH54,""en"",""ta"")"),"#VALUE!")</f>
        <v>#VALUE!</v>
      </c>
      <c r="AH54" s="3"/>
      <c r="AI54" s="3" t="str">
        <f ca="1">IFERROR(__xludf.DUMMYFUNCTION("GOOGLETRANSLATE(AJ54,""en"",""ta"")"),"#VALUE!")</f>
        <v>#VALUE!</v>
      </c>
      <c r="AJ54" s="3"/>
      <c r="AK54" s="3" t="str">
        <f ca="1">IFERROR(__xludf.DUMMYFUNCTION("GOOGLETRANSLATE(AL54,""en"",""ta"")"),"#VALUE!")</f>
        <v>#VALUE!</v>
      </c>
      <c r="AL54" s="3"/>
      <c r="AM54" s="3" t="str">
        <f ca="1">IFERROR(__xludf.DUMMYFUNCTION("GOOGLETRANSLATE(AN54,""en"",""ta"")"),"#VALUE!")</f>
        <v>#VALUE!</v>
      </c>
      <c r="AN54" s="3"/>
      <c r="AO54" s="3" t="str">
        <f ca="1">IFERROR(__xludf.DUMMYFUNCTION("GOOGLETRANSLATE(AP54,""en"",""ta"")"),"#VALUE!")</f>
        <v>#VALUE!</v>
      </c>
      <c r="AP54" s="3"/>
      <c r="AQ54" s="3"/>
      <c r="AR54" s="3" t="str">
        <f ca="1">IFERROR(__xludf.DUMMYFUNCTION("GOOGLETRANSLATE(AS54,""en"",""ta"")"),"வயிற்று வலி நிவாரணி, இரைப்பை குடல் வலி நிவாரணி, டயாபோரெடிக், துவர்ப்பு மருந்து, ஆண்டிபீரியோடிக், ஆண்டிஸ்பாஸ்மோடிக் மற்றும் எம்மெனாகோக்")</f>
        <v>வயிற்று வலி நிவாரணி, இரைப்பை குடல் வலி நிவாரணி, டயாபோரெடிக், துவர்ப்பு மருந்து, ஆண்டிபீரியோடிக், ஆண்டிஸ்பாஸ்மோடிக் மற்றும் எம்மெனாகோக்</v>
      </c>
      <c r="AS54" s="4" t="s">
        <v>676</v>
      </c>
      <c r="AT54" s="3" t="str">
        <f ca="1">IFERROR(__xludf.DUMMYFUNCTION("GOOGLETRANSLATE(AU54,""en"",""ta"")"),"கசப்பான ஆல்கலாய்டுகள், அனிசோமெலிக் அமிலம், அனிசோமெல்லோல், சிட்ரல், ஜெரானிக் அமிலம் மற்றும் ஓவாடோடியோலைடு.")</f>
        <v>கசப்பான ஆல்கலாய்டுகள், அனிசோமெலிக் அமிலம், அனிசோமெல்லோல், சிட்ரல், ஜெரானிக் அமிலம் மற்றும் ஓவாடோடியோலைடு.</v>
      </c>
      <c r="AU54" s="4" t="s">
        <v>677</v>
      </c>
      <c r="AV54" s="3"/>
      <c r="AW54" s="3" t="str">
        <f ca="1">IFERROR(__xludf.DUMMYFUNCTION("GOOGLETRANSLATE(AX54,""en"",""ta"")"),"பல் துலக்குவதால் ஏற்படும் காய்ச்சல் மற்றும் கோலிக் டிஸ்பெப்சியா உள்ள குழந்தைகளுக்கு இலைச்சாறு கொடுக்கப்படுகிறது. வாத மூட்டுவலிக்கு இந்த செடியின் கஷாயம் ஒரு சிறந்த தீர்வாகும்.")</f>
        <v>பல் துலக்குவதால் ஏற்படும் காய்ச்சல் மற்றும் கோலிக் டிஸ்பெப்சியா உள்ள குழந்தைகளுக்கு இலைச்சாறு கொடுக்கப்படுகிறது. வாத மூட்டுவலிக்கு இந்த செடியின் கஷாயம் ஒரு சிறந்த தீர்வாகும்.</v>
      </c>
      <c r="AX54" s="4" t="s">
        <v>678</v>
      </c>
      <c r="AY54" s="3"/>
      <c r="AZ54" s="3"/>
      <c r="BA54" s="3"/>
      <c r="BB54" s="3"/>
      <c r="BC54" s="3"/>
      <c r="BD54" s="3"/>
      <c r="BE54" s="3"/>
      <c r="BF54" s="3"/>
    </row>
    <row r="55" spans="1:58" ht="42" x14ac:dyDescent="0.15">
      <c r="A55" s="3">
        <v>54</v>
      </c>
      <c r="B55" s="3" t="str">
        <f ca="1">IFERROR(__xludf.DUMMYFUNCTION("GOOGLETRANSLATE(C55,""en"",""ta"")"),"அன்னோனா ரெட்டிகுலாட்டா")</f>
        <v>அன்னோனா ரெட்டிகுலாட்டா</v>
      </c>
      <c r="C55" s="4" t="s">
        <v>679</v>
      </c>
      <c r="D55" s="3" t="str">
        <f ca="1">IFERROR(__xludf.DUMMYFUNCTION("GOOGLETRANSLATE(E55,""en"",""ta"")"),"ராம்பால்")</f>
        <v>ராம்பால்</v>
      </c>
      <c r="E55" s="4" t="s">
        <v>680</v>
      </c>
      <c r="F55" s="3" t="str">
        <f ca="1">IFERROR(__xludf.DUMMYFUNCTION("GOOGLETRANSLATE(G55,""en"",""ta"")"),"ராம சீதா")</f>
        <v>ராம சீதா</v>
      </c>
      <c r="G55" s="4" t="s">
        <v>681</v>
      </c>
      <c r="H55" s="3" t="str">
        <f ca="1">IFERROR(__xludf.DUMMYFUNCTION("GOOGLETRANSLATE(I55,""en"",""ta"")"),"காளையின் இதயம்")</f>
        <v>காளையின் இதயம்</v>
      </c>
      <c r="I55" s="4" t="s">
        <v>682</v>
      </c>
      <c r="J55" s="3" t="str">
        <f ca="1">IFERROR(__xludf.DUMMYFUNCTION("GOOGLETRANSLATE(K55,""en"",""ta"")"),"ராம சீதா பலமு")</f>
        <v>ராம சீதா பலமு</v>
      </c>
      <c r="K55" s="4" t="s">
        <v>683</v>
      </c>
      <c r="L55" s="3" t="str">
        <f ca="1">IFERROR(__xludf.DUMMYFUNCTION("GOOGLETRANSLATE(M55,""en"",""ta"")"),"ராம சீதா பாலம்")</f>
        <v>ராம சீதா பாலம்</v>
      </c>
      <c r="M55" s="4" t="s">
        <v>684</v>
      </c>
      <c r="N55" s="3" t="str">
        <f ca="1">IFERROR(__xludf.DUMMYFUNCTION("GOOGLETRANSLATE(O55,""en"",""ta"")"),"நோனா")</f>
        <v>நோனா</v>
      </c>
      <c r="O55" s="4" t="s">
        <v>685</v>
      </c>
      <c r="P55" s="3"/>
      <c r="Q55" s="3" t="str">
        <f ca="1">IFERROR(__xludf.DUMMYFUNCTION("GOOGLETRANSLATE(R55,""en"",""ta"")"),"ஒரு சிறிய, இலையுதிர் மரம். இலைகள் எளிமையானவை, நீள்வட்டமானது, கூரிய முனை கொண்டது, ஈட்டி வடிவானது, கடுமையான வாசனையுடன் இருக்கும். மலர்கள் சதைப்பற்றுள்ளவை, இலைக்கோணங்களில், தனித்தவை, இலைக்கு எதிரே இலைகள் மற்றும் வெளிர் பச்சை நிறத்தில் இருக்கும். பழங்கள் கலவை"&amp;", ஆரஞ்சு மற்றும் துணை கோள வடிவமானது. விதைகள் கருப்பு, நீளமானவை மற்றும் சுருக்கப்பட்டவை.")</f>
        <v>ஒரு சிறிய, இலையுதிர் மரம். இலைகள் எளிமையானவை, நீள்வட்டமானது, கூரிய முனை கொண்டது, ஈட்டி வடிவானது, கடுமையான வாசனையுடன் இருக்கும். மலர்கள் சதைப்பற்றுள்ளவை, இலைக்கோணங்களில், தனித்தவை, இலைக்கு எதிரே இலைகள் மற்றும் வெளிர் பச்சை நிறத்தில் இருக்கும். பழங்கள் கலவை, ஆரஞ்சு மற்றும் துணை கோள வடிவமானது. விதைகள் கருப்பு, நீளமானவை மற்றும் சுருக்கப்பட்டவை.</v>
      </c>
      <c r="R55" s="4" t="s">
        <v>686</v>
      </c>
      <c r="S55" s="3" t="str">
        <f ca="1">IFERROR(__xludf.DUMMYFUNCTION("GOOGLETRANSLATE(T55,""en"",""ta"")"),"இல்லை")</f>
        <v>இல்லை</v>
      </c>
      <c r="T55" s="3" t="s">
        <v>46</v>
      </c>
      <c r="U55" s="3" t="str">
        <f ca="1">IFERROR(__xludf.DUMMYFUNCTION("GOOGLETRANSLATE(V55,""en"",""ta"")"),"#VALUE!")</f>
        <v>#VALUE!</v>
      </c>
      <c r="V55" s="3"/>
      <c r="W55" s="3" t="str">
        <f ca="1">IFERROR(__xludf.DUMMYFUNCTION("GOOGLETRANSLATE(X55,""en"",""ta"")"),"ஆஸ்துமா மற்றும் பூச்சிக்கொல்லி.")</f>
        <v>ஆஸ்துமா மற்றும் பூச்சிக்கொல்லி.</v>
      </c>
      <c r="X55" s="4" t="s">
        <v>687</v>
      </c>
      <c r="Y55" s="3" t="str">
        <f ca="1">IFERROR(__xludf.DUMMYFUNCTION("GOOGLETRANSLATE(Z55,""en"",""ta"")"),"#VALUE!")</f>
        <v>#VALUE!</v>
      </c>
      <c r="Z55" s="3"/>
      <c r="AA55" s="3" t="str">
        <f ca="1">IFERROR(__xludf.DUMMYFUNCTION("GOOGLETRANSLATE(AB55,""en"",""ta"")"),"#VALUE!")</f>
        <v>#VALUE!</v>
      </c>
      <c r="AB55" s="3"/>
      <c r="AC55" s="3" t="str">
        <f ca="1">IFERROR(__xludf.DUMMYFUNCTION("GOOGLETRANSLATE(AD55,""en"",""ta"")"),"#VALUE!")</f>
        <v>#VALUE!</v>
      </c>
      <c r="AD55" s="3"/>
      <c r="AE55" s="3" t="str">
        <f ca="1">IFERROR(__xludf.DUMMYFUNCTION("GOOGLETRANSLATE(AF55,""en"",""ta"")"),"#VALUE!")</f>
        <v>#VALUE!</v>
      </c>
      <c r="AF55" s="3"/>
      <c r="AG55" s="3" t="str">
        <f ca="1">IFERROR(__xludf.DUMMYFUNCTION("GOOGLETRANSLATE(AH55,""en"",""ta"")"),"#VALUE!")</f>
        <v>#VALUE!</v>
      </c>
      <c r="AH55" s="3"/>
      <c r="AI55" s="3" t="str">
        <f ca="1">IFERROR(__xludf.DUMMYFUNCTION("GOOGLETRANSLATE(AJ55,""en"",""ta"")"),"#VALUE!")</f>
        <v>#VALUE!</v>
      </c>
      <c r="AJ55" s="3"/>
      <c r="AK55" s="3" t="str">
        <f ca="1">IFERROR(__xludf.DUMMYFUNCTION("GOOGLETRANSLATE(AL55,""en"",""ta"")"),"#VALUE!")</f>
        <v>#VALUE!</v>
      </c>
      <c r="AL55" s="3"/>
      <c r="AM55" s="3" t="str">
        <f ca="1">IFERROR(__xludf.DUMMYFUNCTION("GOOGLETRANSLATE(AN55,""en"",""ta"")"),"வயிற்றுப்போக்கு")</f>
        <v>வயிற்றுப்போக்கு</v>
      </c>
      <c r="AN55" s="4" t="s">
        <v>152</v>
      </c>
      <c r="AO55" s="3" t="str">
        <f ca="1">IFERROR(__xludf.DUMMYFUNCTION("GOOGLETRANSLATE(AP55,""en"",""ta"")"),"#VALUE!")</f>
        <v>#VALUE!</v>
      </c>
      <c r="AP55" s="3"/>
      <c r="AQ55" s="3"/>
      <c r="AR55" s="3" t="str">
        <f ca="1">IFERROR(__xludf.DUMMYFUNCTION("GOOGLETRANSLATE(AS55,""en"",""ta"")"),"அஸ்ட்ரிஜென்ட், டானிக், ஆன்டிடிசென்டெரிக் &amp; வெர்மிஃபியூஜ்.")</f>
        <v>அஸ்ட்ரிஜென்ட், டானிக், ஆன்டிடிசென்டெரிக் &amp; வெர்மிஃபியூஜ்.</v>
      </c>
      <c r="AS55" s="4" t="s">
        <v>688</v>
      </c>
      <c r="AT55" s="3" t="str">
        <f ca="1">IFERROR(__xludf.DUMMYFUNCTION("GOOGLETRANSLATE(AU55,""en"",""ta"")"),"டானிக் அமிலம், அனோனைன், டைட்டர்பீன்ஸ், மைக்கேல்பின், சப்போஜெனின்கள், ஆக்சோஷின்சன் மற்றும் ரெட்டிகுலின்.")</f>
        <v>டானிக் அமிலம், அனோனைன், டைட்டர்பீன்ஸ், மைக்கேல்பின், சப்போஜெனின்கள், ஆக்சோஷின்சன் மற்றும் ரெட்டிகுலின்.</v>
      </c>
      <c r="AU55" s="4" t="s">
        <v>689</v>
      </c>
      <c r="AV55" s="3"/>
      <c r="AW55" s="3" t="str">
        <f ca="1">IFERROR(__xludf.DUMMYFUNCTION("GOOGLETRANSLATE(AX55,""en"",""ta"")"),"பட்டை நல்ல துவர்ப்புத் தன்மை கொண்டது, எனவே இதன் கஷாயம் வயிற்றுப்போக்கைக் கட்டுப்படுத்துகிறது. பழுத்த பழம் பித்தம் மற்றும் தாகத்தைத் தணிக்கிறது.")</f>
        <v>பட்டை நல்ல துவர்ப்புத் தன்மை கொண்டது, எனவே இதன் கஷாயம் வயிற்றுப்போக்கைக் கட்டுப்படுத்துகிறது. பழுத்த பழம் பித்தம் மற்றும் தாகத்தைத் தணிக்கிறது.</v>
      </c>
      <c r="AX55" s="4" t="s">
        <v>690</v>
      </c>
      <c r="AY55" s="3"/>
      <c r="AZ55" s="3"/>
      <c r="BA55" s="3"/>
      <c r="BB55" s="3"/>
      <c r="BC55" s="3"/>
      <c r="BD55" s="3"/>
      <c r="BE55" s="3"/>
      <c r="BF55" s="3"/>
    </row>
    <row r="56" spans="1:58" ht="56" x14ac:dyDescent="0.15">
      <c r="A56" s="3">
        <v>55</v>
      </c>
      <c r="B56" s="3" t="str">
        <f ca="1">IFERROR(__xludf.DUMMYFUNCTION("GOOGLETRANSLATE(C56,""en"",""ta"")"),"அன்னோனா ஸ்குவாமோசா")</f>
        <v>அன்னோனா ஸ்குவாமோசா</v>
      </c>
      <c r="C56" s="4" t="s">
        <v>691</v>
      </c>
      <c r="D56" s="3" t="str">
        <f ca="1">IFERROR(__xludf.DUMMYFUNCTION("GOOGLETRANSLATE(E56,""en"",""ta"")"),"சுபா")</f>
        <v>சுபா</v>
      </c>
      <c r="E56" s="4" t="s">
        <v>692</v>
      </c>
      <c r="F56" s="3" t="str">
        <f ca="1">IFERROR(__xludf.DUMMYFUNCTION("GOOGLETRANSLATE(G56,""en"",""ta"")"),"சீதா பழம்")</f>
        <v>சீதா பழம்</v>
      </c>
      <c r="G56" s="3" t="s">
        <v>693</v>
      </c>
      <c r="H56" s="3" t="str">
        <f ca="1">IFERROR(__xludf.DUMMYFUNCTION("GOOGLETRANSLATE(I56,""en"",""ta"")"),"சீதாப்பழம்")</f>
        <v>சீதாப்பழம்</v>
      </c>
      <c r="I56" s="3" t="s">
        <v>694</v>
      </c>
      <c r="J56" s="3" t="str">
        <f ca="1">IFERROR(__xludf.DUMMYFUNCTION("GOOGLETRANSLATE(K56,""en"",""ta"")"),"சீதா பலமு")</f>
        <v>சீதா பலமு</v>
      </c>
      <c r="K56" s="4" t="s">
        <v>695</v>
      </c>
      <c r="L56" s="3" t="str">
        <f ca="1">IFERROR(__xludf.DUMMYFUNCTION("GOOGLETRANSLATE(M56,""en"",""ta"")"),"சிர்பா")</f>
        <v>சிர்பா</v>
      </c>
      <c r="M56" s="4" t="s">
        <v>696</v>
      </c>
      <c r="N56" s="3" t="str">
        <f ca="1">IFERROR(__xludf.DUMMYFUNCTION("GOOGLETRANSLATE(O56,""en"",""ta"")"),"சீதா ஃபால்")</f>
        <v>சீதா ஃபால்</v>
      </c>
      <c r="O56" s="3" t="s">
        <v>697</v>
      </c>
      <c r="P56" s="3"/>
      <c r="Q56" s="3" t="str">
        <f ca="1">IFERROR(__xludf.DUMMYFUNCTION("GOOGLETRANSLATE(R56,""en"",""ta"")"),"ஒரு சிறிய, இலையுதிர் மரம். இலைகள் எளிமையானவை, நீள்வட்ட வடிவானவை, கூரிய முனை கொண்டவை, ஈட்டி வடிவானது, கடுமையான வாசனையுடன் இருக்கும். மலர்கள் சதைப்பற்றுள்ளவை, இலைக்கோணங்களில், தனித்தவை, இலைக்கு எதிரே இலைகள் மற்றும் வெளிர் பச்சை நிறத்தில் இருக்கும். பழங்கள் "&amp;"கூட்டு, ஆரஞ்சு மற்றும் துணை கோள வடிவமானவை. விதைகள் கருப்பு, நீளமானவை மற்றும் சுருக்கப்பட்டவை.")</f>
        <v>ஒரு சிறிய, இலையுதிர் மரம். இலைகள் எளிமையானவை, நீள்வட்ட வடிவானவை, கூரிய முனை கொண்டவை, ஈட்டி வடிவானது, கடுமையான வாசனையுடன் இருக்கும். மலர்கள் சதைப்பற்றுள்ளவை, இலைக்கோணங்களில், தனித்தவை, இலைக்கு எதிரே இலைகள் மற்றும் வெளிர் பச்சை நிறத்தில் இருக்கும். பழங்கள் கூட்டு, ஆரஞ்சு மற்றும் துணை கோள வடிவமானவை. விதைகள் கருப்பு, நீளமானவை மற்றும் சுருக்கப்பட்டவை.</v>
      </c>
      <c r="R56" s="4" t="s">
        <v>698</v>
      </c>
      <c r="S56" s="3" t="str">
        <f ca="1">IFERROR(__xludf.DUMMYFUNCTION("GOOGLETRANSLATE(T56,""en"",""ta"")"),"இல்லை")</f>
        <v>இல்லை</v>
      </c>
      <c r="T56" s="3" t="s">
        <v>46</v>
      </c>
      <c r="U56" s="3" t="str">
        <f ca="1">IFERROR(__xludf.DUMMYFUNCTION("GOOGLETRANSLATE(V56,""en"",""ta"")"),"கருக்கலைப்பு")</f>
        <v>கருக்கலைப்பு</v>
      </c>
      <c r="V56" s="4" t="s">
        <v>699</v>
      </c>
      <c r="W56" s="3" t="str">
        <f ca="1">IFERROR(__xludf.DUMMYFUNCTION("GOOGLETRANSLATE(X56,""en"",""ta"")"),"புண்கள், ஹிஸ்டீரியா மற்றும் மயக்கம்.")</f>
        <v>புண்கள், ஹிஸ்டீரியா மற்றும் மயக்கம்.</v>
      </c>
      <c r="X56" s="4" t="s">
        <v>700</v>
      </c>
      <c r="Y56" s="3" t="str">
        <f ca="1">IFERROR(__xludf.DUMMYFUNCTION("GOOGLETRANSLATE(Z56,""en"",""ta"")"),"#VALUE!")</f>
        <v>#VALUE!</v>
      </c>
      <c r="Z56" s="3"/>
      <c r="AA56" s="3" t="str">
        <f ca="1">IFERROR(__xludf.DUMMYFUNCTION("GOOGLETRANSLATE(AB56,""en"",""ta"")"),"வயிற்றுப்போக்கு")</f>
        <v>வயிற்றுப்போக்கு</v>
      </c>
      <c r="AB56" s="4" t="s">
        <v>152</v>
      </c>
      <c r="AC56" s="3" t="str">
        <f ca="1">IFERROR(__xludf.DUMMYFUNCTION("GOOGLETRANSLATE(AD56,""en"",""ta"")"),"#VALUE!")</f>
        <v>#VALUE!</v>
      </c>
      <c r="AD56" s="3"/>
      <c r="AE56" s="3" t="str">
        <f ca="1">IFERROR(__xludf.DUMMYFUNCTION("GOOGLETRANSLATE(AF56,""en"",""ta"")"),"#VALUE!")</f>
        <v>#VALUE!</v>
      </c>
      <c r="AF56" s="3"/>
      <c r="AG56" s="3" t="str">
        <f ca="1">IFERROR(__xludf.DUMMYFUNCTION("GOOGLETRANSLATE(AH56,""en"",""ta"")"),"#VALUE!")</f>
        <v>#VALUE!</v>
      </c>
      <c r="AH56" s="3"/>
      <c r="AI56" s="3" t="str">
        <f ca="1">IFERROR(__xludf.DUMMYFUNCTION("GOOGLETRANSLATE(AJ56,""en"",""ta"")"),"#VALUE!")</f>
        <v>#VALUE!</v>
      </c>
      <c r="AJ56" s="3"/>
      <c r="AK56" s="3" t="str">
        <f ca="1">IFERROR(__xludf.DUMMYFUNCTION("GOOGLETRANSLATE(AL56,""en"",""ta"")"),"#VALUE!")</f>
        <v>#VALUE!</v>
      </c>
      <c r="AL56" s="3"/>
      <c r="AM56" s="3" t="str">
        <f ca="1">IFERROR(__xludf.DUMMYFUNCTION("GOOGLETRANSLATE(AN56,""en"",""ta"")"),"வீரியம் மிக்க கட்டிகள்")</f>
        <v>வீரியம் மிக்க கட்டிகள்</v>
      </c>
      <c r="AN56" s="4" t="s">
        <v>701</v>
      </c>
      <c r="AO56" s="3" t="str">
        <f ca="1">IFERROR(__xludf.DUMMYFUNCTION("GOOGLETRANSLATE(AP56,""en"",""ta"")"),"#VALUE!")</f>
        <v>#VALUE!</v>
      </c>
      <c r="AP56" s="3"/>
      <c r="AQ56" s="3"/>
      <c r="AR56" s="3" t="str">
        <f ca="1">IFERROR(__xludf.DUMMYFUNCTION("GOOGLETRANSLATE(AS56,""en"",""ta"")"),"துவர்ப்பு மருந்து, டானிக், கிருமி நாசினி மற்றும் பூச்சிக்கொல்லி.")</f>
        <v>துவர்ப்பு மருந்து, டானிக், கிருமி நாசினி மற்றும் பூச்சிக்கொல்லி.</v>
      </c>
      <c r="AS56" s="4" t="s">
        <v>702</v>
      </c>
      <c r="AT56" s="3" t="str">
        <f ca="1">IFERROR(__xludf.DUMMYFUNCTION("GOOGLETRANSLATE(AU56,""en"",""ta"")"),"தியாமின், ரிபோஃப்ளேவின், நியாசின், வைட்டமின் சி, ஃபோலிக் அமிலம், அனோனைன், ரோமெரின், அலனைன், கோரிடின், நோர்கோரிடின், கிளாசின் மற்றும் ஐசோகோரிடின்.")</f>
        <v>தியாமின், ரிபோஃப்ளேவின், நியாசின், வைட்டமின் சி, ஃபோலிக் அமிலம், அனோனைன், ரோமெரின், அலனைன், கோரிடின், நோர்கோரிடின், கிளாசின் மற்றும் ஐசோகோரிடின்.</v>
      </c>
      <c r="AU56" s="4" t="s">
        <v>703</v>
      </c>
      <c r="AV56" s="3"/>
      <c r="AW56" s="3" t="str">
        <f ca="1">IFERROR(__xludf.DUMMYFUNCTION("GOOGLETRANSLATE(AX56,""en"",""ta"")"),"வயிற்றுப்போக்கு, வயிற்றுப்போக்கு மற்றும் டிஸ்ஸ்பெசியாவுக்கு பழுக்காத பழம் கொடுக்கப்படுகிறது. பழுத்த பழங்களை உப்புடன் கலந்து வீரியம் மிக்க கட்டிகளுக்குப் பூசுவது சீழ்ப்பிடிப்பை விரைவுபடுத்துகிறது.")</f>
        <v>வயிற்றுப்போக்கு, வயிற்றுப்போக்கு மற்றும் டிஸ்ஸ்பெசியாவுக்கு பழுக்காத பழம் கொடுக்கப்படுகிறது. பழுத்த பழங்களை உப்புடன் கலந்து வீரியம் மிக்க கட்டிகளுக்குப் பூசுவது சீழ்ப்பிடிப்பை விரைவுபடுத்துகிறது.</v>
      </c>
      <c r="AX56" s="4" t="s">
        <v>704</v>
      </c>
      <c r="AY56" s="3"/>
      <c r="AZ56" s="3"/>
      <c r="BA56" s="3"/>
      <c r="BB56" s="3"/>
      <c r="BC56" s="3"/>
      <c r="BD56" s="3"/>
      <c r="BE56" s="3"/>
      <c r="BF56" s="3"/>
    </row>
    <row r="57" spans="1:58" ht="56" x14ac:dyDescent="0.15">
      <c r="A57" s="3">
        <v>56</v>
      </c>
      <c r="B57" s="3" t="str">
        <f ca="1">IFERROR(__xludf.DUMMYFUNCTION("GOOGLETRANSLATE(C57,""en"",""ta"")"),"அனோகீசஸ் லாடிஃபோலியா")</f>
        <v>அனோகீசஸ் லாடிஃபோலியா</v>
      </c>
      <c r="C57" s="4" t="s">
        <v>705</v>
      </c>
      <c r="D57" s="3" t="str">
        <f ca="1">IFERROR(__xludf.DUMMYFUNCTION("GOOGLETRANSLATE(E57,""en"",""ta"")"),"தவா")</f>
        <v>தவா</v>
      </c>
      <c r="E57" s="4" t="s">
        <v>706</v>
      </c>
      <c r="F57" s="3" t="str">
        <f ca="1">IFERROR(__xludf.DUMMYFUNCTION("GOOGLETRANSLATE(G57,""en"",""ta"")"),"வெள்ளநாகை")</f>
        <v>வெள்ளநாகை</v>
      </c>
      <c r="G57" s="4" t="s">
        <v>707</v>
      </c>
      <c r="H57" s="3" t="str">
        <f ca="1">IFERROR(__xludf.DUMMYFUNCTION("GOOGLETRANSLATE(I57,""en"",""ta"")"),"பட்டன் மரம்")</f>
        <v>பட்டன் மரம்</v>
      </c>
      <c r="I57" s="4" t="s">
        <v>708</v>
      </c>
      <c r="J57" s="3" t="str">
        <f ca="1">IFERROR(__xludf.DUMMYFUNCTION("GOOGLETRANSLATE(K57,""en"",""ta"")"),"சிரி மனு")</f>
        <v>சிரி மனு</v>
      </c>
      <c r="K57" s="4" t="s">
        <v>709</v>
      </c>
      <c r="L57" s="3" t="str">
        <f ca="1">IFERROR(__xludf.DUMMYFUNCTION("GOOGLETRANSLATE(M57,""en"",""ta"")"),"மலுக்கன்னிரம்")</f>
        <v>மலுக்கன்னிரம்</v>
      </c>
      <c r="M57" s="4" t="s">
        <v>710</v>
      </c>
      <c r="N57" s="3" t="str">
        <f ca="1">IFERROR(__xludf.DUMMYFUNCTION("GOOGLETRANSLATE(O57,""en"",""ta"")"),"தௌரா")</f>
        <v>தௌரா</v>
      </c>
      <c r="O57" s="4" t="s">
        <v>711</v>
      </c>
      <c r="P57" s="3"/>
      <c r="Q57" s="3" t="str">
        <f ca="1">IFERROR(__xludf.DUMMYFUNCTION("GOOGLETRANSLATE(R57,""en"",""ta"")"),"ஒரு மரம், இலைகள் கூட்டு, நீள்வட்ட வடிவானது, மழுங்கியவை, முழுமையானது, இரு முனைகளிலும் வட்டமானது. பூக்கள் மிகச்சிறியவை, பச்சை மஞ்சள் நிறத்தில் கோள வடிவ தலைகளில் குறுகிய இலைக்கோணங்களில் இருக்கும். பழங்கள் மஞ்சள் அல்லது சிவப்பு கலந்த பழுப்பு நிறத்தில், சிறியவ"&amp;"ை, பளபளப்பானவை, இறக்கைகள் கொண்டவை. விதைகள் ஆப்பு வடிவமானது, ஒரு விதை கொண்டது.")</f>
        <v>ஒரு மரம், இலைகள் கூட்டு, நீள்வட்ட வடிவானது, மழுங்கியவை, முழுமையானது, இரு முனைகளிலும் வட்டமானது. பூக்கள் மிகச்சிறியவை, பச்சை மஞ்சள் நிறத்தில் கோள வடிவ தலைகளில் குறுகிய இலைக்கோணங்களில் இருக்கும். பழங்கள் மஞ்சள் அல்லது சிவப்பு கலந்த பழுப்பு நிறத்தில், சிறியவை, பளபளப்பானவை, இறக்கைகள் கொண்டவை. விதைகள் ஆப்பு வடிவமானது, ஒரு விதை கொண்டது.</v>
      </c>
      <c r="R57" s="4" t="s">
        <v>712</v>
      </c>
      <c r="S57" s="3" t="str">
        <f ca="1">IFERROR(__xludf.DUMMYFUNCTION("GOOGLETRANSLATE(T57,""en"",""ta"")"),"வயிற்று கோளாறுகள்.")</f>
        <v>வயிற்று கோளாறுகள்.</v>
      </c>
      <c r="T57" s="4" t="s">
        <v>713</v>
      </c>
      <c r="U57" s="3" t="str">
        <f ca="1">IFERROR(__xludf.DUMMYFUNCTION("GOOGLETRANSLATE(V57,""en"",""ta"")"),"#VALUE!")</f>
        <v>#VALUE!</v>
      </c>
      <c r="V57" s="3"/>
      <c r="W57" s="3" t="str">
        <f ca="1">IFERROR(__xludf.DUMMYFUNCTION("GOOGLETRANSLATE(X57,""en"",""ta"")"),"#VALUE!")</f>
        <v>#VALUE!</v>
      </c>
      <c r="X57" s="3"/>
      <c r="Y57" s="3" t="str">
        <f ca="1">IFERROR(__xludf.DUMMYFUNCTION("GOOGLETRANSLATE(Z57,""en"",""ta"")"),"ஓட்டோயோரியா")</f>
        <v>ஓட்டோயோரியா</v>
      </c>
      <c r="Z57" s="4" t="s">
        <v>714</v>
      </c>
      <c r="AA57" s="3" t="str">
        <f ca="1">IFERROR(__xludf.DUMMYFUNCTION("GOOGLETRANSLATE(AB57,""en"",""ta"")"),"காயங்கள், புண்கள், நீரிழிவு நோய், தொழுநோய், தோல் நோய்கள், மூல நோய், இரத்தப்போக்கு, நாள்பட்ட வயிற்றுப்போக்கு மற்றும் இரத்தக்கசிவு.")</f>
        <v>காயங்கள், புண்கள், நீரிழிவு நோய், தொழுநோய், தோல் நோய்கள், மூல நோய், இரத்தப்போக்கு, நாள்பட்ட வயிற்றுப்போக்கு மற்றும் இரத்தக்கசிவு.</v>
      </c>
      <c r="AB57" s="4" t="s">
        <v>715</v>
      </c>
      <c r="AC57" s="3" t="str">
        <f ca="1">IFERROR(__xludf.DUMMYFUNCTION("GOOGLETRANSLATE(AD57,""en"",""ta"")"),"#VALUE!")</f>
        <v>#VALUE!</v>
      </c>
      <c r="AD57" s="3"/>
      <c r="AE57" s="3" t="str">
        <f ca="1">IFERROR(__xludf.DUMMYFUNCTION("GOOGLETRANSLATE(AF57,""en"",""ta"")"),"#VALUE!")</f>
        <v>#VALUE!</v>
      </c>
      <c r="AF57" s="3"/>
      <c r="AG57" s="3" t="str">
        <f ca="1">IFERROR(__xludf.DUMMYFUNCTION("GOOGLETRANSLATE(AH57,""en"",""ta"")"),"#VALUE!")</f>
        <v>#VALUE!</v>
      </c>
      <c r="AH57" s="3"/>
      <c r="AI57" s="3" t="str">
        <f ca="1">IFERROR(__xludf.DUMMYFUNCTION("GOOGLETRANSLATE(AJ57,""en"",""ta"")"),"#VALUE!")</f>
        <v>#VALUE!</v>
      </c>
      <c r="AJ57" s="3"/>
      <c r="AK57" s="3" t="str">
        <f ca="1">IFERROR(__xludf.DUMMYFUNCTION("GOOGLETRANSLATE(AL57,""en"",""ta"")"),"#VALUE!")</f>
        <v>#VALUE!</v>
      </c>
      <c r="AL57" s="3"/>
      <c r="AM57" s="3" t="str">
        <f ca="1">IFERROR(__xludf.DUMMYFUNCTION("GOOGLETRANSLATE(AN57,""en"",""ta"")"),"வயிற்றுப்போக்கு, வயிற்றுப்போக்கு.")</f>
        <v>வயிற்றுப்போக்கு, வயிற்றுப்போக்கு.</v>
      </c>
      <c r="AN57" s="4" t="s">
        <v>716</v>
      </c>
      <c r="AO57" s="3" t="str">
        <f ca="1">IFERROR(__xludf.DUMMYFUNCTION("GOOGLETRANSLATE(AP57,""en"",""ta"")"),"#VALUE!")</f>
        <v>#VALUE!</v>
      </c>
      <c r="AP57" s="3"/>
      <c r="AQ57" s="3"/>
      <c r="AR57" s="3" t="str">
        <f ca="1">IFERROR(__xludf.DUMMYFUNCTION("GOOGLETRANSLATE(AS57,""en"",""ta"")"),"துவர்ப்பு, வயிற்றுப்போக்கு மற்றும் குளிர்ச்சியூட்டும்")</f>
        <v>துவர்ப்பு, வயிற்றுப்போக்கு மற்றும் குளிர்ச்சியூட்டும்</v>
      </c>
      <c r="AS57" s="4" t="s">
        <v>717</v>
      </c>
      <c r="AT57" s="3" t="str">
        <f ca="1">IFERROR(__xludf.DUMMYFUNCTION("GOOGLETRANSLATE(AU57,""en"",""ta"")"),"எலாஜிக் அமிலம், காடிக் அமிலம், ஃபிளாவனாய்டு டானின்கள், அத்தியாவசிய எண்ணெய், பி-சிட்டோசைடு மற்றும் டி-குளுக்கோசைடுகள்")</f>
        <v>எலாஜிக் அமிலம், காடிக் அமிலம், ஃபிளாவனாய்டு டானின்கள், அத்தியாவசிய எண்ணெய், பி-சிட்டோசைடு மற்றும் டி-குளுக்கோசைடுகள்</v>
      </c>
      <c r="AU57" s="4" t="s">
        <v>718</v>
      </c>
      <c r="AV57" s="3"/>
      <c r="AW57" s="3" t="str">
        <f ca="1">IFERROR(__xludf.DUMMYFUNCTION("GOOGLETRANSLATE(AX57,""en"",""ta"")"),"மிட்டாய்த் தொழிலில் பசைப் பொடி பயன்படுத்தப்படுகிறது. பட்டையின் கஷாயம் தொழுநோய் மற்றும் தோல் நோய்களுக்கு மருந்தாகப் பயன்படுத்தப்படுகிறது.")</f>
        <v>மிட்டாய்த் தொழிலில் பசைப் பொடி பயன்படுத்தப்படுகிறது. பட்டையின் கஷாயம் தொழுநோய் மற்றும் தோல் நோய்களுக்கு மருந்தாகப் பயன்படுத்தப்படுகிறது.</v>
      </c>
      <c r="AX57" s="4" t="s">
        <v>719</v>
      </c>
      <c r="AY57" s="3"/>
      <c r="AZ57" s="3"/>
      <c r="BA57" s="3"/>
      <c r="BB57" s="3"/>
      <c r="BC57" s="3"/>
      <c r="BD57" s="3"/>
      <c r="BE57" s="3"/>
      <c r="BF57" s="3"/>
    </row>
    <row r="58" spans="1:58" ht="42" x14ac:dyDescent="0.15">
      <c r="A58" s="3">
        <v>57</v>
      </c>
      <c r="B58" s="3" t="str">
        <f ca="1">IFERROR(__xludf.DUMMYFUNCTION("GOOGLETRANSLATE(C58,""en"",""ta"")"),"அந்தோசெபாலஸ் சினென்சிஸ்")</f>
        <v>அந்தோசெபாலஸ் சினென்சிஸ்</v>
      </c>
      <c r="C58" s="4" t="s">
        <v>720</v>
      </c>
      <c r="D58" s="3" t="str">
        <f ca="1">IFERROR(__xludf.DUMMYFUNCTION("GOOGLETRANSLATE(E58,""en"",""ta"")"),"கடம்பா")</f>
        <v>கடம்பா</v>
      </c>
      <c r="E58" s="4" t="s">
        <v>721</v>
      </c>
      <c r="F58" s="3" t="str">
        <f ca="1">IFERROR(__xludf.DUMMYFUNCTION("GOOGLETRANSLATE(G58,""en"",""ta"")"),"வெள்ளைக்கடம்பு")</f>
        <v>வெள்ளைக்கடம்பு</v>
      </c>
      <c r="G58" s="4" t="s">
        <v>722</v>
      </c>
      <c r="H58" s="3" t="str">
        <f ca="1">IFERROR(__xludf.DUMMYFUNCTION("GOOGLETRANSLATE(I58,""en"",""ta"")"),"காட்டு சின்சோனா")</f>
        <v>காட்டு சின்சோனா</v>
      </c>
      <c r="I58" s="4" t="s">
        <v>723</v>
      </c>
      <c r="J58" s="3" t="str">
        <f ca="1">IFERROR(__xludf.DUMMYFUNCTION("GOOGLETRANSLATE(K58,""en"",""ta"")"),"ருத்ராட்ச கம்பா")</f>
        <v>ருத்ராட்ச கம்பா</v>
      </c>
      <c r="K58" s="4" t="s">
        <v>724</v>
      </c>
      <c r="L58" s="3" t="str">
        <f ca="1">IFERROR(__xludf.DUMMYFUNCTION("GOOGLETRANSLATE(M58,""en"",""ta"")"),"கட்டம்பு")</f>
        <v>கட்டம்பு</v>
      </c>
      <c r="M58" s="4" t="s">
        <v>725</v>
      </c>
      <c r="N58" s="3" t="str">
        <f ca="1">IFERROR(__xludf.DUMMYFUNCTION("GOOGLETRANSLATE(O58,""en"",""ta"")"),"கதம்")</f>
        <v>கதம்</v>
      </c>
      <c r="O58" s="3" t="s">
        <v>726</v>
      </c>
      <c r="P58" s="3"/>
      <c r="Q58" s="3" t="str">
        <f ca="1">IFERROR(__xludf.DUMMYFUNCTION("GOOGLETRANSLATE(R58,""en"",""ta"")"),"நடுத்தர அளவிலான இலையுதிர் மரம், கிளைகள் கிடைமட்டமாக பரவி, கோரியேசியஸ், பட்டை அடர் பழுப்பு நிறமானது, ஆழமற்ற பிளவுகளுடன் கரடுமுரடானது. இலைகள் எளிமையானவை, இலைக்காம்பு வடிவானது, முட்டை வடிவானது, குறுகிய கூரியது. பூக்கள் சிறியவை, முனையத்தில் தனித்த தலைகளில் ஆர"&amp;"ஞ்சு மஞ்சள் நிறத்தில் இருக்கும். பழங்கள் சதைப்பற்றுள்ளவை, கோள வடிவமானது, ஆரஞ்சு நிறமானது, நிலையான புல்லியுடன் கூடிய போலி கார்ப். விதைகள் சிறியவை.")</f>
        <v>நடுத்தர அளவிலான இலையுதிர் மரம், கிளைகள் கிடைமட்டமாக பரவி, கோரியேசியஸ், பட்டை அடர் பழுப்பு நிறமானது, ஆழமற்ற பிளவுகளுடன் கரடுமுரடானது. இலைகள் எளிமையானவை, இலைக்காம்பு வடிவானது, முட்டை வடிவானது, குறுகிய கூரியது. பூக்கள் சிறியவை, முனையத்தில் தனித்த தலைகளில் ஆரஞ்சு மஞ்சள் நிறத்தில் இருக்கும். பழங்கள் சதைப்பற்றுள்ளவை, கோள வடிவமானது, ஆரஞ்சு நிறமானது, நிலையான புல்லியுடன் கூடிய போலி கார்ப். விதைகள் சிறியவை.</v>
      </c>
      <c r="R58" s="4" t="s">
        <v>727</v>
      </c>
      <c r="S58" s="3" t="str">
        <f ca="1">IFERROR(__xludf.DUMMYFUNCTION("GOOGLETRANSLATE(T58,""en"",""ta"")"),"சிறுநீரக கால்குலி")</f>
        <v>சிறுநீரக கால்குலி</v>
      </c>
      <c r="T58" s="4" t="s">
        <v>728</v>
      </c>
      <c r="U58" s="3" t="str">
        <f ca="1">IFERROR(__xludf.DUMMYFUNCTION("GOOGLETRANSLATE(V58,""en"",""ta"")"),"புண்கள், காயங்கள், ஸ்டோமாடிடிஸ்.")</f>
        <v>புண்கள், காயங்கள், ஸ்டோமாடிடிஸ்.</v>
      </c>
      <c r="V58" s="4" t="s">
        <v>729</v>
      </c>
      <c r="W58" s="3" t="str">
        <f ca="1">IFERROR(__xludf.DUMMYFUNCTION("GOOGLETRANSLATE(X58,""en"",""ta"")"),"#VALUE!")</f>
        <v>#VALUE!</v>
      </c>
      <c r="X58" s="3"/>
      <c r="Y58" s="3" t="str">
        <f ca="1">IFERROR(__xludf.DUMMYFUNCTION("GOOGLETRANSLATE(Z58,""en"",""ta"")"),"#VALUE!")</f>
        <v>#VALUE!</v>
      </c>
      <c r="Z58" s="3"/>
      <c r="AA58" s="3" t="str">
        <f ca="1">IFERROR(__xludf.DUMMYFUNCTION("GOOGLETRANSLATE(AB58,""en"",""ta"")"),"#VALUE!")</f>
        <v>#VALUE!</v>
      </c>
      <c r="AB58" s="3"/>
      <c r="AC58" s="3" t="str">
        <f ca="1">IFERROR(__xludf.DUMMYFUNCTION("GOOGLETRANSLATE(AD58,""en"",""ta"")"),"#VALUE!")</f>
        <v>#VALUE!</v>
      </c>
      <c r="AD58" s="3"/>
      <c r="AE58" s="3" t="str">
        <f ca="1">IFERROR(__xludf.DUMMYFUNCTION("GOOGLETRANSLATE(AF58,""en"",""ta"")"),"#VALUE!")</f>
        <v>#VALUE!</v>
      </c>
      <c r="AF58" s="3"/>
      <c r="AG58" s="3" t="str">
        <f ca="1">IFERROR(__xludf.DUMMYFUNCTION("GOOGLETRANSLATE(AH58,""en"",""ta"")"),"#VALUE!")</f>
        <v>#VALUE!</v>
      </c>
      <c r="AH58" s="3"/>
      <c r="AI58" s="3" t="str">
        <f ca="1">IFERROR(__xludf.DUMMYFUNCTION("GOOGLETRANSLATE(AJ58,""en"",""ta"")"),"#VALUE!")</f>
        <v>#VALUE!</v>
      </c>
      <c r="AJ58" s="3"/>
      <c r="AK58" s="3" t="str">
        <f ca="1">IFERROR(__xludf.DUMMYFUNCTION("GOOGLETRANSLATE(AL58,""en"",""ta"")"),"#VALUE!")</f>
        <v>#VALUE!</v>
      </c>
      <c r="AL58" s="3"/>
      <c r="AM58" s="3" t="str">
        <f ca="1">IFERROR(__xludf.DUMMYFUNCTION("GOOGLETRANSLATE(AN58,""en"",""ta"")"),"இரைப்பை எரிச்சல் மற்றும் காய்ச்சல்.")</f>
        <v>இரைப்பை எரிச்சல் மற்றும் காய்ச்சல்.</v>
      </c>
      <c r="AN58" s="4" t="s">
        <v>730</v>
      </c>
      <c r="AO58" s="3" t="str">
        <f ca="1">IFERROR(__xludf.DUMMYFUNCTION("GOOGLETRANSLATE(AP58,""en"",""ta"")"),"#VALUE!")</f>
        <v>#VALUE!</v>
      </c>
      <c r="AP58" s="3"/>
      <c r="AQ58" s="3"/>
      <c r="AR58" s="3" t="str">
        <f ca="1">IFERROR(__xludf.DUMMYFUNCTION("GOOGLETRANSLATE(AS58,""en"",""ta"")"),"ஆஸ்ட்ரிஜென்ட், அனோடைன், பாலுணர்வூட்டி, கார்மினேட்டிவ், அழற்சி எதிர்ப்பு, டானிக், கேலக்டகோக் மற்றும் ஃபெப்ரிஃபியூஜ்.")</f>
        <v>ஆஸ்ட்ரிஜென்ட், அனோடைன், பாலுணர்வூட்டி, கார்மினேட்டிவ், அழற்சி எதிர்ப்பு, டானிக், கேலக்டகோக் மற்றும் ஃபெப்ரிஃபியூஜ்.</v>
      </c>
      <c r="AS58" s="4" t="s">
        <v>731</v>
      </c>
      <c r="AT58" s="3" t="str">
        <f ca="1">IFERROR(__xludf.DUMMYFUNCTION("GOOGLETRANSLATE(AU58,""en"",""ta"")"),"சின்கோ டானிக் அமிலம், கேடம்பைன், சபோனின்-பி, குயினோவிக் அமிலம், 3- a- டைஹைட்ரோ-கேடம்பைன்.")</f>
        <v>சின்கோ டானிக் அமிலம், கேடம்பைன், சபோனின்-பி, குயினோவிக் அமிலம், 3- a- டைஹைட்ரோ-கேடம்பைன்.</v>
      </c>
      <c r="AU58" s="4" t="s">
        <v>732</v>
      </c>
      <c r="AV58" s="3"/>
      <c r="AW58" s="3" t="str">
        <f ca="1">IFERROR(__xludf.DUMMYFUNCTION("GOOGLETRANSLATE(AX58,""en"",""ta"")"),"இரைப்பை எரிச்சலுக்கு சீரகம் மற்றும் சர்க்கரை உள்ள குழந்தைகளுக்கு பழச்சாறு கொடுக்கப்படுகிறது. காய்ச்சலுக்கு பட்டையின் கஷாயம் உட்புறமாக கொடுக்கப்படுகிறது.")</f>
        <v>இரைப்பை எரிச்சலுக்கு சீரகம் மற்றும் சர்க்கரை உள்ள குழந்தைகளுக்கு பழச்சாறு கொடுக்கப்படுகிறது. காய்ச்சலுக்கு பட்டையின் கஷாயம் உட்புறமாக கொடுக்கப்படுகிறது.</v>
      </c>
      <c r="AX58" s="4" t="s">
        <v>733</v>
      </c>
      <c r="AY58" s="3"/>
      <c r="AZ58" s="3"/>
      <c r="BA58" s="3"/>
      <c r="BB58" s="3"/>
      <c r="BC58" s="3"/>
      <c r="BD58" s="3"/>
      <c r="BE58" s="3"/>
      <c r="BF58" s="3"/>
    </row>
    <row r="59" spans="1:58" ht="56" x14ac:dyDescent="0.15">
      <c r="A59" s="3">
        <v>58</v>
      </c>
      <c r="B59" s="3" t="str">
        <f ca="1">IFERROR(__xludf.DUMMYFUNCTION("GOOGLETRANSLATE(C59,""en"",""ta"")"),"ஆன்டிஆரிஸ் டாக்ஸிகேரியா")</f>
        <v>ஆன்டிஆரிஸ் டாக்ஸிகேரியா</v>
      </c>
      <c r="C59" s="4" t="s">
        <v>734</v>
      </c>
      <c r="D59" s="3" t="str">
        <f ca="1">IFERROR(__xludf.DUMMYFUNCTION("GOOGLETRANSLATE(E59,""en"",""ta"")"),"உபஸ்")</f>
        <v>உபஸ்</v>
      </c>
      <c r="E59" s="4" t="s">
        <v>735</v>
      </c>
      <c r="F59" s="3" t="str">
        <f ca="1">IFERROR(__xludf.DUMMYFUNCTION("GOOGLETRANSLATE(G59,""en"",""ta"")"),"அறந்தாலி")</f>
        <v>அறந்தாலி</v>
      </c>
      <c r="G59" s="4" t="s">
        <v>736</v>
      </c>
      <c r="H59" s="3" t="str">
        <f ca="1">IFERROR(__xludf.DUMMYFUNCTION("GOOGLETRANSLATE(I59,""en"",""ta"")"),"வெட்டுதல் மரம்")</f>
        <v>வெட்டுதல் மரம்</v>
      </c>
      <c r="I59" s="4" t="s">
        <v>737</v>
      </c>
      <c r="J59" s="3" t="str">
        <f ca="1">IFERROR(__xludf.DUMMYFUNCTION("GOOGLETRANSLATE(K59,""en"",""ta"")"),"அறந்தாலி சேட்டு")</f>
        <v>அறந்தாலி சேட்டு</v>
      </c>
      <c r="K59" s="4" t="s">
        <v>738</v>
      </c>
      <c r="L59" s="3" t="str">
        <f ca="1">IFERROR(__xludf.DUMMYFUNCTION("GOOGLETRANSLATE(M59,""en"",""ta"")"),"அரையன்னலி")</f>
        <v>அரையன்னலி</v>
      </c>
      <c r="M59" s="4" t="s">
        <v>739</v>
      </c>
      <c r="N59" s="3" t="str">
        <f ca="1">IFERROR(__xludf.DUMMYFUNCTION("GOOGLETRANSLATE(O59,""en"",""ta"")"),"ஜசுண்ட்")</f>
        <v>ஜசுண்ட்</v>
      </c>
      <c r="O59" s="4" t="s">
        <v>740</v>
      </c>
      <c r="P59" s="3"/>
      <c r="Q59" s="3" t="str">
        <f ca="1">IFERROR(__xludf.DUMMYFUNCTION("GOOGLETRANSLATE(R59,""en"",""ta"")"),"இது மிகவும் உயரமான மரம், தண்டு பெரும்பாலும் பட்ரஸ்டுகளுடன் இருக்கும். இலைகள் நீள்வட்டம் முதல் நீள்வட்டம் வரை, கூரிய முனை மற்றும் முழுதாக இருக்கும். பூக்கள் ஒற்றைத் தோற்றமுடையவை, 3 முதல் 4 வரை ஒன்றாகக் கொள்கலன்களைக் கொண்டுள்ளன. மஞ்சரித் தண்டுகள் வெல்வெட் ப"&amp;"ோன்றவை. பெண் தனித்திருக்கும் மற்றும் பேரிக்காய் வடிவிலானவை. பழங்கள் சிவப்பு, வெல்வெட், பைரிஃபார்ம் மற்றும் ஒரு விதை கொண்டவை.")</f>
        <v>இது மிகவும் உயரமான மரம், தண்டு பெரும்பாலும் பட்ரஸ்டுகளுடன் இருக்கும். இலைகள் நீள்வட்டம் முதல் நீள்வட்டம் வரை, கூரிய முனை மற்றும் முழுதாக இருக்கும். பூக்கள் ஒற்றைத் தோற்றமுடையவை, 3 முதல் 4 வரை ஒன்றாகக் கொள்கலன்களைக் கொண்டுள்ளன. மஞ்சரித் தண்டுகள் வெல்வெட் போன்றவை. பெண் தனித்திருக்கும் மற்றும் பேரிக்காய் வடிவிலானவை. பழங்கள் சிவப்பு, வெல்வெட், பைரிஃபார்ம் மற்றும் ஒரு விதை கொண்டவை.</v>
      </c>
      <c r="R59" s="4" t="s">
        <v>741</v>
      </c>
      <c r="S59" s="3" t="str">
        <f ca="1">IFERROR(__xludf.DUMMYFUNCTION("GOOGLETRANSLATE(T59,""en"",""ta"")"),"#VALUE!")</f>
        <v>#VALUE!</v>
      </c>
      <c r="T59" s="3"/>
      <c r="U59" s="3" t="str">
        <f ca="1">IFERROR(__xludf.DUMMYFUNCTION("GOOGLETRANSLATE(V59,""en"",""ta"")"),"#VALUE!")</f>
        <v>#VALUE!</v>
      </c>
      <c r="V59" s="3"/>
      <c r="W59" s="3" t="str">
        <f ca="1">IFERROR(__xludf.DUMMYFUNCTION("GOOGLETRANSLATE(X59,""en"",""ta"")"),"#VALUE!")</f>
        <v>#VALUE!</v>
      </c>
      <c r="X59" s="3"/>
      <c r="Y59" s="3" t="str">
        <f ca="1">IFERROR(__xludf.DUMMYFUNCTION("GOOGLETRANSLATE(Z59,""en"",""ta"")"),"#VALUE!")</f>
        <v>#VALUE!</v>
      </c>
      <c r="Z59" s="3"/>
      <c r="AA59" s="3" t="str">
        <f ca="1">IFERROR(__xludf.DUMMYFUNCTION("GOOGLETRANSLATE(AB59,""en"",""ta"")"),"#VALUE!")</f>
        <v>#VALUE!</v>
      </c>
      <c r="AB59" s="3"/>
      <c r="AC59" s="3" t="str">
        <f ca="1">IFERROR(__xludf.DUMMYFUNCTION("GOOGLETRANSLATE(AD59,""en"",""ta"")"),"#VALUE!")</f>
        <v>#VALUE!</v>
      </c>
      <c r="AD59" s="3"/>
      <c r="AE59" s="3" t="str">
        <f ca="1">IFERROR(__xludf.DUMMYFUNCTION("GOOGLETRANSLATE(AF59,""en"",""ta"")"),"#VALUE!")</f>
        <v>#VALUE!</v>
      </c>
      <c r="AF59" s="3"/>
      <c r="AG59" s="3" t="str">
        <f ca="1">IFERROR(__xludf.DUMMYFUNCTION("GOOGLETRANSLATE(AH59,""en"",""ta"")"),"#VALUE!")</f>
        <v>#VALUE!</v>
      </c>
      <c r="AH59" s="3"/>
      <c r="AI59" s="3" t="str">
        <f ca="1">IFERROR(__xludf.DUMMYFUNCTION("GOOGLETRANSLATE(AJ59,""en"",""ta"")"),"#VALUE!")</f>
        <v>#VALUE!</v>
      </c>
      <c r="AJ59" s="3"/>
      <c r="AK59" s="3" t="str">
        <f ca="1">IFERROR(__xludf.DUMMYFUNCTION("GOOGLETRANSLATE(AL59,""en"",""ta"")"),"#VALUE!")</f>
        <v>#VALUE!</v>
      </c>
      <c r="AL59" s="3"/>
      <c r="AM59" s="3" t="str">
        <f ca="1">IFERROR(__xludf.DUMMYFUNCTION("GOOGLETRANSLATE(AN59,""en"",""ta"")"),"#VALUE!")</f>
        <v>#VALUE!</v>
      </c>
      <c r="AN59" s="3"/>
      <c r="AO59" s="3" t="str">
        <f ca="1">IFERROR(__xludf.DUMMYFUNCTION("GOOGLETRANSLATE(AP59,""en"",""ta"")"),"#VALUE!")</f>
        <v>#VALUE!</v>
      </c>
      <c r="AP59" s="3"/>
      <c r="AQ59" s="3"/>
      <c r="AR59" s="3" t="str">
        <f ca="1">IFERROR(__xludf.DUMMYFUNCTION("GOOGLETRANSLATE(AS59,""en"",""ta"")"),"தூண்டுதல், காய்ச்சல் மற்றும் துவர்ப்பு மருந்து.")</f>
        <v>தூண்டுதல், காய்ச்சல் மற்றும் துவர்ப்பு மருந்து.</v>
      </c>
      <c r="AS59" s="4" t="s">
        <v>742</v>
      </c>
      <c r="AT59" s="3" t="str">
        <f ca="1">IFERROR(__xludf.DUMMYFUNCTION("GOOGLETRANSLATE(AU59,""en"",""ta"")"),"ஆல்கலாய்டு, ஸ்டார்ச், சர்க்கரை, கார்டியாக் கிளைகோசைடுகள், கம் ஆன்டிஆரோல், மைரிசின், ஏ-ஆன்டிஆரின், பி-ஆன்டிஆரின் மற்றும் பிசின்.")</f>
        <v>ஆல்கலாய்டு, ஸ்டார்ச், சர்க்கரை, கார்டியாக் கிளைகோசைடுகள், கம் ஆன்டிஆரோல், மைரிசின், ஏ-ஆன்டிஆரின், பி-ஆன்டிஆரின் மற்றும் பிசின்.</v>
      </c>
      <c r="AU59" s="4" t="s">
        <v>743</v>
      </c>
      <c r="AV59" s="3"/>
      <c r="AW59" s="3" t="str">
        <f ca="1">IFERROR(__xludf.DUMMYFUNCTION("GOOGLETRANSLATE(AX59,""en"",""ta"")"),"காய்ச்சலுக்கு இலைகளின் கஷாயம் உட்புறமாகக் கொடுக்கப்படுகிறது. வயிற்றுப்போக்கைக் கட்டுப்படுத்த பழங்கள் உட்புறமாகக் கொடுக்கப்படுகின்றன.")</f>
        <v>காய்ச்சலுக்கு இலைகளின் கஷாயம் உட்புறமாகக் கொடுக்கப்படுகிறது. வயிற்றுப்போக்கைக் கட்டுப்படுத்த பழங்கள் உட்புறமாகக் கொடுக்கப்படுகின்றன.</v>
      </c>
      <c r="AX59" s="4" t="s">
        <v>744</v>
      </c>
      <c r="AY59" s="3"/>
      <c r="AZ59" s="3"/>
      <c r="BA59" s="3"/>
      <c r="BB59" s="3"/>
      <c r="BC59" s="3"/>
      <c r="BD59" s="3"/>
      <c r="BE59" s="3"/>
      <c r="BF59" s="3"/>
    </row>
    <row r="60" spans="1:58" ht="42" x14ac:dyDescent="0.15">
      <c r="A60" s="3">
        <v>59</v>
      </c>
      <c r="B60" s="3" t="str">
        <f ca="1">IFERROR(__xludf.DUMMYFUNCTION("GOOGLETRANSLATE(C60,""en"",""ta"")"),"அஃபனாமிக்சிஸ் பாலிஸ்டாச்சா")</f>
        <v>அஃபனாமிக்சிஸ் பாலிஸ்டாச்சா</v>
      </c>
      <c r="C60" s="4" t="s">
        <v>745</v>
      </c>
      <c r="D60" s="3" t="str">
        <f ca="1">IFERROR(__xludf.DUMMYFUNCTION("GOOGLETRANSLATE(E60,""en"",""ta"")"),"ரோஹிதுகா")</f>
        <v>ரோஹிதுகா</v>
      </c>
      <c r="E60" s="4" t="s">
        <v>746</v>
      </c>
      <c r="F60" s="3" t="str">
        <f ca="1">IFERROR(__xludf.DUMMYFUNCTION("GOOGLETRANSLATE(G60,""en"",""ta"")"),"மலம்புலுவன்")</f>
        <v>மலம்புலுவன்</v>
      </c>
      <c r="G60" s="4" t="s">
        <v>747</v>
      </c>
      <c r="H60" s="3" t="str">
        <f ca="1">IFERROR(__xludf.DUMMYFUNCTION("GOOGLETRANSLATE(I60,""en"",""ta"")"),"சோஹாகா")</f>
        <v>சோஹாகா</v>
      </c>
      <c r="I60" s="4" t="s">
        <v>748</v>
      </c>
      <c r="J60" s="3" t="str">
        <f ca="1">IFERROR(__xludf.DUMMYFUNCTION("GOOGLETRANSLATE(K60,""en"",""ta"")"),"சாவோரா-மனு")</f>
        <v>சாவோரா-மனு</v>
      </c>
      <c r="K60" s="4" t="s">
        <v>749</v>
      </c>
      <c r="L60" s="3" t="str">
        <f ca="1">IFERROR(__xludf.DUMMYFUNCTION("GOOGLETRANSLATE(M60,""en"",""ta"")"),"செம்மரம்")</f>
        <v>செம்மரம்</v>
      </c>
      <c r="M60" s="4" t="s">
        <v>750</v>
      </c>
      <c r="N60" s="3" t="str">
        <f ca="1">IFERROR(__xludf.DUMMYFUNCTION("GOOGLETRANSLATE(O60,""en"",""ta"")"),"ஹரின் ஹரா")</f>
        <v>ஹரின் ஹரா</v>
      </c>
      <c r="O60" s="4" t="s">
        <v>751</v>
      </c>
      <c r="P60" s="3"/>
      <c r="Q60" s="3" t="str">
        <f ca="1">IFERROR(__xludf.DUMMYFUNCTION("GOOGLETRANSLATE(R60,""en"",""ta"")"),"ஒரு பெரிய பசுமையான மரம், பட்டை அடர் பழுப்பு நிறத்தில் இருக்கும். இலைகள் கூட்டு, சிற்றிலைகள் காம்பற்ற நீள்வட்ட வடிவிலானவை, வலைப்பின்னல் நரம்புகளுடன் இருக்கும். மஞ்சரி தனித்த அல்லது இலைக்கோணங்களில் காணப்படும் பேனிகல், பூக்கள் வழக்கமானவை. பழங்கள் கோள வடிவ பெ"&amp;"ர்ரி. விதைகள் கருஞ்சிவப்பு ஏரிலுடன் நீள்வட்ட வடிவமானது.")</f>
        <v>ஒரு பெரிய பசுமையான மரம், பட்டை அடர் பழுப்பு நிறத்தில் இருக்கும். இலைகள் கூட்டு, சிற்றிலைகள் காம்பற்ற நீள்வட்ட வடிவிலானவை, வலைப்பின்னல் நரம்புகளுடன் இருக்கும். மஞ்சரி தனித்த அல்லது இலைக்கோணங்களில் காணப்படும் பேனிகல், பூக்கள் வழக்கமானவை. பழங்கள் கோள வடிவ பெர்ரி. விதைகள் கருஞ்சிவப்பு ஏரிலுடன் நீள்வட்ட வடிவமானது.</v>
      </c>
      <c r="R60" s="4" t="s">
        <v>752</v>
      </c>
      <c r="S60" s="3" t="str">
        <f ca="1">IFERROR(__xludf.DUMMYFUNCTION("GOOGLETRANSLATE(T60,""en"",""ta"")"),"#VALUE!")</f>
        <v>#VALUE!</v>
      </c>
      <c r="T60" s="3"/>
      <c r="U60" s="3" t="str">
        <f ca="1">IFERROR(__xludf.DUMMYFUNCTION("GOOGLETRANSLATE(V60,""en"",""ta"")"),"புண்கள், தசை வலி.")</f>
        <v>புண்கள், தசை வலி.</v>
      </c>
      <c r="V60" s="4" t="s">
        <v>753</v>
      </c>
      <c r="W60" s="3" t="str">
        <f ca="1">IFERROR(__xludf.DUMMYFUNCTION("GOOGLETRANSLATE(X60,""en"",""ta"")"),"#VALUE!")</f>
        <v>#VALUE!</v>
      </c>
      <c r="X60" s="3"/>
      <c r="Y60" s="3" t="str">
        <f ca="1">IFERROR(__xludf.DUMMYFUNCTION("GOOGLETRANSLATE(Z60,""en"",""ta"")"),"#VALUE!")</f>
        <v>#VALUE!</v>
      </c>
      <c r="Z60" s="3"/>
      <c r="AA60" s="3" t="str">
        <f ca="1">IFERROR(__xludf.DUMMYFUNCTION("GOOGLETRANSLATE(AB60,""en"",""ta"")"),"கல்லீரல் மற்றும் மண்ணீரல் கோளாறுகள், கட்டிகள், வயிற்று வலி மற்றும் வாத நோய்.")</f>
        <v>கல்லீரல் மற்றும் மண்ணீரல் கோளாறுகள், கட்டிகள், வயிற்று வலி மற்றும் வாத நோய்.</v>
      </c>
      <c r="AB60" s="4" t="s">
        <v>754</v>
      </c>
      <c r="AC60" s="3" t="str">
        <f ca="1">IFERROR(__xludf.DUMMYFUNCTION("GOOGLETRANSLATE(AD60,""en"",""ta"")"),"#VALUE!")</f>
        <v>#VALUE!</v>
      </c>
      <c r="AD60" s="3"/>
      <c r="AE60" s="3" t="str">
        <f ca="1">IFERROR(__xludf.DUMMYFUNCTION("GOOGLETRANSLATE(AF60,""en"",""ta"")"),"#VALUE!")</f>
        <v>#VALUE!</v>
      </c>
      <c r="AF60" s="3"/>
      <c r="AG60" s="3" t="str">
        <f ca="1">IFERROR(__xludf.DUMMYFUNCTION("GOOGLETRANSLATE(AH60,""en"",""ta"")"),"#VALUE!")</f>
        <v>#VALUE!</v>
      </c>
      <c r="AH60" s="3"/>
      <c r="AI60" s="3" t="str">
        <f ca="1">IFERROR(__xludf.DUMMYFUNCTION("GOOGLETRANSLATE(AJ60,""en"",""ta"")"),"#VALUE!")</f>
        <v>#VALUE!</v>
      </c>
      <c r="AJ60" s="3"/>
      <c r="AK60" s="3" t="str">
        <f ca="1">IFERROR(__xludf.DUMMYFUNCTION("GOOGLETRANSLATE(AL60,""en"",""ta"")"),"#VALUE!")</f>
        <v>#VALUE!</v>
      </c>
      <c r="AL60" s="3"/>
      <c r="AM60" s="3" t="str">
        <f ca="1">IFERROR(__xludf.DUMMYFUNCTION("GOOGLETRANSLATE(AN60,""en"",""ta"")"),"#VALUE!")</f>
        <v>#VALUE!</v>
      </c>
      <c r="AN60" s="3"/>
      <c r="AO60" s="3" t="str">
        <f ca="1">IFERROR(__xludf.DUMMYFUNCTION("GOOGLETRANSLATE(AP60,""en"",""ta"")"),"#VALUE!")</f>
        <v>#VALUE!</v>
      </c>
      <c r="AP60" s="3"/>
      <c r="AQ60" s="3"/>
      <c r="AR60" s="3" t="str">
        <f ca="1">IFERROR(__xludf.DUMMYFUNCTION("GOOGLETRANSLATE(AS60,""en"",""ta"")"),"கசப்பு, புற்றுநோய் எதிர்ப்பு.")</f>
        <v>கசப்பு, புற்றுநோய் எதிர்ப்பு.</v>
      </c>
      <c r="AS60" s="4" t="s">
        <v>755</v>
      </c>
      <c r="AT60" s="3" t="str">
        <f ca="1">IFERROR(__xludf.DUMMYFUNCTION("GOOGLETRANSLATE(AU60,""en"",""ta"")"),"ஆல்புமினாய்டுகள், ரெசின், மியூசிலேஜ், டானின், லினோலெனிக் அமிலம், அஃபனாமிக்சினின், பி-சிட்டோஸ்டெரால் மற்றும் ரோஹிதுகின்.")</f>
        <v>ஆல்புமினாய்டுகள், ரெசின், மியூசிலேஜ், டானின், லினோலெனிக் அமிலம், அஃபனாமிக்சினின், பி-சிட்டோஸ்டெரால் மற்றும் ரோஹிதுகின்.</v>
      </c>
      <c r="AU60" s="4" t="s">
        <v>756</v>
      </c>
      <c r="AV60" s="3"/>
      <c r="AW60" s="3" t="str">
        <f ca="1">IFERROR(__xludf.DUMMYFUNCTION("GOOGLETRANSLATE(AX60,""en"",""ta"")"),"மாதவிடாய் சுழற்சியை சீராக்க மரத்தின் கஷாயம் பயன்படுத்தப்படுகிறது. வயிற்றுப்போக்கு மற்றும் வயிற்றுப்போக்கில் மரத்தின் கஷாயம் பயன்படுத்தப்படுகிறது.")</f>
        <v>மாதவிடாய் சுழற்சியை சீராக்க மரத்தின் கஷாயம் பயன்படுத்தப்படுகிறது. வயிற்றுப்போக்கு மற்றும் வயிற்றுப்போக்கில் மரத்தின் கஷாயம் பயன்படுத்தப்படுகிறது.</v>
      </c>
      <c r="AX60" s="4" t="s">
        <v>757</v>
      </c>
      <c r="AY60" s="3"/>
      <c r="AZ60" s="3"/>
      <c r="BA60" s="3"/>
      <c r="BB60" s="3"/>
      <c r="BC60" s="3"/>
      <c r="BD60" s="3"/>
      <c r="BE60" s="3"/>
      <c r="BF60" s="3"/>
    </row>
    <row r="61" spans="1:58" ht="56" x14ac:dyDescent="0.15">
      <c r="A61" s="3">
        <v>60</v>
      </c>
      <c r="B61" s="3" t="str">
        <f ca="1">IFERROR(__xludf.DUMMYFUNCTION("GOOGLETRANSLATE(C61,""en"",""ta"")"),"அபியம் கல்லறை")</f>
        <v>அபியம் கல்லறை</v>
      </c>
      <c r="C61" s="4" t="s">
        <v>758</v>
      </c>
      <c r="D61" s="3" t="str">
        <f ca="1">IFERROR(__xludf.DUMMYFUNCTION("GOOGLETRANSLATE(E61,""en"",""ta"")"),"அஜ்மோதா")</f>
        <v>அஜ்மோதா</v>
      </c>
      <c r="E61" s="4" t="s">
        <v>759</v>
      </c>
      <c r="F61" s="3" t="str">
        <f ca="1">IFERROR(__xludf.DUMMYFUNCTION("GOOGLETRANSLATE(G61,""en"",""ta"")"),"செலரி - கீரை")</f>
        <v>செலரி - கீரை</v>
      </c>
      <c r="G61" s="4" t="s">
        <v>760</v>
      </c>
      <c r="H61" s="3" t="str">
        <f ca="1">IFERROR(__xludf.DUMMYFUNCTION("GOOGLETRANSLATE(I61,""en"",""ta"")"),"செலரி")</f>
        <v>செலரி</v>
      </c>
      <c r="I61" s="4" t="s">
        <v>761</v>
      </c>
      <c r="J61" s="3" t="str">
        <f ca="1">IFERROR(__xludf.DUMMYFUNCTION("GOOGLETRANSLATE(K61,""en"",""ta"")"),"வாமு")</f>
        <v>வாமு</v>
      </c>
      <c r="K61" s="3" t="s">
        <v>762</v>
      </c>
      <c r="L61" s="3" t="str">
        <f ca="1">IFERROR(__xludf.DUMMYFUNCTION("GOOGLETRANSLATE(M61,""en"",""ta"")"),"ஓமம்")</f>
        <v>ஓமம்</v>
      </c>
      <c r="M61" s="3" t="s">
        <v>763</v>
      </c>
      <c r="N61" s="3" t="str">
        <f ca="1">IFERROR(__xludf.DUMMYFUNCTION("GOOGLETRANSLATE(O61,""en"",""ta"")"),"அஜ்மோத்")</f>
        <v>அஜ்மோத்</v>
      </c>
      <c r="O61" s="3" t="s">
        <v>764</v>
      </c>
      <c r="P61" s="3"/>
      <c r="Q61" s="3" t="str">
        <f ca="1">IFERROR(__xludf.DUMMYFUNCTION("GOOGLETRANSLATE(R61,""en"",""ta"")"),"நிமிர்ந்த வருடாந்திர அல்லது இரண்டு ஆண்டுகளுக்கு ஒருமுறை நிமிரும் மூலிகை. இலைகள் பெரிய, இறகு போன்ற கூட்டு இலைகளைக் கொண்டவை. பூக்கள் வெள்ளை நிறத்தில், சிறிய காம்பற்றது மற்றும் அம்பல் மஞ்சரியில் காணப்படும். பழங்கள் பின்புறமாக அழுத்தப்பட்ட அசீன். விதைகள் இரண்"&amp;"டு மெரிகார்ப்ஸுடன் ஸ்கிசோகார்பிக்.")</f>
        <v>நிமிர்ந்த வருடாந்திர அல்லது இரண்டு ஆண்டுகளுக்கு ஒருமுறை நிமிரும் மூலிகை. இலைகள் பெரிய, இறகு போன்ற கூட்டு இலைகளைக் கொண்டவை. பூக்கள் வெள்ளை நிறத்தில், சிறிய காம்பற்றது மற்றும் அம்பல் மஞ்சரியில் காணப்படும். பழங்கள் பின்புறமாக அழுத்தப்பட்ட அசீன். விதைகள் இரண்டு மெரிகார்ப்ஸுடன் ஸ்கிசோகார்பிக்.</v>
      </c>
      <c r="R61" s="4" t="s">
        <v>765</v>
      </c>
      <c r="S61" s="3" t="str">
        <f ca="1">IFERROR(__xludf.DUMMYFUNCTION("GOOGLETRANSLATE(T61,""en"",""ta"")"),"அனசர்கா, கோலிக், வாத நோய் மற்றும் கீல்வாதம்.")</f>
        <v>அனசர்கா, கோலிக், வாத நோய் மற்றும் கீல்வாதம்.</v>
      </c>
      <c r="T61" s="4" t="s">
        <v>766</v>
      </c>
      <c r="U61" s="3" t="str">
        <f ca="1">IFERROR(__xludf.DUMMYFUNCTION("GOOGLETRANSLATE(V61,""en"",""ta"")"),"மூச்சுக்குழாய் அழற்சி, ஆஸ்துமா, சொரியாசிஸ், கல்லீரல் மற்றும் மண்ணீரல் கோளாறுகள்.")</f>
        <v>மூச்சுக்குழாய் அழற்சி, ஆஸ்துமா, சொரியாசிஸ், கல்லீரல் மற்றும் மண்ணீரல் கோளாறுகள்.</v>
      </c>
      <c r="V61" s="4" t="s">
        <v>767</v>
      </c>
      <c r="W61" s="3" t="str">
        <f ca="1">IFERROR(__xludf.DUMMYFUNCTION("GOOGLETRANSLATE(X61,""en"",""ta"")"),"#VALUE!")</f>
        <v>#VALUE!</v>
      </c>
      <c r="X61" s="3"/>
      <c r="Y61" s="3" t="str">
        <f ca="1">IFERROR(__xludf.DUMMYFUNCTION("GOOGLETRANSLATE(Z61,""en"",""ta"")"),"#VALUE!")</f>
        <v>#VALUE!</v>
      </c>
      <c r="Z61" s="3"/>
      <c r="AA61" s="3" t="str">
        <f ca="1">IFERROR(__xludf.DUMMYFUNCTION("GOOGLETRANSLATE(AB61,""en"",""ta"")"),"#VALUE!")</f>
        <v>#VALUE!</v>
      </c>
      <c r="AB61" s="3"/>
      <c r="AC61" s="3" t="str">
        <f ca="1">IFERROR(__xludf.DUMMYFUNCTION("GOOGLETRANSLATE(AD61,""en"",""ta"")"),"#VALUE!")</f>
        <v>#VALUE!</v>
      </c>
      <c r="AD61" s="3"/>
      <c r="AE61" s="3" t="str">
        <f ca="1">IFERROR(__xludf.DUMMYFUNCTION("GOOGLETRANSLATE(AF61,""en"",""ta"")"),"#VALUE!")</f>
        <v>#VALUE!</v>
      </c>
      <c r="AF61" s="3"/>
      <c r="AG61" s="3" t="str">
        <f ca="1">IFERROR(__xludf.DUMMYFUNCTION("GOOGLETRANSLATE(AH61,""en"",""ta"")"),"#VALUE!")</f>
        <v>#VALUE!</v>
      </c>
      <c r="AH61" s="3"/>
      <c r="AI61" s="3" t="str">
        <f ca="1">IFERROR(__xludf.DUMMYFUNCTION("GOOGLETRANSLATE(AJ61,""en"",""ta"")"),"#VALUE!")</f>
        <v>#VALUE!</v>
      </c>
      <c r="AJ61" s="3"/>
      <c r="AK61" s="3" t="str">
        <f ca="1">IFERROR(__xludf.DUMMYFUNCTION("GOOGLETRANSLATE(AL61,""en"",""ta"")"),"#VALUE!")</f>
        <v>#VALUE!</v>
      </c>
      <c r="AL61" s="3"/>
      <c r="AM61" s="3" t="str">
        <f ca="1">IFERROR(__xludf.DUMMYFUNCTION("GOOGLETRANSLATE(AN61,""en"",""ta"")"),"#VALUE!")</f>
        <v>#VALUE!</v>
      </c>
      <c r="AN61" s="3"/>
      <c r="AO61" s="3" t="str">
        <f ca="1">IFERROR(__xludf.DUMMYFUNCTION("GOOGLETRANSLATE(AP61,""en"",""ta"")"),"#VALUE!")</f>
        <v>#VALUE!</v>
      </c>
      <c r="AP61" s="3"/>
      <c r="AQ61" s="3"/>
      <c r="AR61" s="3" t="str">
        <f ca="1">IFERROR(__xludf.DUMMYFUNCTION("GOOGLETRANSLATE(AS61,""en"",""ta"")"),"டானிக், கார்மினேட்டிவ், ப்யூரிடிவ், டையூரிடிக் மற்றும் எம்மெனாகோக்.")</f>
        <v>டானிக், கார்மினேட்டிவ், ப்யூரிடிவ், டையூரிடிக் மற்றும் எம்மெனாகோக்.</v>
      </c>
      <c r="AS61" s="4" t="s">
        <v>768</v>
      </c>
      <c r="AT61" s="3" t="str">
        <f ca="1">IFERROR(__xludf.DUMMYFUNCTION("GOOGLETRANSLATE(AU61,""en"",""ta"")"),"Apigenin, Albumin, Rutaretin, Bergapten, Isopimpinellin, Caffeic acid, Chlorogenic acid, Umbelliferone மற்றும் Apiin.")</f>
        <v>Apigenin, Albumin, Rutaretin, Bergapten, Isopimpinellin, Caffeic acid, Chlorogenic acid, Umbelliferone மற்றும் Apiin.</v>
      </c>
      <c r="AU61" s="4" t="s">
        <v>769</v>
      </c>
      <c r="AV61" s="3"/>
      <c r="AW61" s="3" t="str">
        <f ca="1">IFERROR(__xludf.DUMMYFUNCTION("GOOGLETRANSLATE(AX61,""en"",""ta"")"),"விதைப் பொடியை தண்ணீரில் அரைத்து உள்ளுக்குள்ளாகச் சாப்பிட்டால் மூச்சுக்குழாய் அழற்சி மற்றும் ஆஸ்துமா குணமாகும். சோம்பு விதைகள் மற்றும் சர்க்கரையுடன் கூடிய விதைகள் வாய்வு மற்றும் பெருங்குடலுக்கு பயனுள்ளதாக இருக்கும்.")</f>
        <v>விதைப் பொடியை தண்ணீரில் அரைத்து உள்ளுக்குள்ளாகச் சாப்பிட்டால் மூச்சுக்குழாய் அழற்சி மற்றும் ஆஸ்துமா குணமாகும். சோம்பு விதைகள் மற்றும் சர்க்கரையுடன் கூடிய விதைகள் வாய்வு மற்றும் பெருங்குடலுக்கு பயனுள்ளதாக இருக்கும்.</v>
      </c>
      <c r="AX61" s="4" t="s">
        <v>770</v>
      </c>
      <c r="AY61" s="3"/>
      <c r="AZ61" s="3"/>
      <c r="BA61" s="3"/>
      <c r="BB61" s="3"/>
      <c r="BC61" s="3"/>
      <c r="BD61" s="3"/>
      <c r="BE61" s="3"/>
      <c r="BF61" s="3"/>
    </row>
    <row r="62" spans="1:58" ht="56" x14ac:dyDescent="0.15">
      <c r="A62" s="3">
        <v>61</v>
      </c>
      <c r="B62" s="3" t="str">
        <f ca="1">IFERROR(__xludf.DUMMYFUNCTION("GOOGLETRANSLATE(C62,""en"",""ta"")"),"அக்விலேரியா அகல்லோச்சா")</f>
        <v>அக்விலேரியா அகல்லோச்சா</v>
      </c>
      <c r="C62" s="4" t="s">
        <v>771</v>
      </c>
      <c r="D62" s="3" t="str">
        <f ca="1">IFERROR(__xludf.DUMMYFUNCTION("GOOGLETRANSLATE(E62,""en"",""ta"")"),"அகாரு")</f>
        <v>அகாரு</v>
      </c>
      <c r="E62" s="3" t="s">
        <v>772</v>
      </c>
      <c r="F62" s="3" t="str">
        <f ca="1">IFERROR(__xludf.DUMMYFUNCTION("GOOGLETRANSLATE(G62,""en"",""ta"")"),"அகில்")</f>
        <v>அகில்</v>
      </c>
      <c r="G62" s="3" t="s">
        <v>773</v>
      </c>
      <c r="H62" s="3" t="str">
        <f ca="1">IFERROR(__xludf.DUMMYFUNCTION("GOOGLETRANSLATE(I62,""en"",""ta"")"),"கற்றாழை மரம்")</f>
        <v>கற்றாழை மரம்</v>
      </c>
      <c r="I62" s="3" t="s">
        <v>774</v>
      </c>
      <c r="J62" s="3" t="str">
        <f ca="1">IFERROR(__xludf.DUMMYFUNCTION("GOOGLETRANSLATE(K62,""en"",""ta"")"),"கிருஷ்ணகாரு")</f>
        <v>கிருஷ்ணகாரு</v>
      </c>
      <c r="K62" s="4" t="s">
        <v>775</v>
      </c>
      <c r="L62" s="3" t="str">
        <f ca="1">IFERROR(__xludf.DUMMYFUNCTION("GOOGLETRANSLATE(M62,""en"",""ta"")"),"கயாகரு")</f>
        <v>கயாகரு</v>
      </c>
      <c r="M62" s="4" t="s">
        <v>776</v>
      </c>
      <c r="N62" s="3" t="str">
        <f ca="1">IFERROR(__xludf.DUMMYFUNCTION("GOOGLETRANSLATE(O62,""en"",""ta"")"),"அகர்")</f>
        <v>அகர்</v>
      </c>
      <c r="O62" s="3" t="s">
        <v>777</v>
      </c>
      <c r="P62" s="3"/>
      <c r="Q62" s="3" t="str">
        <f ca="1">IFERROR(__xludf.DUMMYFUNCTION("GOOGLETRANSLATE(R62,""en"",""ta"")"),"பைலோஸ் இளம் தளிர்களைக் கொண்ட ஒரு பெரிய பசுமையான மரம். இலைகள் நேரியல், நீள்வட்ட மற்றும் தலைகீழ் முட்டை வடிவானவை. மஞ்சரி இளம் கிளைகளிலிருந்து பக்கவாட்டில் எழும் ஒரு அம்பல். பைலோஸ் காம்புகளில் சிறிய பச்சை நிற பூக்கள். பழங்கள் காப்ஸ்யூல்கள், தலைகீழ் வடிவமானவை"&amp;" மற்றும் சற்று சுருக்கப்பட்டவை.")</f>
        <v>பைலோஸ் இளம் தளிர்களைக் கொண்ட ஒரு பெரிய பசுமையான மரம். இலைகள் நேரியல், நீள்வட்ட மற்றும் தலைகீழ் முட்டை வடிவானவை. மஞ்சரி இளம் கிளைகளிலிருந்து பக்கவாட்டில் எழும் ஒரு அம்பல். பைலோஸ் காம்புகளில் சிறிய பச்சை நிற பூக்கள். பழங்கள் காப்ஸ்யூல்கள், தலைகீழ் வடிவமானவை மற்றும் சற்று சுருக்கப்பட்டவை.</v>
      </c>
      <c r="R62" s="4" t="s">
        <v>778</v>
      </c>
      <c r="S62" s="3" t="str">
        <f ca="1">IFERROR(__xludf.DUMMYFUNCTION("GOOGLETRANSLATE(T62,""en"",""ta"")"),"#VALUE!")</f>
        <v>#VALUE!</v>
      </c>
      <c r="T62" s="3"/>
      <c r="U62" s="3" t="str">
        <f ca="1">IFERROR(__xludf.DUMMYFUNCTION("GOOGLETRANSLATE(V62,""en"",""ta"")"),"#VALUE!")</f>
        <v>#VALUE!</v>
      </c>
      <c r="V62" s="3"/>
      <c r="W62" s="3" t="str">
        <f ca="1">IFERROR(__xludf.DUMMYFUNCTION("GOOGLETRANSLATE(X62,""en"",""ta"")"),"#VALUE!")</f>
        <v>#VALUE!</v>
      </c>
      <c r="X62" s="3"/>
      <c r="Y62" s="3" t="str">
        <f ca="1">IFERROR(__xludf.DUMMYFUNCTION("GOOGLETRANSLATE(Z62,""en"",""ta"")"),"#VALUE!")</f>
        <v>#VALUE!</v>
      </c>
      <c r="Z62" s="3"/>
      <c r="AA62" s="3" t="str">
        <f ca="1">IFERROR(__xludf.DUMMYFUNCTION("GOOGLETRANSLATE(AB62,""en"",""ta"")"),"#VALUE!")</f>
        <v>#VALUE!</v>
      </c>
      <c r="AB62" s="3"/>
      <c r="AC62" s="3" t="str">
        <f ca="1">IFERROR(__xludf.DUMMYFUNCTION("GOOGLETRANSLATE(AD62,""en"",""ta"")"),"#VALUE!")</f>
        <v>#VALUE!</v>
      </c>
      <c r="AD62" s="3"/>
      <c r="AE62" s="3" t="str">
        <f ca="1">IFERROR(__xludf.DUMMYFUNCTION("GOOGLETRANSLATE(AF62,""en"",""ta"")"),"#VALUE!")</f>
        <v>#VALUE!</v>
      </c>
      <c r="AF62" s="3"/>
      <c r="AG62" s="3" t="str">
        <f ca="1">IFERROR(__xludf.DUMMYFUNCTION("GOOGLETRANSLATE(AH62,""en"",""ta"")"),"#VALUE!")</f>
        <v>#VALUE!</v>
      </c>
      <c r="AH62" s="3"/>
      <c r="AI62" s="3" t="str">
        <f ca="1">IFERROR(__xludf.DUMMYFUNCTION("GOOGLETRANSLATE(AJ62,""en"",""ta"")"),"#VALUE!")</f>
        <v>#VALUE!</v>
      </c>
      <c r="AJ62" s="3"/>
      <c r="AK62" s="3" t="str">
        <f ca="1">IFERROR(__xludf.DUMMYFUNCTION("GOOGLETRANSLATE(AL62,""en"",""ta"")"),"#VALUE!")</f>
        <v>#VALUE!</v>
      </c>
      <c r="AL62" s="3"/>
      <c r="AM62" s="3" t="str">
        <f ca="1">IFERROR(__xludf.DUMMYFUNCTION("GOOGLETRANSLATE(AN62,""en"",""ta"")"),"#VALUE!")</f>
        <v>#VALUE!</v>
      </c>
      <c r="AN62" s="3"/>
      <c r="AO62" s="3" t="str">
        <f ca="1">IFERROR(__xludf.DUMMYFUNCTION("GOOGLETRANSLATE(AP62,""en"",""ta"")"),"#VALUE!")</f>
        <v>#VALUE!</v>
      </c>
      <c r="AP62" s="3"/>
      <c r="AQ62" s="3"/>
      <c r="AR62" s="3" t="str">
        <f ca="1">IFERROR(__xludf.DUMMYFUNCTION("GOOGLETRANSLATE(AS62,""en"",""ta"")"),"துவர்ப்பு மருந்து, மலமிளக்கி, வயிற்று வலி நிவாரணி, டானிக், கார்மினேட்டிவ், டீப்ஸ்ட்ரூயண்ட், சோலாகோக், ஆஸ்துமா எதிர்ப்பு, பாலுணர்வூக்கி மற்றும் நரம்பு தளர்ச்சி நிவாரணி.")</f>
        <v>துவர்ப்பு மருந்து, மலமிளக்கி, வயிற்று வலி நிவாரணி, டானிக், கார்மினேட்டிவ், டீப்ஸ்ட்ரூயண்ட், சோலாகோக், ஆஸ்துமா எதிர்ப்பு, பாலுணர்வூக்கி மற்றும் நரம்பு தளர்ச்சி நிவாரணி.</v>
      </c>
      <c r="AS62" s="4" t="s">
        <v>779</v>
      </c>
      <c r="AT62" s="3" t="str">
        <f ca="1">IFERROR(__xludf.DUMMYFUNCTION("GOOGLETRANSLATE(AU62,""en"",""ta"")"),"ஆவியாகும் மற்றும் அத்தியாவசிய எண்ணெய், அகரோல், செலினீன், அகரோஸ்பிரால், ஹைட்ராக்ஸிஅகாரிஃபிலோன், லிரியோடெனைன் மற்றும் ஏ &amp; பி-அகாரோஃபுரான்,")</f>
        <v>ஆவியாகும் மற்றும் அத்தியாவசிய எண்ணெய், அகரோல், செலினீன், அகரோஸ்பிரால், ஹைட்ராக்ஸிஅகாரிஃபிலோன், லிரியோடெனைன் மற்றும் ஏ &amp; பி-அகாரோஃபுரான்,</v>
      </c>
      <c r="AU62" s="4" t="s">
        <v>780</v>
      </c>
      <c r="AV62" s="3"/>
      <c r="AW62" s="3" t="str">
        <f ca="1">IFERROR(__xludf.DUMMYFUNCTION("GOOGLETRANSLATE(AX62,""en"",""ta"")"),"மரப் பொடியை பேஸ்டாக உருவாக்கி, 
வாத நோய்க்கு வெளிப்புறமாகப் பயன்படுத்தப்படுகிறது.")</f>
        <v>மரப் பொடியை பேஸ்டாக உருவாக்கி, 
வாத நோய்க்கு வெளிப்புறமாகப் பயன்படுத்தப்படுகிறது.</v>
      </c>
      <c r="AX62" s="4" t="s">
        <v>781</v>
      </c>
      <c r="AY62" s="3"/>
      <c r="AZ62" s="3"/>
      <c r="BA62" s="3"/>
      <c r="BB62" s="3"/>
      <c r="BC62" s="3"/>
      <c r="BD62" s="3"/>
      <c r="BE62" s="3"/>
      <c r="BF62" s="3"/>
    </row>
    <row r="63" spans="1:58" ht="84" x14ac:dyDescent="0.15">
      <c r="A63" s="3">
        <v>62</v>
      </c>
      <c r="B63" s="3" t="str">
        <f ca="1">IFERROR(__xludf.DUMMYFUNCTION("GOOGLETRANSLATE(C63,""en"",""ta"")"),"அராச்சிஸ் ஹைபோகியா")</f>
        <v>அராச்சிஸ் ஹைபோகியா</v>
      </c>
      <c r="C63" s="4" t="s">
        <v>782</v>
      </c>
      <c r="D63" s="3" t="str">
        <f ca="1">IFERROR(__xludf.DUMMYFUNCTION("GOOGLETRANSLATE(E63,""en"",""ta"")"),"புக்கானகா")</f>
        <v>புக்கானகா</v>
      </c>
      <c r="E63" s="4" t="s">
        <v>783</v>
      </c>
      <c r="F63" s="3" t="str">
        <f ca="1">IFERROR(__xludf.DUMMYFUNCTION("GOOGLETRANSLATE(G63,""en"",""ta"")"),"நிலக்கடை")</f>
        <v>நிலக்கடை</v>
      </c>
      <c r="G63" s="4" t="s">
        <v>784</v>
      </c>
      <c r="H63" s="3" t="str">
        <f ca="1">IFERROR(__xludf.DUMMYFUNCTION("GOOGLETRANSLATE(I63,""en"",""ta"")"),"நிலக்கடலை")</f>
        <v>நிலக்கடலை</v>
      </c>
      <c r="I63" s="4" t="s">
        <v>785</v>
      </c>
      <c r="J63" s="3" t="str">
        <f ca="1">IFERROR(__xludf.DUMMYFUNCTION("GOOGLETRANSLATE(K63,""en"",""ta"")"),"வெரு செங்கலு")</f>
        <v>வெரு செங்கலு</v>
      </c>
      <c r="K63" s="4" t="s">
        <v>786</v>
      </c>
      <c r="L63" s="3" t="str">
        <f ca="1">IFERROR(__xludf.DUMMYFUNCTION("GOOGLETRANSLATE(M63,""en"",""ta"")"),"நெலகடேல்")</f>
        <v>நெலகடேல்</v>
      </c>
      <c r="M63" s="4" t="s">
        <v>787</v>
      </c>
      <c r="N63" s="3" t="str">
        <f ca="1">IFERROR(__xludf.DUMMYFUNCTION("GOOGLETRANSLATE(O63,""en"",""ta"")"),"முங்கிபாலி")</f>
        <v>முங்கிபாலி</v>
      </c>
      <c r="O63" s="4" t="s">
        <v>788</v>
      </c>
      <c r="P63" s="3"/>
      <c r="Q63" s="3" t="str">
        <f ca="1">IFERROR(__xludf.DUMMYFUNCTION("GOOGLETRANSLATE(R63,""en"",""ta"")"),"ஒரு சிறிய, ப்ரோஸ்ட்ரேட் பரவிய அல்லது நிமிர்ந்த வருடாந்திர மூலிகை. இலைகள், வலைப்பின்னல் நரம்புகளைக் காட்டும் சிற்றிலைகளுடன், ஓரங்களில் கூட்டுச் சேர்மமாக இருக்கும். மலர்கள் அச்சுகளில் உருவாகின்றன, மஞ்சள் நிறத்தில், நிலையான, இறக்கை மற்றும் கீல் இதழ்களுடன். ப"&amp;"ழங்கள் காய்கள் 1, 2, 3 அல்லது 4 விதைகளைக் கொண்டவை, உருளை வடிவ, கடினமான வலைப்பின்னல் மற்றும் பிரிக்கப்படாதவை.")</f>
        <v>ஒரு சிறிய, ப்ரோஸ்ட்ரேட் பரவிய அல்லது நிமிர்ந்த வருடாந்திர மூலிகை. இலைகள், வலைப்பின்னல் நரம்புகளைக் காட்டும் சிற்றிலைகளுடன், ஓரங்களில் கூட்டுச் சேர்மமாக இருக்கும். மலர்கள் அச்சுகளில் உருவாகின்றன, மஞ்சள் நிறத்தில், நிலையான, இறக்கை மற்றும் கீல் இதழ்களுடன். பழங்கள் காய்கள் 1, 2, 3 அல்லது 4 விதைகளைக் கொண்டவை, உருளை வடிவ, கடினமான வலைப்பின்னல் மற்றும் பிரிக்கப்படாதவை.</v>
      </c>
      <c r="R63" s="4" t="s">
        <v>789</v>
      </c>
      <c r="S63" s="3" t="str">
        <f ca="1">IFERROR(__xludf.DUMMYFUNCTION("GOOGLETRANSLATE(T63,""en"",""ta"")"),"#VALUE!")</f>
        <v>#VALUE!</v>
      </c>
      <c r="T63" s="3"/>
      <c r="U63" s="3" t="str">
        <f ca="1">IFERROR(__xludf.DUMMYFUNCTION("GOOGLETRANSLATE(V63,""en"",""ta"")"),"#VALUE!")</f>
        <v>#VALUE!</v>
      </c>
      <c r="V63" s="3"/>
      <c r="W63" s="3" t="str">
        <f ca="1">IFERROR(__xludf.DUMMYFUNCTION("GOOGLETRANSLATE(X63,""en"",""ta"")"),"#VALUE!")</f>
        <v>#VALUE!</v>
      </c>
      <c r="X63" s="3"/>
      <c r="Y63" s="3" t="str">
        <f ca="1">IFERROR(__xludf.DUMMYFUNCTION("GOOGLETRANSLATE(Z63,""en"",""ta"")"),"#VALUE!")</f>
        <v>#VALUE!</v>
      </c>
      <c r="Z63" s="3"/>
      <c r="AA63" s="3" t="str">
        <f ca="1">IFERROR(__xludf.DUMMYFUNCTION("GOOGLETRANSLATE(AB63,""en"",""ta"")"),"#VALUE!")</f>
        <v>#VALUE!</v>
      </c>
      <c r="AB63" s="3"/>
      <c r="AC63" s="3" t="str">
        <f ca="1">IFERROR(__xludf.DUMMYFUNCTION("GOOGLETRANSLATE(AD63,""en"",""ta"")"),"#VALUE!")</f>
        <v>#VALUE!</v>
      </c>
      <c r="AD63" s="3"/>
      <c r="AE63" s="3" t="str">
        <f ca="1">IFERROR(__xludf.DUMMYFUNCTION("GOOGLETRANSLATE(AF63,""en"",""ta"")"),"#VALUE!")</f>
        <v>#VALUE!</v>
      </c>
      <c r="AF63" s="3"/>
      <c r="AG63" s="3" t="str">
        <f ca="1">IFERROR(__xludf.DUMMYFUNCTION("GOOGLETRANSLATE(AH63,""en"",""ta"")"),"#VALUE!")</f>
        <v>#VALUE!</v>
      </c>
      <c r="AH63" s="3"/>
      <c r="AI63" s="3" t="str">
        <f ca="1">IFERROR(__xludf.DUMMYFUNCTION("GOOGLETRANSLATE(AJ63,""en"",""ta"")"),"#VALUE!")</f>
        <v>#VALUE!</v>
      </c>
      <c r="AJ63" s="3"/>
      <c r="AK63" s="3" t="str">
        <f ca="1">IFERROR(__xludf.DUMMYFUNCTION("GOOGLETRANSLATE(AL63,""en"",""ta"")"),"#VALUE!")</f>
        <v>#VALUE!</v>
      </c>
      <c r="AL63" s="3"/>
      <c r="AM63" s="3" t="str">
        <f ca="1">IFERROR(__xludf.DUMMYFUNCTION("GOOGLETRANSLATE(AN63,""en"",""ta"")"),"#VALUE!")</f>
        <v>#VALUE!</v>
      </c>
      <c r="AN63" s="3"/>
      <c r="AO63" s="3" t="str">
        <f ca="1">IFERROR(__xludf.DUMMYFUNCTION("GOOGLETRANSLATE(AP63,""en"",""ta"")"),"#VALUE!")</f>
        <v>#VALUE!</v>
      </c>
      <c r="AP63" s="3"/>
      <c r="AQ63" s="3"/>
      <c r="AR63" s="3" t="str">
        <f ca="1">IFERROR(__xludf.DUMMYFUNCTION("GOOGLETRANSLATE(AS63,""en"",""ta"")"),"பாலுணர்வூக்கி, கேலக்டோகாக், டானிக், சுத்திகரிப்பு மற்றும் மென்மையாக்கும் மருந்து.")</f>
        <v>பாலுணர்வூக்கி, கேலக்டோகாக், டானிக், சுத்திகரிப்பு மற்றும் மென்மையாக்கும் மருந்து.</v>
      </c>
      <c r="AS63" s="4" t="s">
        <v>790</v>
      </c>
      <c r="AT63" s="3" t="str">
        <f ca="1">IFERROR(__xludf.DUMMYFUNCTION("GOOGLETRANSLATE(AU63,""en"",""ta"")"),"அரச்சின், கொனராச்சின், தியாமின், நிகோடினிக் அமிலம், பயோட்டின், வைட்டமின் கே, ஏ&amp;ஜி டோகோபெரோல், கால்சியம், துத்தநாகம், மெக்னீசியம், பாஸ்பரஸ், பி-சிட்டோஸ்டெரால், லிக்னோசெரிக், லினோலிக் மற்றும் அராச்சிட் அமிலங்கள்.")</f>
        <v>அரச்சின், கொனராச்சின், தியாமின், நிகோடினிக் அமிலம், பயோட்டின், வைட்டமின் கே, ஏ&amp;ஜி டோகோபெரோல், கால்சியம், துத்தநாகம், மெக்னீசியம், பாஸ்பரஸ், பி-சிட்டோஸ்டெரால், லிக்னோசெரிக், லினோலிக் மற்றும் அராச்சிட் அமிலங்கள்.</v>
      </c>
      <c r="AU63" s="4" t="s">
        <v>791</v>
      </c>
      <c r="AV63" s="3"/>
      <c r="AW63" s="3" t="str">
        <f ca="1">IFERROR(__xludf.DUMMYFUNCTION("GOOGLETRANSLATE(AX63,""en"",""ta"")"),"சிஸ்டிடிஸில் பசுவின் பாலுடன் சில துளிகள் எண்ணெய் கலந்து கொடுக்கப்படுகிறது. விதைகள் அதன் ஊட்டச்சத்து மதிப்புக்கு நன்கு அறியப்பட்டவை.")</f>
        <v>சிஸ்டிடிஸில் பசுவின் பாலுடன் சில துளிகள் எண்ணெய் கலந்து கொடுக்கப்படுகிறது. விதைகள் அதன் ஊட்டச்சத்து மதிப்புக்கு நன்கு அறியப்பட்டவை.</v>
      </c>
      <c r="AX63" s="4" t="s">
        <v>792</v>
      </c>
      <c r="AY63" s="3"/>
      <c r="AZ63" s="3"/>
      <c r="BA63" s="3"/>
      <c r="BB63" s="3"/>
      <c r="BC63" s="3"/>
      <c r="BD63" s="3"/>
      <c r="BE63" s="3"/>
      <c r="BF63" s="3"/>
    </row>
    <row r="64" spans="1:58" ht="56" x14ac:dyDescent="0.15">
      <c r="A64" s="3">
        <v>63</v>
      </c>
      <c r="B64" s="3" t="str">
        <f ca="1">IFERROR(__xludf.DUMMYFUNCTION("GOOGLETRANSLATE(C64,""en"",""ta"")"),"அரேகா கேட்டெச்சு")</f>
        <v>அரேகா கேட்டெச்சு</v>
      </c>
      <c r="C64" s="4" t="s">
        <v>793</v>
      </c>
      <c r="D64" s="3" t="str">
        <f ca="1">IFERROR(__xludf.DUMMYFUNCTION("GOOGLETRANSLATE(E64,""en"",""ta"")"),"புகா")</f>
        <v>புகா</v>
      </c>
      <c r="E64" s="4" t="s">
        <v>794</v>
      </c>
      <c r="F64" s="3" t="str">
        <f ca="1">IFERROR(__xludf.DUMMYFUNCTION("GOOGLETRANSLATE(G64,""en"",""ta"")"),"பக்கு")</f>
        <v>பக்கு</v>
      </c>
      <c r="G64" s="4" t="s">
        <v>795</v>
      </c>
      <c r="H64" s="3" t="str">
        <f ca="1">IFERROR(__xludf.DUMMYFUNCTION("GOOGLETRANSLATE(I64,""en"",""ta"")"),"வெற்றிலை பனை")</f>
        <v>வெற்றிலை பனை</v>
      </c>
      <c r="I64" s="4" t="s">
        <v>796</v>
      </c>
      <c r="J64" s="3" t="str">
        <f ca="1">IFERROR(__xludf.DUMMYFUNCTION("GOOGLETRANSLATE(K64,""en"",""ta"")"),"வக்கா")</f>
        <v>வக்கா</v>
      </c>
      <c r="K64" s="4" t="s">
        <v>797</v>
      </c>
      <c r="L64" s="3" t="str">
        <f ca="1">IFERROR(__xludf.DUMMYFUNCTION("GOOGLETRANSLATE(M64,""en"",""ta"")"),"அடக்காமரோம்")</f>
        <v>அடக்காமரோம்</v>
      </c>
      <c r="M64" s="4" t="s">
        <v>798</v>
      </c>
      <c r="N64" s="3" t="str">
        <f ca="1">IFERROR(__xludf.DUMMYFUNCTION("GOOGLETRANSLATE(O64,""en"",""ta"")"),"சுபாரி")</f>
        <v>சுபாரி</v>
      </c>
      <c r="O64" s="4" t="s">
        <v>799</v>
      </c>
      <c r="P64" s="3"/>
      <c r="Q64" s="3" t="str">
        <f ca="1">IFERROR(__xludf.DUMMYFUNCTION("GOOGLETRANSLATE(R64,""en"",""ta"")"),"உயரமான, மெல்லிய, கிளைகளற்ற மரம், பின்னேட் இலைகளின் கிரீடத்துடன், தண்டு வளைய வடிவானது. இலைகள் ஏராளமான சிற்றிலைகளைக் கொண்டவை. பூக்கள் ஸ்பேடிக் மஞ்சரியில், ஆண் பூக்கள் சிறியவை, ஏராளமானவை, காம்பற்றவை, பெண் பூக்கள் மிகப் பெரியவை மற்றும் ஸ்பேடிக்ஸின் ஒவ்வொரு கி"&amp;"ளைகளின் அடிப்பகுதியிலும் சில. பழங்கள் முட்டை வடிவானது, நீள்வட்டமானது, மென்மையானது, பழுத்தவுடன் கருஞ்சிவப்பு நிறமானது.")</f>
        <v>உயரமான, மெல்லிய, கிளைகளற்ற மரம், பின்னேட் இலைகளின் கிரீடத்துடன், தண்டு வளைய வடிவானது. இலைகள் ஏராளமான சிற்றிலைகளைக் கொண்டவை. பூக்கள் ஸ்பேடிக் மஞ்சரியில், ஆண் பூக்கள் சிறியவை, ஏராளமானவை, காம்பற்றவை, பெண் பூக்கள் மிகப் பெரியவை மற்றும் ஸ்பேடிக்ஸின் ஒவ்வொரு கிளைகளின் அடிப்பகுதியிலும் சில. பழங்கள் முட்டை வடிவானது, நீள்வட்டமானது, மென்மையானது, பழுத்தவுடன் கருஞ்சிவப்பு நிறமானது.</v>
      </c>
      <c r="R64" s="4" t="s">
        <v>800</v>
      </c>
      <c r="S64" s="3" t="str">
        <f ca="1">IFERROR(__xludf.DUMMYFUNCTION("GOOGLETRANSLATE(T64,""en"",""ta"")"),"உதடுகளில் வலி, கல்லீரல் கோளாறுகள்.")</f>
        <v>உதடுகளில் வலி, கல்லீரல் கோளாறுகள்.</v>
      </c>
      <c r="T64" s="4" t="s">
        <v>801</v>
      </c>
      <c r="U64" s="3" t="str">
        <f ca="1">IFERROR(__xludf.DUMMYFUNCTION("GOOGLETRANSLATE(V64,""en"",""ta"")"),"#VALUE!")</f>
        <v>#VALUE!</v>
      </c>
      <c r="V64" s="3"/>
      <c r="W64" s="3" t="str">
        <f ca="1">IFERROR(__xludf.DUMMYFUNCTION("GOOGLETRANSLATE(X64,""en"",""ta"")"),"லும்பாகோ.")</f>
        <v>லும்பாகோ.</v>
      </c>
      <c r="X64" s="4" t="s">
        <v>802</v>
      </c>
      <c r="Y64" s="3" t="str">
        <f ca="1">IFERROR(__xludf.DUMMYFUNCTION("GOOGLETRANSLATE(Z64,""en"",""ta"")"),"#VALUE!")</f>
        <v>#VALUE!</v>
      </c>
      <c r="Z64" s="3"/>
      <c r="AA64" s="3" t="str">
        <f ca="1">IFERROR(__xludf.DUMMYFUNCTION("GOOGLETRANSLATE(AB64,""en"",""ta"")"),"#VALUE!")</f>
        <v>#VALUE!</v>
      </c>
      <c r="AB64" s="3"/>
      <c r="AC64" s="3" t="str">
        <f ca="1">IFERROR(__xludf.DUMMYFUNCTION("GOOGLETRANSLATE(AD64,""en"",""ta"")"),"#VALUE!")</f>
        <v>#VALUE!</v>
      </c>
      <c r="AD64" s="3"/>
      <c r="AE64" s="3" t="str">
        <f ca="1">IFERROR(__xludf.DUMMYFUNCTION("GOOGLETRANSLATE(AF64,""en"",""ta"")"),"#VALUE!")</f>
        <v>#VALUE!</v>
      </c>
      <c r="AF64" s="3"/>
      <c r="AG64" s="3" t="str">
        <f ca="1">IFERROR(__xludf.DUMMYFUNCTION("GOOGLETRANSLATE(AH64,""en"",""ta"")"),"#VALUE!")</f>
        <v>#VALUE!</v>
      </c>
      <c r="AH64" s="3"/>
      <c r="AI64" s="3" t="str">
        <f ca="1">IFERROR(__xludf.DUMMYFUNCTION("GOOGLETRANSLATE(AJ64,""en"",""ta"")"),"#VALUE!")</f>
        <v>#VALUE!</v>
      </c>
      <c r="AJ64" s="3"/>
      <c r="AK64" s="3" t="str">
        <f ca="1">IFERROR(__xludf.DUMMYFUNCTION("GOOGLETRANSLATE(AL64,""en"",""ta"")"),"#VALUE!")</f>
        <v>#VALUE!</v>
      </c>
      <c r="AL64" s="3"/>
      <c r="AM64" s="3" t="str">
        <f ca="1">IFERROR(__xludf.DUMMYFUNCTION("GOOGLETRANSLATE(AN64,""en"",""ta"")"),"#VALUE!")</f>
        <v>#VALUE!</v>
      </c>
      <c r="AN64" s="3"/>
      <c r="AO64" s="3" t="str">
        <f ca="1">IFERROR(__xludf.DUMMYFUNCTION("GOOGLETRANSLATE(AP64,""en"",""ta"")"),"#VALUE!")</f>
        <v>#VALUE!</v>
      </c>
      <c r="AP64" s="3"/>
      <c r="AQ64" s="3"/>
      <c r="AR64" s="3" t="str">
        <f ca="1">IFERROR(__xludf.DUMMYFUNCTION("GOOGLETRANSLATE(AS64,""en"",""ta"")"),"குளிர்ச்சியூட்டும், துவர்ப்பு மருந்து, செரிமான மலமிளக்கி, புழுக்களைக் கொல்லும், பாலுணர்வூக்கி, நரம்பு டானிக், எம்மெனாகோக், வெர்மிஃபக் மற்றும் சியாலோகோக்.")</f>
        <v>குளிர்ச்சியூட்டும், துவர்ப்பு மருந்து, செரிமான மலமிளக்கி, புழுக்களைக் கொல்லும், பாலுணர்வூக்கி, நரம்பு டானிக், எம்மெனாகோக், வெர்மிஃபக் மற்றும் சியாலோகோக்.</v>
      </c>
      <c r="AS64" s="4" t="s">
        <v>803</v>
      </c>
      <c r="AT64" s="3" t="str">
        <f ca="1">IFERROR(__xludf.DUMMYFUNCTION("GOOGLETRANSLATE(AU64,""en"",""ta"")"),"குளிர்ச்சியூட்டும், துவர்ப்பு மருந்து, செரிமான மலமிளக்கி, புழுக்களைக் கொல்லும், பாலுணர்வூக்கி, நரம்பு டானிக், எம்மெனாகோக், வெர்மிஃபக் மற்றும் சியாலோகோக்.")</f>
        <v>குளிர்ச்சியூட்டும், துவர்ப்பு மருந்து, செரிமான மலமிளக்கி, புழுக்களைக் கொல்லும், பாலுணர்வூக்கி, நரம்பு டானிக், எம்மெனாகோக், வெர்மிஃபக் மற்றும் சியாலோகோக்.</v>
      </c>
      <c r="AU64" s="4" t="s">
        <v>803</v>
      </c>
      <c r="AV64" s="3"/>
      <c r="AW64" s="3" t="str">
        <f ca="1">IFERROR(__xludf.DUMMYFUNCTION("GOOGLETRANSLATE(AX64,""en"",""ta"")"),"இளம் கொட்டைகளை எலுமிச்சை சாறுடன் அரைத்து குடல் பிரச்சனைகளுக்கு உள்ளுக்கு கொடுக்க வேண்டும். உதடு புண்ணுக்கு வேரின் கஷாயம் பயன்படுத்தப்படுகிறது.")</f>
        <v>இளம் கொட்டைகளை எலுமிச்சை சாறுடன் அரைத்து குடல் பிரச்சனைகளுக்கு உள்ளுக்கு கொடுக்க வேண்டும். உதடு புண்ணுக்கு வேரின் கஷாயம் பயன்படுத்தப்படுகிறது.</v>
      </c>
      <c r="AX64" s="4" t="s">
        <v>804</v>
      </c>
      <c r="AY64" s="3"/>
      <c r="AZ64" s="3"/>
      <c r="BA64" s="3"/>
      <c r="BB64" s="3"/>
      <c r="BC64" s="3"/>
      <c r="BD64" s="3"/>
      <c r="BE64" s="3"/>
      <c r="BF64" s="3"/>
    </row>
    <row r="65" spans="1:58" ht="42" x14ac:dyDescent="0.15">
      <c r="A65" s="3">
        <v>64</v>
      </c>
      <c r="B65" s="3" t="str">
        <f ca="1">IFERROR(__xludf.DUMMYFUNCTION("GOOGLETRANSLATE(C65,""en"",""ta"")"),"ஆர்கெமோன் மெக்ஸிகானா")</f>
        <v>ஆர்கெமோன் மெக்ஸிகானா</v>
      </c>
      <c r="C65" s="4" t="s">
        <v>805</v>
      </c>
      <c r="D65" s="3" t="str">
        <f ca="1">IFERROR(__xludf.DUMMYFUNCTION("GOOGLETRANSLATE(E65,""en"",""ta"")"),"ஸ்வர்ணக்ஷிரி")</f>
        <v>ஸ்வர்ணக்ஷிரி</v>
      </c>
      <c r="E65" s="4" t="s">
        <v>806</v>
      </c>
      <c r="F65" s="3" t="str">
        <f ca="1">IFERROR(__xludf.DUMMYFUNCTION("GOOGLETRANSLATE(G65,""en"",""ta"")"),"பிரம்ம தண்டு")</f>
        <v>பிரம்ம தண்டு</v>
      </c>
      <c r="G65" s="4" t="s">
        <v>807</v>
      </c>
      <c r="H65" s="3" t="str">
        <f ca="1">IFERROR(__xludf.DUMMYFUNCTION("GOOGLETRANSLATE(I65,""en"",""ta"")"),"முட்கள் நிறைந்த பாப்பி")</f>
        <v>முட்கள் நிறைந்த பாப்பி</v>
      </c>
      <c r="I65" s="4" t="s">
        <v>808</v>
      </c>
      <c r="J65" s="3" t="str">
        <f ca="1">IFERROR(__xludf.DUMMYFUNCTION("GOOGLETRANSLATE(K65,""en"",""ta"")"),"பிரும்ம தந்தி")</f>
        <v>பிரும்ம தந்தி</v>
      </c>
      <c r="K65" s="4" t="s">
        <v>809</v>
      </c>
      <c r="L65" s="3" t="str">
        <f ca="1">IFERROR(__xludf.DUMMYFUNCTION("GOOGLETRANSLATE(M65,""en"",""ta"")"),"பொன்னும்மட்டம்")</f>
        <v>பொன்னும்மட்டம்</v>
      </c>
      <c r="M65" s="4" t="s">
        <v>810</v>
      </c>
      <c r="N65" s="3" t="str">
        <f ca="1">IFERROR(__xludf.DUMMYFUNCTION("GOOGLETRANSLATE(O65,""en"",""ta"")"),"பிலா-தாதுரா")</f>
        <v>பிலா-தாதுரா</v>
      </c>
      <c r="O65" s="4" t="s">
        <v>811</v>
      </c>
      <c r="P65" s="3"/>
      <c r="Q65" s="3" t="str">
        <f ca="1">IFERROR(__xludf.DUMMYFUNCTION("GOOGLETRANSLATE(R65,""en"",""ta"")"),"மஞ்சள் சாறுடன் கூடிய நிமிர்ந்த, முட்கள் நிறைந்த வருடாந்திர மூலிகை. இலைகள் எளிமையானவை, காம்பற்றவை, அரை ஆம்ப்ளெக்ஸிகல், சைனுவேட், பின்னாடிஃபிட், வெள்ளை நிற கோடுகளுடன் பல வண்ணங்களில் காணப்படும். மலர்கள் மஞ்சள் நிறத்தில், முனையத்தில், தனித்த சைம். பழங்கள் வால"&amp;"்வுகளால் மேலே குறுகிய திறப்புடன் இருக்கும். விதைகள் ஏராளமாக இருக்கும்.")</f>
        <v>மஞ்சள் சாறுடன் கூடிய நிமிர்ந்த, முட்கள் நிறைந்த வருடாந்திர மூலிகை. இலைகள் எளிமையானவை, காம்பற்றவை, அரை ஆம்ப்ளெக்ஸிகல், சைனுவேட், பின்னாடிஃபிட், வெள்ளை நிற கோடுகளுடன் பல வண்ணங்களில் காணப்படும். மலர்கள் மஞ்சள் நிறத்தில், முனையத்தில், தனித்த சைம். பழங்கள் வால்வுகளால் மேலே குறுகிய திறப்புடன் இருக்கும். விதைகள் ஏராளமாக இருக்கும்.</v>
      </c>
      <c r="R65" s="4" t="s">
        <v>812</v>
      </c>
      <c r="S65" s="3" t="str">
        <f ca="1">IFERROR(__xludf.DUMMYFUNCTION("GOOGLETRANSLATE(T65,""en"",""ta"")"),"#VALUE!")</f>
        <v>#VALUE!</v>
      </c>
      <c r="T65" s="3"/>
      <c r="U65" s="3" t="str">
        <f ca="1">IFERROR(__xludf.DUMMYFUNCTION("GOOGLETRANSLATE(V65,""en"",""ta"")"),"#VALUE!")</f>
        <v>#VALUE!</v>
      </c>
      <c r="V65" s="3"/>
      <c r="W65" s="3" t="str">
        <f ca="1">IFERROR(__xludf.DUMMYFUNCTION("GOOGLETRANSLATE(X65,""en"",""ta"")"),"#VALUE!")</f>
        <v>#VALUE!</v>
      </c>
      <c r="X65" s="3"/>
      <c r="Y65" s="3" t="str">
        <f ca="1">IFERROR(__xludf.DUMMYFUNCTION("GOOGLETRANSLATE(Z65,""en"",""ta"")"),"#VALUE!")</f>
        <v>#VALUE!</v>
      </c>
      <c r="Z65" s="3"/>
      <c r="AA65" s="3" t="str">
        <f ca="1">IFERROR(__xludf.DUMMYFUNCTION("GOOGLETRANSLATE(AB65,""en"",""ta"")"),"#VALUE!")</f>
        <v>#VALUE!</v>
      </c>
      <c r="AB65" s="3"/>
      <c r="AC65" s="3" t="str">
        <f ca="1">IFERROR(__xludf.DUMMYFUNCTION("GOOGLETRANSLATE(AD65,""en"",""ta"")"),"#VALUE!")</f>
        <v>#VALUE!</v>
      </c>
      <c r="AD65" s="3"/>
      <c r="AE65" s="3" t="str">
        <f ca="1">IFERROR(__xludf.DUMMYFUNCTION("GOOGLETRANSLATE(AF65,""en"",""ta"")"),"#VALUE!")</f>
        <v>#VALUE!</v>
      </c>
      <c r="AF65" s="3"/>
      <c r="AG65" s="3" t="str">
        <f ca="1">IFERROR(__xludf.DUMMYFUNCTION("GOOGLETRANSLATE(AH65,""en"",""ta"")"),"#VALUE!")</f>
        <v>#VALUE!</v>
      </c>
      <c r="AH65" s="3"/>
      <c r="AI65" s="3" t="str">
        <f ca="1">IFERROR(__xludf.DUMMYFUNCTION("GOOGLETRANSLATE(AJ65,""en"",""ta"")"),"#VALUE!")</f>
        <v>#VALUE!</v>
      </c>
      <c r="AJ65" s="3"/>
      <c r="AK65" s="3" t="str">
        <f ca="1">IFERROR(__xludf.DUMMYFUNCTION("GOOGLETRANSLATE(AL65,""en"",""ta"")"),"#VALUE!")</f>
        <v>#VALUE!</v>
      </c>
      <c r="AL65" s="3"/>
      <c r="AM65" s="3" t="str">
        <f ca="1">IFERROR(__xludf.DUMMYFUNCTION("GOOGLETRANSLATE(AN65,""en"",""ta"")"),"#VALUE!")</f>
        <v>#VALUE!</v>
      </c>
      <c r="AN65" s="3"/>
      <c r="AO65" s="3" t="str">
        <f ca="1">IFERROR(__xludf.DUMMYFUNCTION("GOOGLETRANSLATE(AP65,""en"",""ta"")"),"#VALUE!")</f>
        <v>#VALUE!</v>
      </c>
      <c r="AP65" s="3"/>
      <c r="AQ65" s="3"/>
      <c r="AR65" s="3" t="str">
        <f ca="1">IFERROR(__xludf.DUMMYFUNCTION("GOOGLETRANSLATE(AS65,""en"",""ta"")"),"வியர்வை நீக்கி, சிறுநீர் பெருக்கி, மாற்று மருந்து, அனோடைன், மலமிளக்கி மற்றும் ஹிப்னாடிக்.")</f>
        <v>வியர்வை நீக்கி, சிறுநீர் பெருக்கி, மாற்று மருந்து, அனோடைன், மலமிளக்கி மற்றும் ஹிப்னாடிக்.</v>
      </c>
      <c r="AS65" s="4" t="s">
        <v>813</v>
      </c>
      <c r="AT65" s="3" t="str">
        <f ca="1">IFERROR(__xludf.DUMMYFUNCTION("GOOGLETRANSLATE(AU65,""en"",""ta"")"),"புரோட்டோபைன், பெர்பெரின், லாரிக் அமிலம், மிரிஸ்டிக் அமிலம், பால்மிடிக் அமிலம், ஒலிக் அமிலம்,")</f>
        <v>புரோட்டோபைன், பெர்பெரின், லாரிக் அமிலம், மிரிஸ்டிக் அமிலம், பால்மிடிக் அமிலம், ஒலிக் அமிலம்,</v>
      </c>
      <c r="AU65" s="4" t="s">
        <v>814</v>
      </c>
      <c r="AV65" s="3"/>
      <c r="AW65" s="3" t="str">
        <f ca="1">IFERROR(__xludf.DUMMYFUNCTION("GOOGLETRANSLATE(AX65,""en"",""ta"")"),"முழு தாவரத்தின் கஷாயம் மஞ்சள் காமாலை, கோனோரியா மற்றும் தொழுநோய்க்கு பயனுள்ளதாக இருக்கும். தாவரத்தின் லேடெக்ஸ் 
சிபிலிஸ் மற்றும் தோல் நோய்களுக்கு சிகிச்சையளிப்பதில் பயனுள்ளதாக இருக்கும்.")</f>
        <v>முழு தாவரத்தின் கஷாயம் மஞ்சள் காமாலை, கோனோரியா மற்றும் தொழுநோய்க்கு பயனுள்ளதாக இருக்கும். தாவரத்தின் லேடெக்ஸ் 
சிபிலிஸ் மற்றும் தோல் நோய்களுக்கு சிகிச்சையளிப்பதில் பயனுள்ளதாக இருக்கும்.</v>
      </c>
      <c r="AX65" s="4" t="s">
        <v>815</v>
      </c>
      <c r="AY65" s="3"/>
      <c r="AZ65" s="3"/>
      <c r="BA65" s="3"/>
      <c r="BB65" s="3"/>
      <c r="BC65" s="3"/>
      <c r="BD65" s="3"/>
      <c r="BE65" s="3"/>
      <c r="BF65" s="3"/>
    </row>
    <row r="66" spans="1:58" ht="70" x14ac:dyDescent="0.15">
      <c r="A66" s="3">
        <v>65</v>
      </c>
      <c r="B66" s="3" t="str">
        <f ca="1">IFERROR(__xludf.DUMMYFUNCTION("GOOGLETRANSLATE(C66,""en"",""ta"")"),"ஆர்கிரியா நெர்வோசா")</f>
        <v>ஆர்கிரியா நெர்வோசா</v>
      </c>
      <c r="C66" s="4" t="s">
        <v>816</v>
      </c>
      <c r="D66" s="3" t="str">
        <f ca="1">IFERROR(__xludf.DUMMYFUNCTION("GOOGLETRANSLATE(E66,""en"",""ta"")"),"விருத்த தரகா")</f>
        <v>விருத்த தரகா</v>
      </c>
      <c r="E66" s="4" t="s">
        <v>817</v>
      </c>
      <c r="F66" s="3" t="str">
        <f ca="1">IFERROR(__xludf.DUMMYFUNCTION("GOOGLETRANSLATE(G66,""en"",""ta"")"),"காதர் பாலை")</f>
        <v>காதர் பாலை</v>
      </c>
      <c r="G66" s="4" t="s">
        <v>818</v>
      </c>
      <c r="H66" s="3" t="str">
        <f ca="1">IFERROR(__xludf.DUMMYFUNCTION("GOOGLETRANSLATE(I66,""en"",""ta"")"),"யானை ஊர்ந்து செல்லும் பறவை")</f>
        <v>யானை ஊர்ந்து செல்லும் பறவை</v>
      </c>
      <c r="I66" s="4" t="s">
        <v>819</v>
      </c>
      <c r="J66" s="3" t="str">
        <f ca="1">IFERROR(__xludf.DUMMYFUNCTION("GOOGLETRANSLATE(K66,""en"",""ta"")"),"சமுத்திர பாலா")</f>
        <v>சமுத்திர பாலா</v>
      </c>
      <c r="K66" s="4" t="s">
        <v>820</v>
      </c>
      <c r="L66" s="3" t="str">
        <f ca="1">IFERROR(__xludf.DUMMYFUNCTION("GOOGLETRANSLATE(M66,""en"",""ta"")"),"மாரிக்குன்னி")</f>
        <v>மாரிக்குன்னி</v>
      </c>
      <c r="M66" s="4" t="s">
        <v>821</v>
      </c>
      <c r="N66" s="3" t="str">
        <f ca="1">IFERROR(__xludf.DUMMYFUNCTION("GOOGLETRANSLATE(O66,""en"",""ta"")"),"சமுந்திர-கா-பட்")</f>
        <v>சமுந்திர-கா-பட்</v>
      </c>
      <c r="O66" s="4" t="s">
        <v>822</v>
      </c>
      <c r="P66" s="3"/>
      <c r="Q66" s="3" t="str">
        <f ca="1">IFERROR(__xludf.DUMMYFUNCTION("GOOGLETRANSLATE(R66,""en"",""ta"")"),"மரத்தாலான ஏறும் தாவரம், தண்டு தடிமனாகவும், வெள்ளை நிறமாகவும், உரோமங்களுடனும் இருக்கும். இலைகள் எளிமையானவை, முட்டை வடிவ இதய வடிவிலானவை, மேலே உரோமங்களற்றவை, கீழே வெள்ளை நிற உரோமங்களுடையவை. பூக்கள் ஊதா நிறத்தில், நீண்ட மஞ்சரித்தண்டு போன்றது. பழங்கள் கோள வடிவ"&amp;"மாகவும், உலர்ந்து பிரிந்தும் இருக்கும்.")</f>
        <v>மரத்தாலான ஏறும் தாவரம், தண்டு தடிமனாகவும், வெள்ளை நிறமாகவும், உரோமங்களுடனும் இருக்கும். இலைகள் எளிமையானவை, முட்டை வடிவ இதய வடிவிலானவை, மேலே உரோமங்களற்றவை, கீழே வெள்ளை நிற உரோமங்களுடையவை. பூக்கள் ஊதா நிறத்தில், நீண்ட மஞ்சரித்தண்டு போன்றது. பழங்கள் கோள வடிவமாகவும், உலர்ந்து பிரிந்தும் இருக்கும்.</v>
      </c>
      <c r="R66" s="4" t="s">
        <v>823</v>
      </c>
      <c r="S66" s="3" t="str">
        <f ca="1">IFERROR(__xludf.DUMMYFUNCTION("GOOGLETRANSLATE(T66,""en"",""ta"")"),"பசியின்மை, வாத நோய், பெருங்குடல் அழற்சி, டிஸ்ஸ்பெசியா, வாய்வு, ஆஸ்கைட்ஸ் மற்றும் மூல நோய்.")</f>
        <v>பசியின்மை, வாத நோய், பெருங்குடல் அழற்சி, டிஸ்ஸ்பெசியா, வாய்வு, ஆஸ்கைட்ஸ் மற்றும் மூல நோய்.</v>
      </c>
      <c r="T66" s="4" t="s">
        <v>824</v>
      </c>
      <c r="U66" s="3" t="str">
        <f ca="1">IFERROR(__xludf.DUMMYFUNCTION("GOOGLETRANSLATE(V66,""en"",""ta"")"),"#VALUE!")</f>
        <v>#VALUE!</v>
      </c>
      <c r="V66" s="3"/>
      <c r="W66" s="3" t="str">
        <f ca="1">IFERROR(__xludf.DUMMYFUNCTION("GOOGLETRANSLATE(X66,""en"",""ta"")"),"கொப்பளங்கள், கார்பன்கிள்ஸ், ரிங்வோர்ம், எக்ஸிமா, அரிப்பு, நாள்பட்ட புண்கள் மற்றும் காயங்கள்.")</f>
        <v>கொப்பளங்கள், கார்பன்கிள்ஸ், ரிங்வோர்ம், எக்ஸிமா, அரிப்பு, நாள்பட்ட புண்கள் மற்றும் காயங்கள்.</v>
      </c>
      <c r="X66" s="4" t="s">
        <v>825</v>
      </c>
      <c r="Y66" s="3" t="str">
        <f ca="1">IFERROR(__xludf.DUMMYFUNCTION("GOOGLETRANSLATE(Z66,""en"",""ta"")"),"#VALUE!")</f>
        <v>#VALUE!</v>
      </c>
      <c r="Z66" s="3"/>
      <c r="AA66" s="3" t="str">
        <f ca="1">IFERROR(__xludf.DUMMYFUNCTION("GOOGLETRANSLATE(AB66,""en"",""ta"")"),"#VALUE!")</f>
        <v>#VALUE!</v>
      </c>
      <c r="AB66" s="3"/>
      <c r="AC66" s="3" t="str">
        <f ca="1">IFERROR(__xludf.DUMMYFUNCTION("GOOGLETRANSLATE(AD66,""en"",""ta"")"),"#VALUE!")</f>
        <v>#VALUE!</v>
      </c>
      <c r="AD66" s="3"/>
      <c r="AE66" s="3" t="str">
        <f ca="1">IFERROR(__xludf.DUMMYFUNCTION("GOOGLETRANSLATE(AF66,""en"",""ta"")"),"#VALUE!")</f>
        <v>#VALUE!</v>
      </c>
      <c r="AF66" s="3"/>
      <c r="AG66" s="3" t="str">
        <f ca="1">IFERROR(__xludf.DUMMYFUNCTION("GOOGLETRANSLATE(AH66,""en"",""ta"")"),"#VALUE!")</f>
        <v>#VALUE!</v>
      </c>
      <c r="AH66" s="3"/>
      <c r="AI66" s="3" t="str">
        <f ca="1">IFERROR(__xludf.DUMMYFUNCTION("GOOGLETRANSLATE(AJ66,""en"",""ta"")"),"#VALUE!")</f>
        <v>#VALUE!</v>
      </c>
      <c r="AJ66" s="3"/>
      <c r="AK66" s="3" t="str">
        <f ca="1">IFERROR(__xludf.DUMMYFUNCTION("GOOGLETRANSLATE(AL66,""en"",""ta"")"),"#VALUE!")</f>
        <v>#VALUE!</v>
      </c>
      <c r="AL66" s="3"/>
      <c r="AM66" s="3" t="str">
        <f ca="1">IFERROR(__xludf.DUMMYFUNCTION("GOOGLETRANSLATE(AN66,""en"",""ta"")"),"#VALUE!")</f>
        <v>#VALUE!</v>
      </c>
      <c r="AN66" s="3"/>
      <c r="AO66" s="3" t="str">
        <f ca="1">IFERROR(__xludf.DUMMYFUNCTION("GOOGLETRANSLATE(AP66,""en"",""ta"")"),"#VALUE!")</f>
        <v>#VALUE!</v>
      </c>
      <c r="AP66" s="3"/>
      <c r="AQ66" s="3"/>
      <c r="AR66" s="3" t="str">
        <f ca="1">IFERROR(__xludf.DUMMYFUNCTION("GOOGLETRANSLATE(AS66,""en"",""ta"")"),"வெப்ப ஊக்கி, மென்மையாக்கும் மருந்து, செரிமானப் பொருள், ஊக்கி, மலமிளக்கி, பாலுணர்வூக்கி மற்றும் நரம்பு மண்டல ஊக்கி.")</f>
        <v>வெப்ப ஊக்கி, மென்மையாக்கும் மருந்து, செரிமானப் பொருள், ஊக்கி, மலமிளக்கி, பாலுணர்வூக்கி மற்றும் நரம்பு மண்டல ஊக்கி.</v>
      </c>
      <c r="AS66" s="4" t="s">
        <v>826</v>
      </c>
      <c r="AT66" s="3" t="str">
        <f ca="1">IFERROR(__xludf.DUMMYFUNCTION("GOOGLETRANSLATE(AU66,""en"",""ta"")"),"எர்ஜின், பி-சிட்டோஸ்டெரால், டானின், அக்ரோகிளேவின், சானோகிளேவின் I&amp;II, எபிஃப்ரைடெலினோல், எர்கோமெட்ரின் மற்றும் எலிமோகிளேவின்.")</f>
        <v>எர்ஜின், பி-சிட்டோஸ்டெரால், டானின், அக்ரோகிளேவின், சானோகிளேவின் I&amp;II, எபிஃப்ரைடெலினோல், எர்கோமெட்ரின் மற்றும் எலிமோகிளேவின்.</v>
      </c>
      <c r="AU66" s="4" t="s">
        <v>827</v>
      </c>
      <c r="AV66" s="3"/>
      <c r="AW66" s="3" t="str">
        <f ca="1">IFERROR(__xludf.DUMMYFUNCTION("GOOGLETRANSLATE(AX66,""en"",""ta"")"),"சைனோவைடிஸ் மற்றும் சிபிலிஸில் வேர்ப் பொடியை பாலுடன் சேர்த்துக் கொடுக்கலாம். வேர்ப் பொடி ஒரு டானிக் மற்றும் மாற்றாகப் பயன்படுத்தப்படுகிறது.")</f>
        <v>சைனோவைடிஸ் மற்றும் சிபிலிஸில் வேர்ப் பொடியை பாலுடன் சேர்த்துக் கொடுக்கலாம். வேர்ப் பொடி ஒரு டானிக் மற்றும் மாற்றாகப் பயன்படுத்தப்படுகிறது.</v>
      </c>
      <c r="AX66" s="4" t="s">
        <v>828</v>
      </c>
      <c r="AY66" s="3"/>
      <c r="AZ66" s="3"/>
      <c r="BA66" s="3"/>
      <c r="BB66" s="3"/>
      <c r="BC66" s="3"/>
      <c r="BD66" s="3"/>
      <c r="BE66" s="3"/>
      <c r="BF66" s="3"/>
    </row>
    <row r="67" spans="1:58" ht="56" x14ac:dyDescent="0.15">
      <c r="A67" s="3">
        <v>66</v>
      </c>
      <c r="B67" s="3" t="str">
        <f ca="1">IFERROR(__xludf.DUMMYFUNCTION("GOOGLETRANSLATE(C67,""en"",""ta"")"),"அரிஸ்டோலோச்சியா பிராக்டீட்டா")</f>
        <v>அரிஸ்டோலோச்சியா பிராக்டீட்டா</v>
      </c>
      <c r="C67" s="4" t="s">
        <v>829</v>
      </c>
      <c r="D67" s="3" t="str">
        <f ca="1">IFERROR(__xludf.DUMMYFUNCTION("GOOGLETRANSLATE(E67,""en"",""ta"")"),"தூம பத்ரா")</f>
        <v>தூம பத்ரா</v>
      </c>
      <c r="E67" s="4" t="s">
        <v>830</v>
      </c>
      <c r="F67" s="3" t="str">
        <f ca="1">IFERROR(__xludf.DUMMYFUNCTION("GOOGLETRANSLATE(G67,""en"",""ta"")"),"ஆடு தின்ன பாலை")</f>
        <v>ஆடு தின்ன பாலை</v>
      </c>
      <c r="G67" s="4" t="s">
        <v>831</v>
      </c>
      <c r="H67" s="3" t="str">
        <f ca="1">IFERROR(__xludf.DUMMYFUNCTION("GOOGLETRANSLATE(I67,""en"",""ta"")"),"பிராக்டியேட்டட் பர்த்வோர்ட்")</f>
        <v>பிராக்டியேட்டட் பர்த்வோர்ட்</v>
      </c>
      <c r="I67" s="4" t="s">
        <v>832</v>
      </c>
      <c r="J67" s="3" t="str">
        <f ca="1">IFERROR(__xludf.DUMMYFUNCTION("GOOGLETRANSLATE(K67,""en"",""ta"")"),"கடுக குடுபா")</f>
        <v>கடுக குடுபா</v>
      </c>
      <c r="K67" s="4" t="s">
        <v>833</v>
      </c>
      <c r="L67" s="3" t="str">
        <f ca="1">IFERROR(__xludf.DUMMYFUNCTION("GOOGLETRANSLATE(M67,""en"",""ta"")"),"ஆடு தின்லப்பலா")</f>
        <v>ஆடு தின்லப்பலா</v>
      </c>
      <c r="M67" s="4" t="s">
        <v>834</v>
      </c>
      <c r="N67" s="3" t="str">
        <f ca="1">IFERROR(__xludf.DUMMYFUNCTION("GOOGLETRANSLATE(O67,""en"",""ta"")"),"கிரமர்")</f>
        <v>கிரமர்</v>
      </c>
      <c r="O67" s="4" t="s">
        <v>835</v>
      </c>
      <c r="P67" s="3"/>
      <c r="Q67" s="3" t="str">
        <f ca="1">IFERROR(__xludf.DUMMYFUNCTION("GOOGLETRANSLATE(R67,""en"",""ta"")"),"ஒரு வற்றாத மெல்லிய, சாய்வான உரோமங்களற்ற கொடி. இலைகள் எளிமையானவை, அளவு மற்றும் வடிவத்தில் மாறுபடும், அகலமானவை, மாற்று வடிவிலானவை, பெரும்பாலும் மடல்களாக இருக்கும், அடிப்பகுதியில் விரிந்த இலைக்காம்பு. மலர்கள் ஒரு பெரிய வட்ட வடிவத் துண்டுடன் தனித்திருக்கும். "&amp;"பழங்கள் செப்டிசைடல் காப்ஸ்யூல், நீள்வட்டம், நீள்வட்ட வடிவ 12 ரிப்பட் மற்றும் உரோமங்களுடையவை. விதைகள் இதய வடிவ அடிப்பகுதியுடன் கூடிய டெல்டாய்டு, தட்டையானவை, ஒரு பக்கம் முழுமையாக வட்ட சுரப்பிகளால் மூடப்பட்டிருக்கும்.")</f>
        <v>ஒரு வற்றாத மெல்லிய, சாய்வான உரோமங்களற்ற கொடி. இலைகள் எளிமையானவை, அளவு மற்றும் வடிவத்தில் மாறுபடும், அகலமானவை, மாற்று வடிவிலானவை, பெரும்பாலும் மடல்களாக இருக்கும், அடிப்பகுதியில் விரிந்த இலைக்காம்பு. மலர்கள் ஒரு பெரிய வட்ட வடிவத் துண்டுடன் தனித்திருக்கும். பழங்கள் செப்டிசைடல் காப்ஸ்யூல், நீள்வட்டம், நீள்வட்ட வடிவ 12 ரிப்பட் மற்றும் உரோமங்களுடையவை. விதைகள் இதய வடிவ அடிப்பகுதியுடன் கூடிய டெல்டாய்டு, தட்டையானவை, ஒரு பக்கம் முழுமையாக வட்ட சுரப்பிகளால் மூடப்பட்டிருக்கும்.</v>
      </c>
      <c r="R67" s="4" t="s">
        <v>836</v>
      </c>
      <c r="S67" s="3" t="str">
        <f ca="1">IFERROR(__xludf.DUMMYFUNCTION("GOOGLETRANSLATE(T67,""en"",""ta"")"),"பிரசவத்தின்போது கருப்பைச் சுருக்கத்தை அதிகரிக்கிறது.")</f>
        <v>பிரசவத்தின்போது கருப்பைச் சுருக்கத்தை அதிகரிக்கிறது.</v>
      </c>
      <c r="T67" s="4" t="s">
        <v>837</v>
      </c>
      <c r="U67" s="3" t="str">
        <f ca="1">IFERROR(__xludf.DUMMYFUNCTION("GOOGLETRANSLATE(V67,""en"",""ta"")"),"#VALUE!")</f>
        <v>#VALUE!</v>
      </c>
      <c r="V67" s="3"/>
      <c r="W67" s="3" t="str">
        <f ca="1">IFERROR(__xludf.DUMMYFUNCTION("GOOGLETRANSLATE(X67,""en"",""ta"")"),"#VALUE!")</f>
        <v>#VALUE!</v>
      </c>
      <c r="X67" s="3"/>
      <c r="Y67" s="3" t="str">
        <f ca="1">IFERROR(__xludf.DUMMYFUNCTION("GOOGLETRANSLATE(Z67,""en"",""ta"")"),"#VALUE!")</f>
        <v>#VALUE!</v>
      </c>
      <c r="Z67" s="3"/>
      <c r="AA67" s="3" t="str">
        <f ca="1">IFERROR(__xludf.DUMMYFUNCTION("GOOGLETRANSLATE(AB67,""en"",""ta"")"),"#VALUE!")</f>
        <v>#VALUE!</v>
      </c>
      <c r="AB67" s="3"/>
      <c r="AC67" s="3" t="str">
        <f ca="1">IFERROR(__xludf.DUMMYFUNCTION("GOOGLETRANSLATE(AD67,""en"",""ta"")"),"#VALUE!")</f>
        <v>#VALUE!</v>
      </c>
      <c r="AD67" s="3"/>
      <c r="AE67" s="3" t="str">
        <f ca="1">IFERROR(__xludf.DUMMYFUNCTION("GOOGLETRANSLATE(AF67,""en"",""ta"")"),"#VALUE!")</f>
        <v>#VALUE!</v>
      </c>
      <c r="AF67" s="3"/>
      <c r="AG67" s="3" t="str">
        <f ca="1">IFERROR(__xludf.DUMMYFUNCTION("GOOGLETRANSLATE(AH67,""en"",""ta"")"),"#VALUE!")</f>
        <v>#VALUE!</v>
      </c>
      <c r="AH67" s="3"/>
      <c r="AI67" s="3" t="str">
        <f ca="1">IFERROR(__xludf.DUMMYFUNCTION("GOOGLETRANSLATE(AJ67,""en"",""ta"")"),"#VALUE!")</f>
        <v>#VALUE!</v>
      </c>
      <c r="AJ67" s="3"/>
      <c r="AK67" s="3" t="str">
        <f ca="1">IFERROR(__xludf.DUMMYFUNCTION("GOOGLETRANSLATE(AL67,""en"",""ta"")"),"#VALUE!")</f>
        <v>#VALUE!</v>
      </c>
      <c r="AL67" s="3"/>
      <c r="AM67" s="3" t="str">
        <f ca="1">IFERROR(__xludf.DUMMYFUNCTION("GOOGLETRANSLATE(AN67,""en"",""ta"")"),"#VALUE!")</f>
        <v>#VALUE!</v>
      </c>
      <c r="AN67" s="3"/>
      <c r="AO67" s="3" t="str">
        <f ca="1">IFERROR(__xludf.DUMMYFUNCTION("GOOGLETRANSLATE(AP67,""en"",""ta"")"),"#VALUE!")</f>
        <v>#VALUE!</v>
      </c>
      <c r="AP67" s="3"/>
      <c r="AQ67" s="3"/>
      <c r="AR67" s="3" t="str">
        <f ca="1">IFERROR(__xludf.DUMMYFUNCTION("GOOGLETRANSLATE(AS67,""en"",""ta"")"),"கசப்பு, மலமிளக்கி, எம்மெனாகோக், மாற்று, ஆண்டிபீரியோடிக் மற்றும் ஆன்டெல்மிண்டிக்.")</f>
        <v>கசப்பு, மலமிளக்கி, எம்மெனாகோக், மாற்று, ஆண்டிபீரியோடிக் மற்றும் ஆன்டெல்மிண்டிக்.</v>
      </c>
      <c r="AS67" s="4" t="s">
        <v>838</v>
      </c>
      <c r="AT67" s="3" t="str">
        <f ca="1">IFERROR(__xludf.DUMMYFUNCTION("GOOGLETRANSLATE(AU67,""en"",""ta"")"),"பொட்டாசியம் குளோரைடு, அரிஸ்டோலோச்சிக் அமிலம், பொட்டாசியம் நைட்ரேட், பி-சிட்டோஸ்டெரால், செரில் ஆல்கஹால் மற்றும் மிரிஸ்டிக் அமிலம்.")</f>
        <v>பொட்டாசியம் குளோரைடு, அரிஸ்டோலோச்சிக் அமிலம், பொட்டாசியம் நைட்ரேட், பி-சிட்டோஸ்டெரால், செரில் ஆல்கஹால் மற்றும் மிரிஸ்டிக் அமிலம்.</v>
      </c>
      <c r="AU67" s="4" t="s">
        <v>839</v>
      </c>
      <c r="AV67" s="3"/>
      <c r="AW67" s="3" t="str">
        <f ca="1">IFERROR(__xludf.DUMMYFUNCTION("GOOGLETRANSLATE(AX67,""en"",""ta"")"),"காயப்பட்ட இலைகளை ஆமணக்கு எண்ணெயுடன் கலந்து அரிக்கும் தோலழற்சிக்கு தடவப்படுகிறது. புழுக்கள் மற்றும் இடைப்பட்ட காய்ச்சலுக்கு ஆமணக்கு எண்ணெயுடன் ஐரூட் பொடியை உள்ளே கொடுக்கப்படுகிறது.")</f>
        <v>காயப்பட்ட இலைகளை ஆமணக்கு எண்ணெயுடன் கலந்து அரிக்கும் தோலழற்சிக்கு தடவப்படுகிறது. புழுக்கள் மற்றும் இடைப்பட்ட காய்ச்சலுக்கு ஆமணக்கு எண்ணெயுடன் ஐரூட் பொடியை உள்ளே கொடுக்கப்படுகிறது.</v>
      </c>
      <c r="AX67" s="4" t="s">
        <v>840</v>
      </c>
      <c r="AY67" s="3"/>
      <c r="AZ67" s="3"/>
      <c r="BA67" s="3"/>
      <c r="BB67" s="3"/>
      <c r="BC67" s="3"/>
      <c r="BD67" s="3"/>
      <c r="BE67" s="3"/>
      <c r="BF67" s="3"/>
    </row>
    <row r="68" spans="1:58" ht="70" x14ac:dyDescent="0.15">
      <c r="A68" s="3">
        <v>67</v>
      </c>
      <c r="B68" s="3" t="str">
        <f ca="1">IFERROR(__xludf.DUMMYFUNCTION("GOOGLETRANSLATE(C68,""en"",""ta"")"),"அரிஸ்டோலோச்சியா இண்டிகா")</f>
        <v>அரிஸ்டோலோச்சியா இண்டிகா</v>
      </c>
      <c r="C68" s="4" t="s">
        <v>841</v>
      </c>
      <c r="D68" s="3" t="str">
        <f ca="1">IFERROR(__xludf.DUMMYFUNCTION("GOOGLETRANSLATE(E68,""en"",""ta"")"),"ஈஸ்வரி")</f>
        <v>ஈஸ்வரி</v>
      </c>
      <c r="E68" s="4" t="s">
        <v>842</v>
      </c>
      <c r="F68" s="3" t="str">
        <f ca="1">IFERROR(__xludf.DUMMYFUNCTION("GOOGLETRANSLATE(G68,""en"",""ta"")"),"ஈச்சுரா மூலி")</f>
        <v>ஈச்சுரா மூலி</v>
      </c>
      <c r="G68" s="3" t="s">
        <v>843</v>
      </c>
      <c r="H68" s="3" t="str">
        <f ca="1">IFERROR(__xludf.DUMMYFUNCTION("GOOGLETRANSLATE(I68,""en"",""ta"")"),"இந்தியப் பிறப்புச் செடி")</f>
        <v>இந்தியப் பிறப்புச் செடி</v>
      </c>
      <c r="I68" s="4" t="s">
        <v>844</v>
      </c>
      <c r="J68" s="3" t="str">
        <f ca="1">IFERROR(__xludf.DUMMYFUNCTION("GOOGLETRANSLATE(K68,""en"",""ta"")"),"நல்லேஸ்வரி")</f>
        <v>நல்லேஸ்வரி</v>
      </c>
      <c r="K68" s="4" t="s">
        <v>845</v>
      </c>
      <c r="L68" s="3" t="str">
        <f ca="1">IFERROR(__xludf.DUMMYFUNCTION("GOOGLETRANSLATE(M68,""en"",""ta"")"),"ஈஸ்வர முல்லி")</f>
        <v>ஈஸ்வர முல்லி</v>
      </c>
      <c r="M68" s="4" t="s">
        <v>846</v>
      </c>
      <c r="N68" s="3" t="str">
        <f ca="1">IFERROR(__xludf.DUMMYFUNCTION("GOOGLETRANSLATE(O68,""en"",""ta"")"),"இஷார்முல்")</f>
        <v>இஷார்முல்</v>
      </c>
      <c r="O68" s="4" t="s">
        <v>847</v>
      </c>
      <c r="P68" s="3"/>
      <c r="Q68" s="3" t="str">
        <f ca="1">IFERROR(__xludf.DUMMYFUNCTION("GOOGLETRANSLATE(R68,""en"",""ta"")"),"பச்சை நிற வெள்ளை நிறத்தில், மரத்தாலான தண்டு கொண்ட ஒரு வற்றாத ஏறும் மூலிகை. இலைகள் எளிமையானவை, மாற்று வழி, மாறுபடும் தன்மை கொண்டவை, உரோமங்களற்றவை, நேரியல் தன்மை கொண்டவை மற்றும் அடிப்பகுதியில் சற்று இதய வடிவானது. மலர்கள் தனியாக, இலைக்கோணங்களில் பெரும்பாலும்"&amp;" பெரியவை, இலைக்கோணங்களில் உருவாகின்றன. பழங்கள் நீள்வட்ட வடிவ காப்ஸ்யூல்கள். விதைகள் தட்டையானவை, மெல்லியவை, அகன்ற இறக்கைகள் கொண்டவை.")</f>
        <v>பச்சை நிற வெள்ளை நிறத்தில், மரத்தாலான தண்டு கொண்ட ஒரு வற்றாத ஏறும் மூலிகை. இலைகள் எளிமையானவை, மாற்று வழி, மாறுபடும் தன்மை கொண்டவை, உரோமங்களற்றவை, நேரியல் தன்மை கொண்டவை மற்றும் அடிப்பகுதியில் சற்று இதய வடிவானது. மலர்கள் தனியாக, இலைக்கோணங்களில் பெரும்பாலும் பெரியவை, இலைக்கோணங்களில் உருவாகின்றன. பழங்கள் நீள்வட்ட வடிவ காப்ஸ்யூல்கள். விதைகள் தட்டையானவை, மெல்லியவை, அகன்ற இறக்கைகள் கொண்டவை.</v>
      </c>
      <c r="R68" s="4" t="s">
        <v>848</v>
      </c>
      <c r="S68" s="3" t="str">
        <f ca="1">IFERROR(__xludf.DUMMYFUNCTION("GOOGLETRANSLATE(T68,""en"",""ta"")"),"பாம்பு கடி, வாத நோய், தேள் கொட்டுதல் மற்றும் குற்றவியல் கருக்கலைப்பு ஆகியவற்றுக்கான மாற்று மருந்து.")</f>
        <v>பாம்பு கடி, வாத நோய், தேள் கொட்டுதல் மற்றும் குற்றவியல் கருக்கலைப்பு ஆகியவற்றுக்கான மாற்று மருந்து.</v>
      </c>
      <c r="T68" s="4" t="s">
        <v>849</v>
      </c>
      <c r="U68" s="3" t="str">
        <f ca="1">IFERROR(__xludf.DUMMYFUNCTION("GOOGLETRANSLATE(V68,""en"",""ta"")"),"#VALUE!")</f>
        <v>#VALUE!</v>
      </c>
      <c r="V68" s="3"/>
      <c r="W68" s="3" t="str">
        <f ca="1">IFERROR(__xludf.DUMMYFUNCTION("GOOGLETRANSLATE(X68,""en"",""ta"")"),"குடல் கோளாறுகள், காலரா, வயிற்றுப்போக்கு மற்றும் இடைப்பட்ட காய்ச்சல்.")</f>
        <v>குடல் கோளாறுகள், காலரா, வயிற்றுப்போக்கு மற்றும் இடைப்பட்ட காய்ச்சல்.</v>
      </c>
      <c r="X68" s="4" t="s">
        <v>850</v>
      </c>
      <c r="Y68" s="3" t="str">
        <f ca="1">IFERROR(__xludf.DUMMYFUNCTION("GOOGLETRANSLATE(Z68,""en"",""ta"")"),"#VALUE!")</f>
        <v>#VALUE!</v>
      </c>
      <c r="Z68" s="3"/>
      <c r="AA68" s="3" t="str">
        <f ca="1">IFERROR(__xludf.DUMMYFUNCTION("GOOGLETRANSLATE(AB68,""en"",""ta"")"),"#VALUE!")</f>
        <v>#VALUE!</v>
      </c>
      <c r="AB68" s="3"/>
      <c r="AC68" s="3" t="str">
        <f ca="1">IFERROR(__xludf.DUMMYFUNCTION("GOOGLETRANSLATE(AD68,""en"",""ta"")"),"#VALUE!")</f>
        <v>#VALUE!</v>
      </c>
      <c r="AD68" s="3"/>
      <c r="AE68" s="3" t="str">
        <f ca="1">IFERROR(__xludf.DUMMYFUNCTION("GOOGLETRANSLATE(AF68,""en"",""ta"")"),"#VALUE!")</f>
        <v>#VALUE!</v>
      </c>
      <c r="AF68" s="3"/>
      <c r="AG68" s="3" t="str">
        <f ca="1">IFERROR(__xludf.DUMMYFUNCTION("GOOGLETRANSLATE(AH68,""en"",""ta"")"),"#VALUE!")</f>
        <v>#VALUE!</v>
      </c>
      <c r="AH68" s="3"/>
      <c r="AI68" s="3" t="str">
        <f ca="1">IFERROR(__xludf.DUMMYFUNCTION("GOOGLETRANSLATE(AJ68,""en"",""ta"")"),"#VALUE!")</f>
        <v>#VALUE!</v>
      </c>
      <c r="AJ68" s="3"/>
      <c r="AK68" s="3" t="str">
        <f ca="1">IFERROR(__xludf.DUMMYFUNCTION("GOOGLETRANSLATE(AL68,""en"",""ta"")"),"#VALUE!")</f>
        <v>#VALUE!</v>
      </c>
      <c r="AL68" s="3"/>
      <c r="AM68" s="3" t="str">
        <f ca="1">IFERROR(__xludf.DUMMYFUNCTION("GOOGLETRANSLATE(AN68,""en"",""ta"")"),"#VALUE!")</f>
        <v>#VALUE!</v>
      </c>
      <c r="AN68" s="3"/>
      <c r="AO68" s="3" t="str">
        <f ca="1">IFERROR(__xludf.DUMMYFUNCTION("GOOGLETRANSLATE(AP68,""en"",""ta"")"),"#VALUE!")</f>
        <v>#VALUE!</v>
      </c>
      <c r="AP68" s="3"/>
      <c r="AQ68" s="3"/>
      <c r="AR68" s="3" t="str">
        <f ca="1">IFERROR(__xludf.DUMMYFUNCTION("GOOGLETRANSLATE(AS68,""en"",""ta"")"),"டானிக், ஊக்கி, எம்மெனாகோக், அலெக்ஸிடெரிக், மூட்டுவலி எதிர்ப்பு, வயிற்று வலி, புழுக்களுக்கு மருந்தாகும் மற்றும் பீரியோடைக் எதிர்ப்பு மருந்து.")</f>
        <v>டானிக், ஊக்கி, எம்மெனாகோக், அலெக்ஸிடெரிக், மூட்டுவலி எதிர்ப்பு, வயிற்று வலி, புழுக்களுக்கு மருந்தாகும் மற்றும் பீரியோடைக் எதிர்ப்பு மருந்து.</v>
      </c>
      <c r="AS68" s="4" t="s">
        <v>851</v>
      </c>
      <c r="AT68" s="3" t="str">
        <f ca="1">IFERROR(__xludf.DUMMYFUNCTION("GOOGLETRANSLATE(AU68,""en"",""ta"")"),"ஈஸ்வரனே, ஈஸ்வரோல், அரிஸ்டோலோசீன், ஃபெனாந்த்ரீன், பி-சிட்டோஸ்டெரால், அரிஸ்டோலோகைன், அரிஸ்டாலிக் அமிலம், அரிஸ்டோலோச்சிக் அமிலம் &amp; நறுமண எண்ணெய்.")</f>
        <v>ஈஸ்வரனே, ஈஸ்வரோல், அரிஸ்டோலோசீன், ஃபெனாந்த்ரீன், பி-சிட்டோஸ்டெரால், அரிஸ்டோலோகைன், அரிஸ்டாலிக் அமிலம், அரிஸ்டோலோச்சிக் அமிலம் &amp; நறுமண எண்ணெய்.</v>
      </c>
      <c r="AU68" s="4" t="s">
        <v>852</v>
      </c>
      <c r="AV68" s="3"/>
      <c r="AW68" s="3" t="str">
        <f ca="1">IFERROR(__xludf.DUMMYFUNCTION("GOOGLETRANSLATE(AX68,""en"",""ta"")"),"காய்ச்சலைக் குணப்படுத்த வேர் மற்றும் தண்டுகளின் கஷாயத்தை உட்புறமாகக் கொடுக்கலாம். 
டிஸ்பெப்சியா மற்றும் குடல் கோளாறுகளுக்கு வேர்ப் பொடி உட்புறமாகக் கொடுக்கலாம்.")</f>
        <v>காய்ச்சலைக் குணப்படுத்த வேர் மற்றும் தண்டுகளின் கஷாயத்தை உட்புறமாகக் கொடுக்கலாம். 
டிஸ்பெப்சியா மற்றும் குடல் கோளாறுகளுக்கு வேர்ப் பொடி உட்புறமாகக் கொடுக்கலாம்.</v>
      </c>
      <c r="AX68" s="4" t="s">
        <v>853</v>
      </c>
      <c r="AY68" s="3"/>
      <c r="AZ68" s="3"/>
      <c r="BA68" s="3"/>
      <c r="BB68" s="3"/>
      <c r="BC68" s="3"/>
      <c r="BD68" s="3"/>
      <c r="BE68" s="3"/>
      <c r="BF68" s="3"/>
    </row>
    <row r="69" spans="1:58" ht="42" x14ac:dyDescent="0.15">
      <c r="A69" s="3">
        <v>68</v>
      </c>
      <c r="B69" s="3" t="str">
        <f ca="1">IFERROR(__xludf.DUMMYFUNCTION("GOOGLETRANSLATE(C69,""en"",""ta"")"),"ஆர்டபோட்ரிஸ் ஹெக்ஸாபெட்டலஸ்")</f>
        <v>ஆர்டபோட்ரிஸ் ஹெக்ஸாபெட்டலஸ்</v>
      </c>
      <c r="C69" s="4" t="s">
        <v>854</v>
      </c>
      <c r="D69" s="3" t="str">
        <f ca="1">IFERROR(__xludf.DUMMYFUNCTION("GOOGLETRANSLATE(E69,""en"",""ta"")"),"ஹர சம்பகா")</f>
        <v>ஹர சம்பகா</v>
      </c>
      <c r="E69" s="4" t="s">
        <v>855</v>
      </c>
      <c r="F69" s="3" t="str">
        <f ca="1">IFERROR(__xludf.DUMMYFUNCTION("GOOGLETRANSLATE(G69,""en"",""ta"")"),"மனோரஞ்சிதம்")</f>
        <v>மனோரஞ்சிதம்</v>
      </c>
      <c r="G69" s="4" t="s">
        <v>856</v>
      </c>
      <c r="H69" s="3" t="str">
        <f ca="1">IFERROR(__xludf.DUMMYFUNCTION("GOOGLETRANSLATE(I69,""en"",""ta"")"),"ஏறுதல் ylang- ylang")</f>
        <v>ஏறுதல் ylang- ylang</v>
      </c>
      <c r="I69" s="4" t="s">
        <v>857</v>
      </c>
      <c r="J69" s="3" t="str">
        <f ca="1">IFERROR(__xludf.DUMMYFUNCTION("GOOGLETRANSLATE(K69,""en"",""ta"")"),"மனோரஞ்சிதமு")</f>
        <v>மனோரஞ்சிதமு</v>
      </c>
      <c r="K69" s="4" t="s">
        <v>858</v>
      </c>
      <c r="L69" s="3" t="str">
        <f ca="1">IFERROR(__xludf.DUMMYFUNCTION("GOOGLETRANSLATE(M69,""en"",""ta"")"),"மனோரஞ்சிதம்")</f>
        <v>மனோரஞ்சிதம்</v>
      </c>
      <c r="M69" s="4" t="s">
        <v>856</v>
      </c>
      <c r="N69" s="3" t="str">
        <f ca="1">IFERROR(__xludf.DUMMYFUNCTION("GOOGLETRANSLATE(O69,""en"",""ta"")"),"ஹரச்சம்பா")</f>
        <v>ஹரச்சம்பா</v>
      </c>
      <c r="O69" s="4" t="s">
        <v>859</v>
      </c>
      <c r="P69" s="3"/>
      <c r="Q69" s="3" t="str">
        <f ca="1">IFERROR(__xludf.DUMMYFUNCTION("GOOGLETRANSLATE(R69,""en"",""ta"")"),"கருப்பு நிற தண்டுடன் கூடிய உயரமான ஏறும் புதர். இலைகள் எளிமையானவை, நீள்வட்ட ஈட்டி வடிவானது, மெல்லியவை, இலைக்காம்பு வடிவானது மற்றும் கோரியேசியஸ். மலர்கள் மணம் கொண்டவை, தனித்தவை அல்லது ஜோடிகளாக, கொக்கிகளில் வெள்ளை, கிரீமி சைம்கள். பழங்கள் பெர்ரி, நீள்வட்ட வி"&amp;"தையுடன் கூடிய மஞ்சள் நிற முட்டை வடிவானது.")</f>
        <v>கருப்பு நிற தண்டுடன் கூடிய உயரமான ஏறும் புதர். இலைகள் எளிமையானவை, நீள்வட்ட ஈட்டி வடிவானது, மெல்லியவை, இலைக்காம்பு வடிவானது மற்றும் கோரியேசியஸ். மலர்கள் மணம் கொண்டவை, தனித்தவை அல்லது ஜோடிகளாக, கொக்கிகளில் வெள்ளை, கிரீமி சைம்கள். பழங்கள் பெர்ரி, நீள்வட்ட விதையுடன் கூடிய மஞ்சள் நிற முட்டை வடிவானது.</v>
      </c>
      <c r="R69" s="4" t="s">
        <v>860</v>
      </c>
      <c r="S69" s="3" t="str">
        <f ca="1">IFERROR(__xludf.DUMMYFUNCTION("GOOGLETRANSLATE(T69,""en"",""ta"")"),"#VALUE!")</f>
        <v>#VALUE!</v>
      </c>
      <c r="T69" s="3"/>
      <c r="U69" s="3" t="str">
        <f ca="1">IFERROR(__xludf.DUMMYFUNCTION("GOOGLETRANSLATE(V69,""en"",""ta"")"),"#VALUE!")</f>
        <v>#VALUE!</v>
      </c>
      <c r="V69" s="3"/>
      <c r="W69" s="3" t="str">
        <f ca="1">IFERROR(__xludf.DUMMYFUNCTION("GOOGLETRANSLATE(X69,""en"",""ta"")"),"#VALUE!")</f>
        <v>#VALUE!</v>
      </c>
      <c r="X69" s="3"/>
      <c r="Y69" s="3" t="str">
        <f ca="1">IFERROR(__xludf.DUMMYFUNCTION("GOOGLETRANSLATE(Z69,""en"",""ta"")"),"#VALUE!")</f>
        <v>#VALUE!</v>
      </c>
      <c r="Z69" s="3"/>
      <c r="AA69" s="3" t="str">
        <f ca="1">IFERROR(__xludf.DUMMYFUNCTION("GOOGLETRANSLATE(AB69,""en"",""ta"")"),"#VALUE!")</f>
        <v>#VALUE!</v>
      </c>
      <c r="AB69" s="3"/>
      <c r="AC69" s="3" t="str">
        <f ca="1">IFERROR(__xludf.DUMMYFUNCTION("GOOGLETRANSLATE(AD69,""en"",""ta"")"),"#VALUE!")</f>
        <v>#VALUE!</v>
      </c>
      <c r="AD69" s="3"/>
      <c r="AE69" s="3" t="str">
        <f ca="1">IFERROR(__xludf.DUMMYFUNCTION("GOOGLETRANSLATE(AF69,""en"",""ta"")"),"#VALUE!")</f>
        <v>#VALUE!</v>
      </c>
      <c r="AF69" s="3"/>
      <c r="AG69" s="3" t="str">
        <f ca="1">IFERROR(__xludf.DUMMYFUNCTION("GOOGLETRANSLATE(AH69,""en"",""ta"")"),"#VALUE!")</f>
        <v>#VALUE!</v>
      </c>
      <c r="AH69" s="3"/>
      <c r="AI69" s="3" t="str">
        <f ca="1">IFERROR(__xludf.DUMMYFUNCTION("GOOGLETRANSLATE(AJ69,""en"",""ta"")"),"#VALUE!")</f>
        <v>#VALUE!</v>
      </c>
      <c r="AJ69" s="3"/>
      <c r="AK69" s="3" t="str">
        <f ca="1">IFERROR(__xludf.DUMMYFUNCTION("GOOGLETRANSLATE(AL69,""en"",""ta"")"),"#VALUE!")</f>
        <v>#VALUE!</v>
      </c>
      <c r="AL69" s="3"/>
      <c r="AM69" s="3" t="str">
        <f ca="1">IFERROR(__xludf.DUMMYFUNCTION("GOOGLETRANSLATE(AN69,""en"",""ta"")"),"#VALUE!")</f>
        <v>#VALUE!</v>
      </c>
      <c r="AN69" s="3"/>
      <c r="AO69" s="3" t="str">
        <f ca="1">IFERROR(__xludf.DUMMYFUNCTION("GOOGLETRANSLATE(AP69,""en"",""ta"")"),"#VALUE!")</f>
        <v>#VALUE!</v>
      </c>
      <c r="AP69" s="3"/>
      <c r="AQ69" s="3"/>
      <c r="AR69" s="3" t="str">
        <f ca="1">IFERROR(__xludf.DUMMYFUNCTION("GOOGLETRANSLATE(AS69,""en"",""ta"")"),"வயிற்றுப்போக்கு எதிர்ப்பு, கருவுறுதல் எதிர்ப்பு, வாசனை திரவியம்")</f>
        <v>வயிற்றுப்போக்கு எதிர்ப்பு, கருவுறுதல் எதிர்ப்பு, வாசனை திரவியம்</v>
      </c>
      <c r="AS69" s="4" t="s">
        <v>861</v>
      </c>
      <c r="AT69" s="3" t="str">
        <f ca="1">IFERROR(__xludf.DUMMYFUNCTION("GOOGLETRANSLATE(AU69,""en"",""ta"")"),"சாவியோலின், ஆவியாகும் எண்ணெய், கிளைகோசைடுகள், கால்சியம் மற்றும் ஆர்டபோட்ரின்")</f>
        <v>சாவியோலின், ஆவியாகும் எண்ணெய், கிளைகோசைடுகள், கால்சியம் மற்றும் ஆர்டபோட்ரின்</v>
      </c>
      <c r="AU69" s="4" t="s">
        <v>862</v>
      </c>
      <c r="AV69" s="3"/>
      <c r="AW69" s="3" t="str">
        <f ca="1">IFERROR(__xludf.DUMMYFUNCTION("GOOGLETRANSLATE(AX69,""en"",""ta"")"),"வயிற்றுப்போக்கை குணப்படுத்த இலைச்சாறு உட்புறமாக கொடுக்கப்படுகிறது. பூக்களிலிருந்து தயாரிக்கப்படும் ஒரு அத்தியாவசிய எண்ணெய் இதயத்தைத் தூண்டும்.")</f>
        <v>வயிற்றுப்போக்கை குணப்படுத்த இலைச்சாறு உட்புறமாக கொடுக்கப்படுகிறது. பூக்களிலிருந்து தயாரிக்கப்படும் ஒரு அத்தியாவசிய எண்ணெய் இதயத்தைத் தூண்டும்.</v>
      </c>
      <c r="AX69" s="4" t="s">
        <v>863</v>
      </c>
      <c r="AY69" s="3"/>
      <c r="AZ69" s="3"/>
      <c r="BA69" s="3"/>
      <c r="BB69" s="3"/>
      <c r="BC69" s="3"/>
      <c r="BD69" s="3"/>
      <c r="BE69" s="3"/>
      <c r="BF69" s="3"/>
    </row>
    <row r="70" spans="1:58" ht="56" x14ac:dyDescent="0.15">
      <c r="A70" s="3">
        <v>69</v>
      </c>
      <c r="B70" s="3" t="str">
        <f ca="1">IFERROR(__xludf.DUMMYFUNCTION("GOOGLETRANSLATE(C70,""en"",""ta"")"),"ஆர்ட்டெமிசியா அப்சிந்தியம்")</f>
        <v>ஆர்ட்டெமிசியா அப்சிந்தியம்</v>
      </c>
      <c r="C70" s="4" t="s">
        <v>864</v>
      </c>
      <c r="D70" s="3" t="str">
        <f ca="1">IFERROR(__xludf.DUMMYFUNCTION("GOOGLETRANSLATE(E70,""en"",""ta"")"),"இந்தானா")</f>
        <v>இந்தானா</v>
      </c>
      <c r="E70" s="4" t="s">
        <v>865</v>
      </c>
      <c r="F70" s="3" t="str">
        <f ca="1">IFERROR(__xludf.DUMMYFUNCTION("GOOGLETRANSLATE(G70,""en"",""ta"")"),"மாசி பதிரி")</f>
        <v>மாசி பதிரி</v>
      </c>
      <c r="G70" s="4" t="s">
        <v>866</v>
      </c>
      <c r="H70" s="3" t="str">
        <f ca="1">IFERROR(__xludf.DUMMYFUNCTION("GOOGLETRANSLATE(I70,""en"",""ta"")"),"வார்ம்வுட்")</f>
        <v>வார்ம்வுட்</v>
      </c>
      <c r="I70" s="4" t="s">
        <v>867</v>
      </c>
      <c r="J70" s="3" t="str">
        <f ca="1">IFERROR(__xludf.DUMMYFUNCTION("GOOGLETRANSLATE(K70,""en"",""ta"")"),"மச்சா பத்ரி")</f>
        <v>மச்சா பத்ரி</v>
      </c>
      <c r="K70" s="4" t="s">
        <v>868</v>
      </c>
      <c r="L70" s="3" t="str">
        <f ca="1">IFERROR(__xludf.DUMMYFUNCTION("GOOGLETRANSLATE(M70,""en"",""ta"")"),"நீலம்பலா")</f>
        <v>நீலம்பலா</v>
      </c>
      <c r="M70" s="4" t="s">
        <v>869</v>
      </c>
      <c r="N70" s="3" t="str">
        <f ca="1">IFERROR(__xludf.DUMMYFUNCTION("GOOGLETRANSLATE(O70,""en"",""ta"")"),"வில்லயாதி அஃப்சாண்டின்")</f>
        <v>வில்லயாதி அஃப்சாண்டின்</v>
      </c>
      <c r="O70" s="4" t="s">
        <v>870</v>
      </c>
      <c r="P70" s="3"/>
      <c r="Q70" s="3" t="str">
        <f ca="1">IFERROR(__xludf.DUMMYFUNCTION("GOOGLETRANSLATE(R70,""en"",""ta"")"),"நறுமணமும் கசப்பும் கொண்ட புதர். இலைகள் மாறி மாறி, முழுமையாகவும், பின்னாடிசெக்டாகவும் காணப்படும். கீழ் இலைகள் ஆழமாக பின்னாடிசெக்டாக காணப்படும், அடிப்பகுதியில் சிறிய இலையடிச்செக்லாகவும், மேலே உரோமங்களுடனும் இருக்கும். மஞ்சரி சிறிய தலைகளில், தனித்த, வட்டு பூ"&amp;"க்கள் வளமானவை. பழங்கள் நீள்வட்ட நீள்வட்ட அச்சீன்.")</f>
        <v>நறுமணமும் கசப்பும் கொண்ட புதர். இலைகள் மாறி மாறி, முழுமையாகவும், பின்னாடிசெக்டாகவும் காணப்படும். கீழ் இலைகள் ஆழமாக பின்னாடிசெக்டாக காணப்படும், அடிப்பகுதியில் சிறிய இலையடிச்செக்லாகவும், மேலே உரோமங்களுடனும் இருக்கும். மஞ்சரி சிறிய தலைகளில், தனித்த, வட்டு பூக்கள் வளமானவை. பழங்கள் நீள்வட்ட நீள்வட்ட அச்சீன்.</v>
      </c>
      <c r="R70" s="4" t="s">
        <v>871</v>
      </c>
      <c r="S70" s="3" t="str">
        <f ca="1">IFERROR(__xludf.DUMMYFUNCTION("GOOGLETRANSLATE(T70,""en"",""ta"")"),"#VALUE!")</f>
        <v>#VALUE!</v>
      </c>
      <c r="T70" s="3"/>
      <c r="U70" s="3" t="str">
        <f ca="1">IFERROR(__xludf.DUMMYFUNCTION("GOOGLETRANSLATE(V70,""en"",""ta"")"),"#VALUE!")</f>
        <v>#VALUE!</v>
      </c>
      <c r="V70" s="3"/>
      <c r="W70" s="3" t="str">
        <f ca="1">IFERROR(__xludf.DUMMYFUNCTION("GOOGLETRANSLATE(X70,""en"",""ta"")"),"#VALUE!")</f>
        <v>#VALUE!</v>
      </c>
      <c r="X70" s="3"/>
      <c r="Y70" s="3" t="str">
        <f ca="1">IFERROR(__xludf.DUMMYFUNCTION("GOOGLETRANSLATE(Z70,""en"",""ta"")"),"#VALUE!")</f>
        <v>#VALUE!</v>
      </c>
      <c r="Z70" s="3"/>
      <c r="AA70" s="3" t="str">
        <f ca="1">IFERROR(__xludf.DUMMYFUNCTION("GOOGLETRANSLATE(AB70,""en"",""ta"")"),"#VALUE!")</f>
        <v>#VALUE!</v>
      </c>
      <c r="AB70" s="3"/>
      <c r="AC70" s="3" t="str">
        <f ca="1">IFERROR(__xludf.DUMMYFUNCTION("GOOGLETRANSLATE(AD70,""en"",""ta"")"),"#VALUE!")</f>
        <v>#VALUE!</v>
      </c>
      <c r="AD70" s="3"/>
      <c r="AE70" s="3" t="str">
        <f ca="1">IFERROR(__xludf.DUMMYFUNCTION("GOOGLETRANSLATE(AF70,""en"",""ta"")"),"#VALUE!")</f>
        <v>#VALUE!</v>
      </c>
      <c r="AF70" s="3"/>
      <c r="AG70" s="3" t="str">
        <f ca="1">IFERROR(__xludf.DUMMYFUNCTION("GOOGLETRANSLATE(AH70,""en"",""ta"")"),"#VALUE!")</f>
        <v>#VALUE!</v>
      </c>
      <c r="AH70" s="3"/>
      <c r="AI70" s="3" t="str">
        <f ca="1">IFERROR(__xludf.DUMMYFUNCTION("GOOGLETRANSLATE(AJ70,""en"",""ta"")"),"#VALUE!")</f>
        <v>#VALUE!</v>
      </c>
      <c r="AJ70" s="3"/>
      <c r="AK70" s="3" t="str">
        <f ca="1">IFERROR(__xludf.DUMMYFUNCTION("GOOGLETRANSLATE(AL70,""en"",""ta"")"),"#VALUE!")</f>
        <v>#VALUE!</v>
      </c>
      <c r="AL70" s="3"/>
      <c r="AM70" s="3" t="str">
        <f ca="1">IFERROR(__xludf.DUMMYFUNCTION("GOOGLETRANSLATE(AN70,""en"",""ta"")"),"#VALUE!")</f>
        <v>#VALUE!</v>
      </c>
      <c r="AN70" s="3"/>
      <c r="AO70" s="3" t="str">
        <f ca="1">IFERROR(__xludf.DUMMYFUNCTION("GOOGLETRANSLATE(AP70,""en"",""ta"")"),"#VALUE!")</f>
        <v>#VALUE!</v>
      </c>
      <c r="AP70" s="3"/>
      <c r="AQ70" s="3"/>
      <c r="AR70" s="3" t="str">
        <f ca="1">IFERROR(__xludf.DUMMYFUNCTION("GOOGLETRANSLATE(AS70,""en"",""ta"")"),"போதை மருந்து, காய்ச்சல் மருந்து, வயிற்று ஊக்கி, செரிமான மருந்து, டானிக், புழு எதிர்ப்பு மருந்து மற்றும் கிருமி நாசினிகள்")</f>
        <v>போதை மருந்து, காய்ச்சல் மருந்து, வயிற்று ஊக்கி, செரிமான மருந்து, டானிக், புழு எதிர்ப்பு மருந்து மற்றும் கிருமி நாசினிகள்</v>
      </c>
      <c r="AS70" s="4" t="s">
        <v>872</v>
      </c>
      <c r="AT70" s="3" t="str">
        <f ca="1">IFERROR(__xludf.DUMMYFUNCTION("GOOGLETRANSLATE(AU70,""en"",""ta"")"),"ஆர்டாப்சின், அனாப்சின்தின், ஆர்டெமெடின், எபோக்சி ஒலிக் அமிலம், அப்சின்தின், டானின், ரெசின், சக்சினிக் அமிலம், மாலேட்டுகள் மற்றும் பொட்டாசியத்தின் நைட்ரேட்டுகள்.")</f>
        <v>ஆர்டாப்சின், அனாப்சின்தின், ஆர்டெமெடின், எபோக்சி ஒலிக் அமிலம், அப்சின்தின், டானின், ரெசின், சக்சினிக் அமிலம், மாலேட்டுகள் மற்றும் பொட்டாசியத்தின் நைட்ரேட்டுகள்.</v>
      </c>
      <c r="AU70" s="4" t="s">
        <v>873</v>
      </c>
      <c r="AV70" s="3"/>
      <c r="AW70" s="3" t="str">
        <f ca="1">IFERROR(__xludf.DUMMYFUNCTION("GOOGLETRANSLATE(AX70,""en"",""ta"")"),"மூலிகையின் வலுவான கஷாயம் வெர்மிஃபியூஜாக வழங்கப்படுகிறது. தோல் நோய்களுக்கு வெளிப்புறமாக உலர்ந்த மூலிகை உமிழ்நீராகப் பயன்படுத்தப்படுகிறது.")</f>
        <v>மூலிகையின் வலுவான கஷாயம் வெர்மிஃபியூஜாக வழங்கப்படுகிறது. தோல் நோய்களுக்கு வெளிப்புறமாக உலர்ந்த மூலிகை உமிழ்நீராகப் பயன்படுத்தப்படுகிறது.</v>
      </c>
      <c r="AX70" s="4" t="s">
        <v>874</v>
      </c>
      <c r="AY70" s="3"/>
      <c r="AZ70" s="3"/>
      <c r="BA70" s="3"/>
      <c r="BB70" s="3"/>
      <c r="BC70" s="3"/>
      <c r="BD70" s="3"/>
      <c r="BE70" s="3"/>
      <c r="BF70" s="3"/>
    </row>
    <row r="71" spans="1:58" ht="70" x14ac:dyDescent="0.15">
      <c r="A71" s="3">
        <v>70</v>
      </c>
      <c r="B71" s="3" t="str">
        <f ca="1">IFERROR(__xludf.DUMMYFUNCTION("GOOGLETRANSLATE(C71,""en"",""ta"")"),"ஆர்டோகார்பஸ் ஹெட்டோரோஃபில்லஸ்")</f>
        <v>ஆர்டோகார்பஸ் ஹெட்டோரோஃபில்லஸ்</v>
      </c>
      <c r="C71" s="4" t="s">
        <v>875</v>
      </c>
      <c r="D71" s="3" t="str">
        <f ca="1">IFERROR(__xludf.DUMMYFUNCTION("GOOGLETRANSLATE(E71,""en"",""ta"")"),"பனாசா")</f>
        <v>பனாசா</v>
      </c>
      <c r="E71" s="4" t="s">
        <v>876</v>
      </c>
      <c r="F71" s="3" t="str">
        <f ca="1">IFERROR(__xludf.DUMMYFUNCTION("GOOGLETRANSLATE(G71,""en"",""ta"")"),"பால பழம்")</f>
        <v>பால பழம்</v>
      </c>
      <c r="G71" s="4" t="s">
        <v>877</v>
      </c>
      <c r="H71" s="3" t="str">
        <f ca="1">IFERROR(__xludf.DUMMYFUNCTION("GOOGLETRANSLATE(I71,""en"",""ta"")"),"பலாப்பழம்")</f>
        <v>பலாப்பழம்</v>
      </c>
      <c r="I71" s="4" t="s">
        <v>878</v>
      </c>
      <c r="J71" s="3" t="str">
        <f ca="1">IFERROR(__xludf.DUMMYFUNCTION("GOOGLETRANSLATE(K71,""en"",""ta"")"),"வெரு பனாசா")</f>
        <v>வெரு பனாசா</v>
      </c>
      <c r="K71" s="4" t="s">
        <v>879</v>
      </c>
      <c r="L71" s="3" t="str">
        <f ca="1">IFERROR(__xludf.DUMMYFUNCTION("GOOGLETRANSLATE(M71,""en"",""ta"")"),"சக்கா")</f>
        <v>சக்கா</v>
      </c>
      <c r="M71" s="4" t="s">
        <v>880</v>
      </c>
      <c r="N71" s="3" t="str">
        <f ca="1">IFERROR(__xludf.DUMMYFUNCTION("GOOGLETRANSLATE(O71,""en"",""ta"")"),"காந்தல்")</f>
        <v>காந்தல்</v>
      </c>
      <c r="O71" s="4" t="s">
        <v>881</v>
      </c>
      <c r="P71" s="3"/>
      <c r="Q71" s="3" t="str">
        <f ca="1">IFERROR(__xludf.DUMMYFUNCTION("GOOGLETRANSLATE(R71,""en"",""ta"")"),"ஒரு பெரிய பசுமையான மரம். இலைகள் எளிமையானவை, மாற்று வடிவிலானவை, கோரியேசியஸ், முழுமையானவை, உரோமங்களற்றவை நீள்வட்ட-தலைகீழ் வடிவானவை. பூக்கள் ஒற்றைத் தோற்றமுடையவை, கோள வடிவமானவை, நீள்வட்ட வடிவானவை, தனித்தவை மற்றும் அச்சுகளில் உள்ளவை. பழங்கள் பெரிய சதைப்பற்றுள"&amp;"்ளவை, கோள வடிவமானவை அல்லது நீள்வட்ட வடிவானவை, பெரிதாக்கப்பட்ட அந்தோகார்ப்களால் மூடப்பட்டிருக்கும். சவ்வு போன்ற விதைகள்.")</f>
        <v>ஒரு பெரிய பசுமையான மரம். இலைகள் எளிமையானவை, மாற்று வடிவிலானவை, கோரியேசியஸ், முழுமையானவை, உரோமங்களற்றவை நீள்வட்ட-தலைகீழ் வடிவானவை. பூக்கள் ஒற்றைத் தோற்றமுடையவை, கோள வடிவமானவை, நீள்வட்ட வடிவானவை, தனித்தவை மற்றும் அச்சுகளில் உள்ளவை. பழங்கள் பெரிய சதைப்பற்றுள்ளவை, கோள வடிவமானவை அல்லது நீள்வட்ட வடிவானவை, பெரிதாக்கப்பட்ட அந்தோகார்ப்களால் மூடப்பட்டிருக்கும். சவ்வு போன்ற விதைகள்.</v>
      </c>
      <c r="R71" s="4" t="s">
        <v>882</v>
      </c>
      <c r="S71" s="3" t="str">
        <f ca="1">IFERROR(__xludf.DUMMYFUNCTION("GOOGLETRANSLATE(T71,""en"",""ta"")"),"வயிற்றுப்போக்கு, தோல் நோய்கள்.")</f>
        <v>வயிற்றுப்போக்கு, தோல் நோய்கள்.</v>
      </c>
      <c r="T71" s="4" t="s">
        <v>883</v>
      </c>
      <c r="U71" s="3" t="str">
        <f ca="1">IFERROR(__xludf.DUMMYFUNCTION("GOOGLETRANSLATE(V71,""en"",""ta"")"),"சத்தானது.")</f>
        <v>சத்தானது.</v>
      </c>
      <c r="V71" s="4" t="s">
        <v>884</v>
      </c>
      <c r="W71" s="3" t="str">
        <f ca="1">IFERROR(__xludf.DUMMYFUNCTION("GOOGLETRANSLATE(X71,""en"",""ta"")"),"#VALUE!")</f>
        <v>#VALUE!</v>
      </c>
      <c r="X71" s="3"/>
      <c r="Y71" s="3" t="str">
        <f ca="1">IFERROR(__xludf.DUMMYFUNCTION("GOOGLETRANSLATE(Z71,""en"",""ta"")"),"#VALUE!")</f>
        <v>#VALUE!</v>
      </c>
      <c r="Z71" s="3"/>
      <c r="AA71" s="3" t="str">
        <f ca="1">IFERROR(__xludf.DUMMYFUNCTION("GOOGLETRANSLATE(AB71,""en"",""ta"")"),"#VALUE!")</f>
        <v>#VALUE!</v>
      </c>
      <c r="AB71" s="3"/>
      <c r="AC71" s="3" t="str">
        <f ca="1">IFERROR(__xludf.DUMMYFUNCTION("GOOGLETRANSLATE(AD71,""en"",""ta"")"),"#VALUE!")</f>
        <v>#VALUE!</v>
      </c>
      <c r="AD71" s="3"/>
      <c r="AE71" s="3" t="str">
        <f ca="1">IFERROR(__xludf.DUMMYFUNCTION("GOOGLETRANSLATE(AF71,""en"",""ta"")"),"#VALUE!")</f>
        <v>#VALUE!</v>
      </c>
      <c r="AF71" s="3"/>
      <c r="AG71" s="3" t="str">
        <f ca="1">IFERROR(__xludf.DUMMYFUNCTION("GOOGLETRANSLATE(AH71,""en"",""ta"")"),"#VALUE!")</f>
        <v>#VALUE!</v>
      </c>
      <c r="AH71" s="3"/>
      <c r="AI71" s="3" t="str">
        <f ca="1">IFERROR(__xludf.DUMMYFUNCTION("GOOGLETRANSLATE(AJ71,""en"",""ta"")"),"#VALUE!")</f>
        <v>#VALUE!</v>
      </c>
      <c r="AJ71" s="3"/>
      <c r="AK71" s="3" t="str">
        <f ca="1">IFERROR(__xludf.DUMMYFUNCTION("GOOGLETRANSLATE(AL71,""en"",""ta"")"),"#VALUE!")</f>
        <v>#VALUE!</v>
      </c>
      <c r="AL71" s="3"/>
      <c r="AM71" s="3" t="str">
        <f ca="1">IFERROR(__xludf.DUMMYFUNCTION("GOOGLETRANSLATE(AN71,""en"",""ta"")"),"#VALUE!")</f>
        <v>#VALUE!</v>
      </c>
      <c r="AN71" s="3"/>
      <c r="AO71" s="3" t="str">
        <f ca="1">IFERROR(__xludf.DUMMYFUNCTION("GOOGLETRANSLATE(AP71,""en"",""ta"")"),"#VALUE!")</f>
        <v>#VALUE!</v>
      </c>
      <c r="AP71" s="3"/>
      <c r="AQ71" s="3"/>
      <c r="AR71" s="3" t="str">
        <f ca="1">IFERROR(__xludf.DUMMYFUNCTION("GOOGLETRANSLATE(AS71,""en"",""ta"")"),"ஊட்டச்சத்து, மலமிளக்கி மற்றும் துவர்ப்பு மருந்து.")</f>
        <v>ஊட்டச்சத்து, மலமிளக்கி மற்றும் துவர்ப்பு மருந்து.</v>
      </c>
      <c r="AS71" s="4" t="s">
        <v>885</v>
      </c>
      <c r="AT71" s="3" t="str">
        <f ca="1">IFERROR(__xludf.DUMMYFUNCTION("GOOGLETRANSLATE(AU71,""en"",""ta"")"),"ஆர்டோகார்பின், ஐசோஆர்டோகார்பின், நியாசின், ஃபோலிக் அமிலம், ஆக்ஸாலிக் அமிலம், பி-கரோட்டின், சைக்ளோஆர்டெனைல் அசிடேட், பெட்டுலினிக் அமிலம், சைக்ளோஆர்டெனால் &amp; சைக்ளோஆர்டெனோன்.")</f>
        <v>ஆர்டோகார்பின், ஐசோஆர்டோகார்பின், நியாசின், ஃபோலிக் அமிலம், ஆக்ஸாலிக் அமிலம், பி-கரோட்டின், சைக்ளோஆர்டெனைல் அசிடேட், பெட்டுலினிக் அமிலம், சைக்ளோஆர்டெனால் &amp; சைக்ளோஆர்டெனோன்.</v>
      </c>
      <c r="AU71" s="4" t="s">
        <v>886</v>
      </c>
      <c r="AV71" s="3"/>
      <c r="AW71" s="3" t="str">
        <f ca="1">IFERROR(__xludf.DUMMYFUNCTION("GOOGLETRANSLATE(AX71,""en"",""ta"")"),"சுரப்பி வீக்கம் மற்றும் புண்கள் உப்புவதற்கு, வினிகருடன் பால் சாறு கலந்து வெளிப்புறமாகப் பயன்படுத்தப்படுகிறது. பழுத்த பழங்கள் மலமிளக்கியாகவும், குளிர்ச்சியாகவும் இருக்கும்.")</f>
        <v>சுரப்பி வீக்கம் மற்றும் புண்கள் உப்புவதற்கு, வினிகருடன் பால் சாறு கலந்து வெளிப்புறமாகப் பயன்படுத்தப்படுகிறது. பழுத்த பழங்கள் மலமிளக்கியாகவும், குளிர்ச்சியாகவும் இருக்கும்.</v>
      </c>
      <c r="AX71" s="4" t="s">
        <v>887</v>
      </c>
      <c r="AY71" s="3"/>
      <c r="AZ71" s="3"/>
      <c r="BA71" s="3"/>
      <c r="BB71" s="3"/>
      <c r="BC71" s="3"/>
      <c r="BD71" s="3"/>
      <c r="BE71" s="3"/>
      <c r="BF71" s="3"/>
    </row>
    <row r="72" spans="1:58" ht="56" x14ac:dyDescent="0.15">
      <c r="A72" s="3">
        <v>71</v>
      </c>
      <c r="B72" s="3" t="str">
        <f ca="1">IFERROR(__xludf.DUMMYFUNCTION("GOOGLETRANSLATE(C72,""en"",""ta"")"),"அரும் கொலோகாசியா")</f>
        <v>அரும் கொலோகாசியா</v>
      </c>
      <c r="C72" s="4" t="s">
        <v>888</v>
      </c>
      <c r="D72" s="3" t="str">
        <f ca="1">IFERROR(__xludf.DUMMYFUNCTION("GOOGLETRANSLATE(E72,""en"",""ta"")"),"கட்சு")</f>
        <v>கட்சு</v>
      </c>
      <c r="E72" s="4" t="s">
        <v>889</v>
      </c>
      <c r="F72" s="3" t="str">
        <f ca="1">IFERROR(__xludf.DUMMYFUNCTION("GOOGLETRANSLATE(G72,""en"",""ta"")"),"சீமை கிழங்கு")</f>
        <v>சீமை கிழங்கு</v>
      </c>
      <c r="G72" s="4" t="s">
        <v>890</v>
      </c>
      <c r="H72" s="3" t="str">
        <f ca="1">IFERROR(__xludf.DUMMYFUNCTION("GOOGLETRANSLATE(I72,""en"",""ta"")"),"கோக்கோ")</f>
        <v>கோக்கோ</v>
      </c>
      <c r="I72" s="4" t="s">
        <v>891</v>
      </c>
      <c r="J72" s="3" t="str">
        <f ca="1">IFERROR(__xludf.DUMMYFUNCTION("GOOGLETRANSLATE(K72,""en"",""ta"")"),"ஷீமகட்டா")</f>
        <v>ஷீமகட்டா</v>
      </c>
      <c r="K72" s="4" t="s">
        <v>892</v>
      </c>
      <c r="L72" s="3" t="str">
        <f ca="1">IFERROR(__xludf.DUMMYFUNCTION("GOOGLETRANSLATE(M72,""en"",""ta"")"),"சேம்ப்")</f>
        <v>சேம்ப்</v>
      </c>
      <c r="M72" s="4" t="s">
        <v>893</v>
      </c>
      <c r="N72" s="3" t="str">
        <f ca="1">IFERROR(__xludf.DUMMYFUNCTION("GOOGLETRANSLATE(O72,""en"",""ta"")"),"கச்சு")</f>
        <v>கச்சு</v>
      </c>
      <c r="O72" s="4" t="s">
        <v>894</v>
      </c>
      <c r="P72" s="3"/>
      <c r="Q72" s="3" t="str">
        <f ca="1">IFERROR(__xludf.DUMMYFUNCTION("GOOGLETRANSLATE(R72,""en"",""ta"")"),"உயரமான, கிழங்கான, கரடுமுரடான மூலிகை. இலைகள் எளிமையான இலைக்காம்பு வடிவானது, இதய வடிவமானது, மஞ்சரி தண்டு தடிமனாக இருக்கும். மஞ்சரி ஸ்பேடிக், ஸ்பேத்தை விடக் குட்டையானது. பழங்கள் பெர்ரி. விதைகள் நீள்வட்ட வடிவமானது.")</f>
        <v>உயரமான, கிழங்கான, கரடுமுரடான மூலிகை. இலைகள் எளிமையான இலைக்காம்பு வடிவானது, இதய வடிவமானது, மஞ்சரி தண்டு தடிமனாக இருக்கும். மஞ்சரி ஸ்பேடிக், ஸ்பேத்தை விடக் குட்டையானது. பழங்கள் பெர்ரி. விதைகள் நீள்வட்ட வடிவமானது.</v>
      </c>
      <c r="R72" s="4" t="s">
        <v>895</v>
      </c>
      <c r="S72" s="3" t="str">
        <f ca="1">IFERROR(__xludf.DUMMYFUNCTION("GOOGLETRANSLATE(T72,""en"",""ta"")"),"தமனி இரத்தக்கசிவு, காயங்கள், காது வலி மற்றும் காது கேளாமை.")</f>
        <v>தமனி இரத்தக்கசிவு, காயங்கள், காது வலி மற்றும் காது கேளாமை.</v>
      </c>
      <c r="T72" s="4" t="s">
        <v>896</v>
      </c>
      <c r="U72" s="3" t="str">
        <f ca="1">IFERROR(__xludf.DUMMYFUNCTION("GOOGLETRANSLATE(V72,""en"",""ta"")"),"#VALUE!")</f>
        <v>#VALUE!</v>
      </c>
      <c r="V72" s="3"/>
      <c r="W72" s="3" t="str">
        <f ca="1">IFERROR(__xludf.DUMMYFUNCTION("GOOGLETRANSLATE(X72,""en"",""ta"")"),"தமனி இரத்தக்கசிவு, காயங்கள், காது வலி மற்றும் காது கேளாமை.")</f>
        <v>தமனி இரத்தக்கசிவு, காயங்கள், காது வலி மற்றும் காது கேளாமை.</v>
      </c>
      <c r="X72" s="4" t="s">
        <v>896</v>
      </c>
      <c r="Y72" s="3" t="str">
        <f ca="1">IFERROR(__xludf.DUMMYFUNCTION("GOOGLETRANSLATE(Z72,""en"",""ta"")"),"#VALUE!")</f>
        <v>#VALUE!</v>
      </c>
      <c r="Z72" s="3"/>
      <c r="AA72" s="3" t="str">
        <f ca="1">IFERROR(__xludf.DUMMYFUNCTION("GOOGLETRANSLATE(AB72,""en"",""ta"")"),"#VALUE!")</f>
        <v>#VALUE!</v>
      </c>
      <c r="AB72" s="3"/>
      <c r="AC72" s="3" t="str">
        <f ca="1">IFERROR(__xludf.DUMMYFUNCTION("GOOGLETRANSLATE(AD72,""en"",""ta"")"),"#VALUE!")</f>
        <v>#VALUE!</v>
      </c>
      <c r="AD72" s="3"/>
      <c r="AE72" s="3" t="str">
        <f ca="1">IFERROR(__xludf.DUMMYFUNCTION("GOOGLETRANSLATE(AF72,""en"",""ta"")"),"#VALUE!")</f>
        <v>#VALUE!</v>
      </c>
      <c r="AF72" s="3"/>
      <c r="AG72" s="3" t="str">
        <f ca="1">IFERROR(__xludf.DUMMYFUNCTION("GOOGLETRANSLATE(AH72,""en"",""ta"")"),"#VALUE!")</f>
        <v>#VALUE!</v>
      </c>
      <c r="AH72" s="3"/>
      <c r="AI72" s="3" t="str">
        <f ca="1">IFERROR(__xludf.DUMMYFUNCTION("GOOGLETRANSLATE(AJ72,""en"",""ta"")"),"#VALUE!")</f>
        <v>#VALUE!</v>
      </c>
      <c r="AJ72" s="3"/>
      <c r="AK72" s="3" t="str">
        <f ca="1">IFERROR(__xludf.DUMMYFUNCTION("GOOGLETRANSLATE(AL72,""en"",""ta"")"),"#VALUE!")</f>
        <v>#VALUE!</v>
      </c>
      <c r="AL72" s="3"/>
      <c r="AM72" s="3" t="str">
        <f ca="1">IFERROR(__xludf.DUMMYFUNCTION("GOOGLETRANSLATE(AN72,""en"",""ta"")"),"#VALUE!")</f>
        <v>#VALUE!</v>
      </c>
      <c r="AN72" s="3"/>
      <c r="AO72" s="3" t="str">
        <f ca="1">IFERROR(__xludf.DUMMYFUNCTION("GOOGLETRANSLATE(AP72,""en"",""ta"")"),"வழுக்கை, மூல நோய், போர்ட்டல் அமைப்பின் நெரிசல்.")</f>
        <v>வழுக்கை, மூல நோய், போர்ட்டல் அமைப்பின் நெரிசல்.</v>
      </c>
      <c r="AP72" s="4" t="s">
        <v>897</v>
      </c>
      <c r="AQ72" s="3"/>
      <c r="AR72" s="3" t="str">
        <f ca="1">IFERROR(__xludf.DUMMYFUNCTION("GOOGLETRANSLATE(AS72,""en"",""ta"")"),"ஊக்கி, ருபேஃபேசியன்ட், ஸ்டைப்டிக் மற்றும் மலமிளக்கி")</f>
        <v>ஊக்கி, ருபேஃபேசியன்ட், ஸ்டைப்டிக் மற்றும் மலமிளக்கி</v>
      </c>
      <c r="AS72" s="4" t="s">
        <v>898</v>
      </c>
      <c r="AT72" s="3" t="str">
        <f ca="1">IFERROR(__xludf.DUMMYFUNCTION("GOOGLETRANSLATE(AU72,""en"",""ta"")"),"ஆல்புமினாய்டுகள், ஸ்டிக்மாஸ்டரோல், டிரிப்சின், லிபோக்சிஜனேஸ், ஃபிளாவோன்கள், எபிஜெனின், லுடிகோலின் மற்றும் அந்தோசயினின்கள்.")</f>
        <v>ஆல்புமினாய்டுகள், ஸ்டிக்மாஸ்டரோல், டிரிப்சின், லிபோக்சிஜனேஸ், ஃபிளாவோன்கள், எபிஜெனின், லுடிகோலின் மற்றும் அந்தோசயினின்கள்.</v>
      </c>
      <c r="AU72" s="4" t="s">
        <v>899</v>
      </c>
      <c r="AV72" s="3"/>
      <c r="AW72" s="3" t="str">
        <f ca="1">IFERROR(__xludf.DUMMYFUNCTION("GOOGLETRANSLATE(AX72,""en"",""ta"")"),"i) இலைக்காம்பின் அழுத்தப்பட்ட சாறு தமனி இரத்தக்கசிவு மற்றும் காயங்கள் மீது தடவப்படுகிறது. ii) அலோபீசியா சிகிச்சையில் புழுக்களின் சாறு பயன்படுத்தப்படுகிறது.")</f>
        <v>i) இலைக்காம்பின் அழுத்தப்பட்ட சாறு தமனி இரத்தக்கசிவு மற்றும் காயங்கள் மீது தடவப்படுகிறது. ii) அலோபீசியா சிகிச்சையில் புழுக்களின் சாறு பயன்படுத்தப்படுகிறது.</v>
      </c>
      <c r="AX72" s="3" t="s">
        <v>2462</v>
      </c>
      <c r="AY72" s="3"/>
      <c r="AZ72" s="3"/>
      <c r="BA72" s="3"/>
      <c r="BB72" s="3"/>
      <c r="BC72" s="3"/>
      <c r="BD72" s="3"/>
      <c r="BE72" s="3"/>
      <c r="BF72" s="3"/>
    </row>
    <row r="73" spans="1:58" ht="56" x14ac:dyDescent="0.15">
      <c r="A73" s="3">
        <v>72</v>
      </c>
      <c r="B73" s="3" t="str">
        <f ca="1">IFERROR(__xludf.DUMMYFUNCTION("GOOGLETRANSLATE(C73,""en"",""ta"")"),"அஸ்க்லெபியாஸ் குராசாவிகா")</f>
        <v>அஸ்க்லெபியாஸ் குராசாவிகா</v>
      </c>
      <c r="C73" s="4" t="s">
        <v>901</v>
      </c>
      <c r="D73" s="3" t="str">
        <f ca="1">IFERROR(__xludf.DUMMYFUNCTION("GOOGLETRANSLATE(E73,""en"",""ta"")"),"மூலினி")</f>
        <v>மூலினி</v>
      </c>
      <c r="E73" s="4" t="s">
        <v>902</v>
      </c>
      <c r="F73" s="3" t="str">
        <f ca="1">IFERROR(__xludf.DUMMYFUNCTION("GOOGLETRANSLATE(G73,""en"",""ta"")"),"நல்பலை")</f>
        <v>நல்பலை</v>
      </c>
      <c r="G73" s="4" t="s">
        <v>903</v>
      </c>
      <c r="H73" s="3" t="str">
        <f ca="1">IFERROR(__xludf.DUMMYFUNCTION("GOOGLETRANSLATE(I73,""en"",""ta"")"),"இரத்த மலர்")</f>
        <v>இரத்த மலர்</v>
      </c>
      <c r="I73" s="4" t="s">
        <v>904</v>
      </c>
      <c r="J73" s="3" t="str">
        <f ca="1">IFERROR(__xludf.DUMMYFUNCTION("GOOGLETRANSLATE(K73,""en"",""ta"")"),"குரினாஜா")</f>
        <v>குரினாஜா</v>
      </c>
      <c r="K73" s="4" t="s">
        <v>905</v>
      </c>
      <c r="L73" s="3" t="str">
        <f ca="1">IFERROR(__xludf.DUMMYFUNCTION("GOOGLETRANSLATE(M73,""en"",""ta"")"),"வல்லிப்பால்")</f>
        <v>வல்லிப்பால்</v>
      </c>
      <c r="M73" s="4" t="s">
        <v>906</v>
      </c>
      <c r="N73" s="3" t="str">
        <f ca="1">IFERROR(__xludf.DUMMYFUNCTION("GOOGLETRANSLATE(O73,""en"",""ta"")"),"ஜாங்லி-பிக்ரோன்")</f>
        <v>ஜாங்லி-பிக்ரோன்</v>
      </c>
      <c r="O73" s="4" t="s">
        <v>907</v>
      </c>
      <c r="P73" s="3"/>
      <c r="Q73" s="3" t="str">
        <f ca="1">IFERROR(__xludf.DUMMYFUNCTION("GOOGLETRANSLATE(R73,""en"",""ta"")"),"ஒரு நிமிர்ந்த புதர். இலைகள் எளிமையானவை, எதிரெதிர், மெல்லியவை மற்றும் இரு முனைகளிலும் குறுகலானவை. மஞ்சரி இலைக்கோணங்களில் அம்பல்களில் இருக்கும். பூக்கள் ஆரஞ்சு நிறத்தில் இருக்கும். பழங்கள் நுண்ணறை. விதைகள் முட்டை வடிவானது மற்றும் கோமாவுடன் அடர் பழுப்பு நிறத"&amp;"்தில் இருக்கும்.")</f>
        <v>ஒரு நிமிர்ந்த புதர். இலைகள் எளிமையானவை, எதிரெதிர், மெல்லியவை மற்றும் இரு முனைகளிலும் குறுகலானவை. மஞ்சரி இலைக்கோணங்களில் அம்பல்களில் இருக்கும். பூக்கள் ஆரஞ்சு நிறத்தில் இருக்கும். பழங்கள் நுண்ணறை. விதைகள் முட்டை வடிவானது மற்றும் கோமாவுடன் அடர் பழுப்பு நிறத்தில் இருக்கும்.</v>
      </c>
      <c r="R73" s="4" t="s">
        <v>908</v>
      </c>
      <c r="S73" s="3" t="str">
        <f ca="1">IFERROR(__xludf.DUMMYFUNCTION("GOOGLETRANSLATE(T73,""en"",""ta"")"),"வயிற்றுப்போக்கு, மூல நோய், கோனோரியா, இருமல், புற்றுநோய்.")</f>
        <v>வயிற்றுப்போக்கு, மூல நோய், கோனோரியா, இருமல், புற்றுநோய்.</v>
      </c>
      <c r="T73" s="4" t="s">
        <v>909</v>
      </c>
      <c r="U73" s="3" t="str">
        <f ca="1">IFERROR(__xludf.DUMMYFUNCTION("GOOGLETRANSLATE(V73,""en"",""ta"")"),"#VALUE!")</f>
        <v>#VALUE!</v>
      </c>
      <c r="V73" s="3"/>
      <c r="W73" s="3" t="str">
        <f ca="1">IFERROR(__xludf.DUMMYFUNCTION("GOOGLETRANSLATE(X73,""en"",""ta"")"),"வயிற்றுப்போக்கு, மூல நோய், கோனோரியா, இருமல், புற்றுநோய்.")</f>
        <v>வயிற்றுப்போக்கு, மூல நோய், கோனோரியா, இருமல், புற்றுநோய்.</v>
      </c>
      <c r="X73" s="4" t="s">
        <v>909</v>
      </c>
      <c r="Y73" s="3" t="str">
        <f ca="1">IFERROR(__xludf.DUMMYFUNCTION("GOOGLETRANSLATE(Z73,""en"",""ta"")"),"#VALUE!")</f>
        <v>#VALUE!</v>
      </c>
      <c r="Z73" s="3"/>
      <c r="AA73" s="3" t="str">
        <f ca="1">IFERROR(__xludf.DUMMYFUNCTION("GOOGLETRANSLATE(AB73,""en"",""ta"")"),"#VALUE!")</f>
        <v>#VALUE!</v>
      </c>
      <c r="AB73" s="3"/>
      <c r="AC73" s="3" t="str">
        <f ca="1">IFERROR(__xludf.DUMMYFUNCTION("GOOGLETRANSLATE(AD73,""en"",""ta"")"),"#VALUE!")</f>
        <v>#VALUE!</v>
      </c>
      <c r="AD73" s="3"/>
      <c r="AE73" s="3" t="str">
        <f ca="1">IFERROR(__xludf.DUMMYFUNCTION("GOOGLETRANSLATE(AF73,""en"",""ta"")"),"#VALUE!")</f>
        <v>#VALUE!</v>
      </c>
      <c r="AF73" s="3"/>
      <c r="AG73" s="3" t="str">
        <f ca="1">IFERROR(__xludf.DUMMYFUNCTION("GOOGLETRANSLATE(AH73,""en"",""ta"")"),"#VALUE!")</f>
        <v>#VALUE!</v>
      </c>
      <c r="AH73" s="3"/>
      <c r="AI73" s="3" t="str">
        <f ca="1">IFERROR(__xludf.DUMMYFUNCTION("GOOGLETRANSLATE(AJ73,""en"",""ta"")"),"#VALUE!")</f>
        <v>#VALUE!</v>
      </c>
      <c r="AJ73" s="3"/>
      <c r="AK73" s="3" t="str">
        <f ca="1">IFERROR(__xludf.DUMMYFUNCTION("GOOGLETRANSLATE(AL73,""en"",""ta"")"),"#VALUE!")</f>
        <v>#VALUE!</v>
      </c>
      <c r="AL73" s="3"/>
      <c r="AM73" s="3" t="str">
        <f ca="1">IFERROR(__xludf.DUMMYFUNCTION("GOOGLETRANSLATE(AN73,""en"",""ta"")"),"#VALUE!")</f>
        <v>#VALUE!</v>
      </c>
      <c r="AN73" s="3"/>
      <c r="AO73" s="3" t="str">
        <f ca="1">IFERROR(__xludf.DUMMYFUNCTION("GOOGLETRANSLATE(AP73,""en"",""ta"")"),"#VALUE!")</f>
        <v>#VALUE!</v>
      </c>
      <c r="AP73" s="3"/>
      <c r="AQ73" s="3"/>
      <c r="AR73" s="3" t="str">
        <f ca="1">IFERROR(__xludf.DUMMYFUNCTION("GOOGLETRANSLATE(AS73,""en"",""ta"")"),"வாந்தி, டயாபோரெடிக், எக்ஸ்பெக்டோரண்ட், ஸ்டைப்டிக் மற்றும் மலமிளக்கி.")</f>
        <v>வாந்தி, டயாபோரெடிக், எக்ஸ்பெக்டோரண்ட், ஸ்டைப்டிக் மற்றும் மலமிளக்கி.</v>
      </c>
      <c r="AS73" s="4" t="s">
        <v>910</v>
      </c>
      <c r="AT73" s="3" t="str">
        <f ca="1">IFERROR(__xludf.DUMMYFUNCTION("GOOGLETRANSLATE(AU73,""en"",""ta"")"),"வின்செடாக்சின், அஸ்க்லெபின், பி-சிட்டோஸ்டெரால், காலக்டின், உசாரின் மற்றும் கலோட்ரோபின்.")</f>
        <v>வின்செடாக்சின், அஸ்க்லெபின், பி-சிட்டோஸ்டெரால், காலக்டின், உசாரின் மற்றும் கலோட்ரோபின்.</v>
      </c>
      <c r="AU73" s="4" t="s">
        <v>911</v>
      </c>
      <c r="AV73" s="3"/>
      <c r="AW73" s="3" t="str">
        <f ca="1">IFERROR(__xludf.DUMMYFUNCTION("GOOGLETRANSLATE(AX73,""en"",""ta"")"),"i) இருமல் மற்றும் சளிக்கு இலைப் பொடியை உள்ளுக்குள்ளாகக் கொடுக்க வேண்டும். 
ii) நாள்பட்ட புண்களுக்கு, வேர்ப் பொடியை சம அளவு அகோரஸ் வேருடன் கலந்து கொடுக்க வேண்டும்.")</f>
        <v>i) இருமல் மற்றும் சளிக்கு இலைப் பொடியை உள்ளுக்குள்ளாகக் கொடுக்க வேண்டும். 
ii) நாள்பட்ட புண்களுக்கு, வேர்ப் பொடியை சம அளவு அகோரஸ் வேருடன் கலந்து கொடுக்க வேண்டும்.</v>
      </c>
      <c r="AX73" s="3" t="s">
        <v>2463</v>
      </c>
      <c r="AY73" s="3"/>
      <c r="AZ73" s="3"/>
      <c r="BA73" s="3"/>
      <c r="BB73" s="3"/>
      <c r="BC73" s="3"/>
      <c r="BD73" s="3"/>
      <c r="BE73" s="3"/>
      <c r="BF73" s="3"/>
    </row>
    <row r="74" spans="1:58" ht="140" x14ac:dyDescent="0.15">
      <c r="A74" s="3">
        <v>73</v>
      </c>
      <c r="B74" s="3" t="str">
        <f ca="1">IFERROR(__xludf.DUMMYFUNCTION("GOOGLETRANSLATE(C74,""en"",""ta"")"),"அஸ்பாரகஸ் ரேஸ்மோசஸ்")</f>
        <v>அஸ்பாரகஸ் ரேஸ்மோசஸ்</v>
      </c>
      <c r="C74" s="4" t="s">
        <v>913</v>
      </c>
      <c r="D74" s="3" t="str">
        <f ca="1">IFERROR(__xludf.DUMMYFUNCTION("GOOGLETRANSLATE(E74,""en"",""ta"")"),"தண்ணீர் விட்டான் பொடி")</f>
        <v>தண்ணீர் விட்டான் பொடி</v>
      </c>
      <c r="E74" s="4" t="s">
        <v>914</v>
      </c>
      <c r="F74" s="3" t="str">
        <f ca="1">IFERROR(__xludf.DUMMYFUNCTION("GOOGLETRANSLATE(G74,""en"",""ta"")"),"தண்ணீர்விட்டான் கிழங்கு")</f>
        <v>தண்ணீர்விட்டான் கிழங்கு</v>
      </c>
      <c r="G74" s="4" t="s">
        <v>915</v>
      </c>
      <c r="H74" s="3" t="str">
        <f ca="1">IFERROR(__xludf.DUMMYFUNCTION("GOOGLETRANSLATE(I74,""en"",""ta"")"),"காட்டு அஸ்பாரகஸ்")</f>
        <v>காட்டு அஸ்பாரகஸ்</v>
      </c>
      <c r="I74" s="4" t="s">
        <v>916</v>
      </c>
      <c r="J74" s="3" t="str">
        <f ca="1">IFERROR(__xludf.DUMMYFUNCTION("GOOGLETRANSLATE(K74,""en"",""ta"")"),"பில்லி-கட்டலு")</f>
        <v>பில்லி-கட்டலு</v>
      </c>
      <c r="K74" s="4" t="s">
        <v>917</v>
      </c>
      <c r="L74" s="3" t="str">
        <f ca="1">IFERROR(__xludf.DUMMYFUNCTION("GOOGLETRANSLATE(M74,""en"",""ta"")"),"சத்தாவளி")</f>
        <v>சத்தாவளி</v>
      </c>
      <c r="M74" s="4" t="s">
        <v>918</v>
      </c>
      <c r="N74" s="3" t="str">
        <f ca="1">IFERROR(__xludf.DUMMYFUNCTION("GOOGLETRANSLATE(O74,""en"",""ta"")"),"சதவர்")</f>
        <v>சதவர்</v>
      </c>
      <c r="O74" s="4" t="s">
        <v>919</v>
      </c>
      <c r="P74" s="3"/>
      <c r="Q74" s="3" t="str">
        <f ca="1">IFERROR(__xludf.DUMMYFUNCTION("GOOGLETRANSLATE(R74,""en"",""ta"")"),"ஒரு மெல்லிய, அதிக கிளைத்த, முள்ளந்தண்டு, கிழங்கு போன்ற வேர்களைக் கொண்ட புதரின் அடிப்பகுதியில், தண்டு ஏராளமான பியூசிஃபார்ம் வேர்களைக் கொண்டுள்ளது. இலைகள் சிறிய சாஃபி செதில்கள் மற்றும் முட்களாகக் குறைக்கப்படுகின்றன, கிளாடோடுகள் அசிகுலர், ஃபால்கேட் மற்றும் ம"&amp;"ெல்லிய கூரிய முனை. மலர்கள் வெள்ளை, மணம் கொண்டவை, சிறியவை, எளிமையான அல்லது கிளைத்த ரேசீம்களில் ஏராளமாக உள்ளன. பழங்கள் பெர்ரி, கோள வடிவ, கருஞ்சிவப்பு மற்றும் ட்ரைலோப். விதைகள் சிவப்பு.")</f>
        <v>ஒரு மெல்லிய, அதிக கிளைத்த, முள்ளந்தண்டு, கிழங்கு போன்ற வேர்களைக் கொண்ட புதரின் அடிப்பகுதியில், தண்டு ஏராளமான பியூசிஃபார்ம் வேர்களைக் கொண்டுள்ளது. இலைகள் சிறிய சாஃபி செதில்கள் மற்றும் முட்களாகக் குறைக்கப்படுகின்றன, கிளாடோடுகள் அசிகுலர், ஃபால்கேட் மற்றும் மெல்லிய கூரிய முனை. மலர்கள் வெள்ளை, மணம் கொண்டவை, சிறியவை, எளிமையான அல்லது கிளைத்த ரேசீம்களில் ஏராளமாக உள்ளன. பழங்கள் பெர்ரி, கோள வடிவ, கருஞ்சிவப்பு மற்றும் ட்ரைலோப். விதைகள் சிவப்பு.</v>
      </c>
      <c r="R74" s="4" t="s">
        <v>920</v>
      </c>
      <c r="S74" s="3" t="str">
        <f ca="1">IFERROR(__xludf.DUMMYFUNCTION("GOOGLETRANSLATE(T74,""en"",""ta"")"),"நரம்பு கோளாறுகள், டிஸ்ஸ்பெசியா, வயிற்றுப்போக்கு, காசநோய், வயிற்றுப்போக்கு, வீக்கம், எரியும் உணர்வு, கண் நோய், எரியும் சிறுநீர் கழித்தல், கருக்கலைப்பு, மூச்சுக்குழாய் அழற்சி, கோனோரியா மற்றும் வெள்ளை இரத்தக் கசிவு.")</f>
        <v>நரம்பு கோளாறுகள், டிஸ்ஸ்பெசியா, வயிற்றுப்போக்கு, காசநோய், வயிற்றுப்போக்கு, வீக்கம், எரியும் உணர்வு, கண் நோய், எரியும் சிறுநீர் கழித்தல், கருக்கலைப்பு, மூச்சுக்குழாய் அழற்சி, கோனோரியா மற்றும் வெள்ளை இரத்தக் கசிவு.</v>
      </c>
      <c r="T74" s="4" t="s">
        <v>921</v>
      </c>
      <c r="U74" s="3" t="str">
        <f ca="1">IFERROR(__xludf.DUMMYFUNCTION("GOOGLETRANSLATE(V74,""en"",""ta"")"),"#VALUE!")</f>
        <v>#VALUE!</v>
      </c>
      <c r="V74" s="3"/>
      <c r="W74" s="3" t="str">
        <f ca="1">IFERROR(__xludf.DUMMYFUNCTION("GOOGLETRANSLATE(X74,""en"",""ta"")"),"#VALUE!")</f>
        <v>#VALUE!</v>
      </c>
      <c r="X74" s="3"/>
      <c r="Y74" s="3" t="str">
        <f ca="1">IFERROR(__xludf.DUMMYFUNCTION("GOOGLETRANSLATE(Z74,""en"",""ta"")"),"#VALUE!")</f>
        <v>#VALUE!</v>
      </c>
      <c r="Z74" s="3"/>
      <c r="AA74" s="3" t="str">
        <f ca="1">IFERROR(__xludf.DUMMYFUNCTION("GOOGLETRANSLATE(AB74,""en"",""ta"")"),"#VALUE!")</f>
        <v>#VALUE!</v>
      </c>
      <c r="AB74" s="3"/>
      <c r="AC74" s="3" t="str">
        <f ca="1">IFERROR(__xludf.DUMMYFUNCTION("GOOGLETRANSLATE(AD74,""en"",""ta"")"),"#VALUE!")</f>
        <v>#VALUE!</v>
      </c>
      <c r="AD74" s="3"/>
      <c r="AE74" s="3" t="str">
        <f ca="1">IFERROR(__xludf.DUMMYFUNCTION("GOOGLETRANSLATE(AF74,""en"",""ta"")"),"#VALUE!")</f>
        <v>#VALUE!</v>
      </c>
      <c r="AF74" s="3"/>
      <c r="AG74" s="3" t="str">
        <f ca="1">IFERROR(__xludf.DUMMYFUNCTION("GOOGLETRANSLATE(AH74,""en"",""ta"")"),"#VALUE!")</f>
        <v>#VALUE!</v>
      </c>
      <c r="AH74" s="3"/>
      <c r="AI74" s="3" t="str">
        <f ca="1">IFERROR(__xludf.DUMMYFUNCTION("GOOGLETRANSLATE(AJ74,""en"",""ta"")"),"#VALUE!")</f>
        <v>#VALUE!</v>
      </c>
      <c r="AJ74" s="3"/>
      <c r="AK74" s="3" t="str">
        <f ca="1">IFERROR(__xludf.DUMMYFUNCTION("GOOGLETRANSLATE(AL74,""en"",""ta"")"),"#VALUE!")</f>
        <v>#VALUE!</v>
      </c>
      <c r="AL74" s="3"/>
      <c r="AM74" s="3" t="str">
        <f ca="1">IFERROR(__xludf.DUMMYFUNCTION("GOOGLETRANSLATE(AN74,""en"",""ta"")"),"#VALUE!")</f>
        <v>#VALUE!</v>
      </c>
      <c r="AN74" s="3"/>
      <c r="AO74" s="3" t="str">
        <f ca="1">IFERROR(__xludf.DUMMYFUNCTION("GOOGLETRANSLATE(AP74,""en"",""ta"")"),"#VALUE!")</f>
        <v>#VALUE!</v>
      </c>
      <c r="AP74" s="3"/>
      <c r="AQ74" s="3"/>
      <c r="AR74" s="3" t="str">
        <f ca="1">IFERROR(__xludf.DUMMYFUNCTION("GOOGLETRANSLATE(AS74,""en"",""ta"")"),"கசப்பு, மென்மையாக்கும் மருந்து, நரம்பு மண்டல ஊக்கி, சிறுநீர் பெருக்கி, கேலக்டோகாக், கண் மருத்துவம், பாலுணர்வூக்கி, புத்துணர்ச்சியூட்டும் மருந்து, பசியைத் தூண்டும் மருந்து, வலி ​​நிவாரணி மற்றும் டானிக்.")</f>
        <v>கசப்பு, மென்மையாக்கும் மருந்து, நரம்பு மண்டல ஊக்கி, சிறுநீர் பெருக்கி, கேலக்டோகாக், கண் மருத்துவம், பாலுணர்வூக்கி, புத்துணர்ச்சியூட்டும் மருந்து, பசியைத் தூண்டும் மருந்து, வலி ​​நிவாரணி மற்றும் டானிக்.</v>
      </c>
      <c r="AS74" s="4" t="s">
        <v>922</v>
      </c>
      <c r="AT74" s="3" t="str">
        <f ca="1">IFERROR(__xludf.DUMMYFUNCTION("GOOGLETRANSLATE(AU74,""en"",""ta"")"),"அஸ்பாரகின், சாக்கரின், டையோஸ்ஜெனின், குயர்செடின்3-குளுகுரோனைடு, குயர்செட்டின் கிளைகோசைடுகள், ஹைப்பரோசைடு, சயனிடின்-3-கேலக்டோசைடு.")</f>
        <v>அஸ்பாரகின், சாக்கரின், டையோஸ்ஜெனின், குயர்செடின்3-குளுகுரோனைடு, குயர்செட்டின் கிளைகோசைடுகள், ஹைப்பரோசைடு, சயனிடின்-3-கேலக்டோசைடு.</v>
      </c>
      <c r="AU74" s="4" t="s">
        <v>923</v>
      </c>
      <c r="AV74" s="3"/>
      <c r="AW74" s="3" t="str">
        <f ca="1">IFERROR(__xludf.DUMMYFUNCTION("GOOGLETRANSLATE(AX74,""en"",""ta"")"),"i) நெய் தடவிய வேகவைத்த இலைகளை கொப்புளங்கள், பெரியம்மை ஆகியவற்றில் தடவி, அவை சங்கமமாவதைத் தடுக்கலாம். 
ii) பாலில் கொதிக்க வைத்த வேர்களை பாலில் ஊற்றி, பித்தப்பை மற்றும் வயிற்றுப்போக்கைப் போக்கலாம்.")</f>
        <v>i) நெய் தடவிய வேகவைத்த இலைகளை கொப்புளங்கள், பெரியம்மை ஆகியவற்றில் தடவி, அவை சங்கமமாவதைத் தடுக்கலாம். 
ii) பாலில் கொதிக்க வைத்த வேர்களை பாலில் ஊற்றி, பித்தப்பை மற்றும் வயிற்றுப்போக்கைப் போக்கலாம்.</v>
      </c>
      <c r="AX74" s="3" t="s">
        <v>2464</v>
      </c>
      <c r="AY74" s="3"/>
      <c r="AZ74" s="3"/>
      <c r="BA74" s="3"/>
      <c r="BB74" s="3"/>
      <c r="BC74" s="3"/>
      <c r="BD74" s="3"/>
      <c r="BE74" s="3"/>
      <c r="BF74" s="3"/>
    </row>
    <row r="75" spans="1:58" ht="56" x14ac:dyDescent="0.15">
      <c r="A75" s="3">
        <v>74</v>
      </c>
      <c r="B75" s="3" t="str">
        <f ca="1">IFERROR(__xludf.DUMMYFUNCTION("GOOGLETRANSLATE(C75,""en"",""ta"")"),"அசிஸ்டேசியா கஞ்செடிகா")</f>
        <v>அசிஸ்டேசியா கஞ்செடிகா</v>
      </c>
      <c r="C75" s="4" t="s">
        <v>925</v>
      </c>
      <c r="D75" s="3" t="str">
        <f ca="1">IFERROR(__xludf.DUMMYFUNCTION("GOOGLETRANSLATE(E75,""en"",""ta"")"),"லவணா - வள்ளி")</f>
        <v>லவணா - வள்ளி</v>
      </c>
      <c r="E75" s="3" t="s">
        <v>926</v>
      </c>
      <c r="F75" s="3" t="str">
        <f ca="1">IFERROR(__xludf.DUMMYFUNCTION("GOOGLETRANSLATE(G75,""en"",""ta"")"),"மேடே கீரை")</f>
        <v>மேடே கீரை</v>
      </c>
      <c r="G75" s="4" t="s">
        <v>927</v>
      </c>
      <c r="H75" s="3" t="str">
        <f ca="1">IFERROR(__xludf.DUMMYFUNCTION("GOOGLETRANSLATE(I75,""en"",""ta"")"),"#VALUE!")</f>
        <v>#VALUE!</v>
      </c>
      <c r="I75" s="4"/>
      <c r="J75" s="3" t="str">
        <f ca="1">IFERROR(__xludf.DUMMYFUNCTION("GOOGLETRANSLATE(K75,""en"",""ta"")"),"#VALUE!")</f>
        <v>#VALUE!</v>
      </c>
      <c r="K75" s="3"/>
      <c r="L75" s="3" t="str">
        <f ca="1">IFERROR(__xludf.DUMMYFUNCTION("GOOGLETRANSLATE(M75,""en"",""ta"")"),"உப்புதாலி")</f>
        <v>உப்புதாலி</v>
      </c>
      <c r="M75" s="4" t="s">
        <v>928</v>
      </c>
      <c r="N75" s="3" t="str">
        <f ca="1">IFERROR(__xludf.DUMMYFUNCTION("GOOGLETRANSLATE(O75,""en"",""ta"")"),"#VALUE!")</f>
        <v>#VALUE!</v>
      </c>
      <c r="O75" s="3"/>
      <c r="P75" s="3"/>
      <c r="Q75" s="3" t="str">
        <f ca="1">IFERROR(__xludf.DUMMYFUNCTION("GOOGLETRANSLATE(R75,""en"",""ta"")"),"நிமிர்ந்த, சில நேரங்களில் ஏறும் மூலிகை. தண்டு நாற்கோணமானது. இலைகள் முட்டை வடிவானது, கூரியது, ஈட்டி வடிவானது மற்றும் இலைக்காம்பு வடிவானது. மலர்கள் வெளிர் மஞ்சள் நிறத்தில், சில சமயங்களில் முனையத்தில் ஊதா நிற புள்ளிகளுடன், ரேசீம்கள் போன்ற இலைக்கோணங்களில் காண"&amp;"ப்படும். பழங்கள் நீளமான நீள்வட்ட வடிவ 4 விதைகளைக் கொண்டவை, பிரியும் காப்ஸ்யூல். விதைகள் காசநோய் மற்றும் உரோமங்களற்றவை.")</f>
        <v>நிமிர்ந்த, சில நேரங்களில் ஏறும் மூலிகை. தண்டு நாற்கோணமானது. இலைகள் முட்டை வடிவானது, கூரியது, ஈட்டி வடிவானது மற்றும் இலைக்காம்பு வடிவானது. மலர்கள் வெளிர் மஞ்சள் நிறத்தில், சில சமயங்களில் முனையத்தில் ஊதா நிற புள்ளிகளுடன், ரேசீம்கள் போன்ற இலைக்கோணங்களில் காணப்படும். பழங்கள் நீளமான நீள்வட்ட வடிவ 4 விதைகளைக் கொண்டவை, பிரியும் காப்ஸ்யூல். விதைகள் காசநோய் மற்றும் உரோமங்களற்றவை.</v>
      </c>
      <c r="R75" s="4" t="s">
        <v>929</v>
      </c>
      <c r="S75" s="3" t="str">
        <f ca="1">IFERROR(__xludf.DUMMYFUNCTION("GOOGLETRANSLATE(T75,""en"",""ta"")"),"#VALUE!")</f>
        <v>#VALUE!</v>
      </c>
      <c r="T75" s="3"/>
      <c r="U75" s="3" t="str">
        <f ca="1">IFERROR(__xludf.DUMMYFUNCTION("GOOGLETRANSLATE(V75,""en"",""ta"")"),"#VALUE!")</f>
        <v>#VALUE!</v>
      </c>
      <c r="V75" s="3"/>
      <c r="W75" s="3" t="str">
        <f ca="1">IFERROR(__xludf.DUMMYFUNCTION("GOOGLETRANSLATE(X75,""en"",""ta"")"),"கண் நோய்கள், மூட்டு வலிகள் மற்றும் வீக்கம்")</f>
        <v>கண் நோய்கள், மூட்டு வலிகள் மற்றும் வீக்கம்</v>
      </c>
      <c r="X75" s="4" t="s">
        <v>930</v>
      </c>
      <c r="Y75" s="3" t="str">
        <f ca="1">IFERROR(__xludf.DUMMYFUNCTION("GOOGLETRANSLATE(Z75,""en"",""ta"")"),"#VALUE!")</f>
        <v>#VALUE!</v>
      </c>
      <c r="Z75" s="3"/>
      <c r="AA75" s="3" t="str">
        <f ca="1">IFERROR(__xludf.DUMMYFUNCTION("GOOGLETRANSLATE(AB75,""en"",""ta"")"),"#VALUE!")</f>
        <v>#VALUE!</v>
      </c>
      <c r="AB75" s="3"/>
      <c r="AC75" s="3" t="str">
        <f ca="1">IFERROR(__xludf.DUMMYFUNCTION("GOOGLETRANSLATE(AD75,""en"",""ta"")"),"#VALUE!")</f>
        <v>#VALUE!</v>
      </c>
      <c r="AD75" s="3"/>
      <c r="AE75" s="3" t="str">
        <f ca="1">IFERROR(__xludf.DUMMYFUNCTION("GOOGLETRANSLATE(AF75,""en"",""ta"")"),"#VALUE!")</f>
        <v>#VALUE!</v>
      </c>
      <c r="AF75" s="3"/>
      <c r="AG75" s="3" t="str">
        <f ca="1">IFERROR(__xludf.DUMMYFUNCTION("GOOGLETRANSLATE(AH75,""en"",""ta"")"),"#VALUE!")</f>
        <v>#VALUE!</v>
      </c>
      <c r="AH75" s="3"/>
      <c r="AI75" s="3" t="str">
        <f ca="1">IFERROR(__xludf.DUMMYFUNCTION("GOOGLETRANSLATE(AJ75,""en"",""ta"")"),"#VALUE!")</f>
        <v>#VALUE!</v>
      </c>
      <c r="AJ75" s="3"/>
      <c r="AK75" s="3" t="str">
        <f ca="1">IFERROR(__xludf.DUMMYFUNCTION("GOOGLETRANSLATE(AL75,""en"",""ta"")"),"#VALUE!")</f>
        <v>#VALUE!</v>
      </c>
      <c r="AL75" s="3"/>
      <c r="AM75" s="3" t="str">
        <f ca="1">IFERROR(__xludf.DUMMYFUNCTION("GOOGLETRANSLATE(AN75,""en"",""ta"")"),"#VALUE!")</f>
        <v>#VALUE!</v>
      </c>
      <c r="AN75" s="3"/>
      <c r="AO75" s="3" t="str">
        <f ca="1">IFERROR(__xludf.DUMMYFUNCTION("GOOGLETRANSLATE(AP75,""en"",""ta"")"),"#VALUE!")</f>
        <v>#VALUE!</v>
      </c>
      <c r="AP75" s="3"/>
      <c r="AQ75" s="3"/>
      <c r="AR75" s="3" t="str">
        <f ca="1">IFERROR(__xludf.DUMMYFUNCTION("GOOGLETRANSLATE(AS75,""en"",""ta"")"),"கிருமிநாசினி, புழுக்களால் ஏற்படும் புழுக்களைக் கொல்லும் மருந்து, அரிப்பு எதிர்ப்பு மருந்து, கேலக்டோகாக் மற்றும் அழற்சி எதிர்ப்பு மருந்து.")</f>
        <v>கிருமிநாசினி, புழுக்களால் ஏற்படும் புழுக்களைக் கொல்லும் மருந்து, அரிப்பு எதிர்ப்பு மருந்து, கேலக்டோகாக் மற்றும் அழற்சி எதிர்ப்பு மருந்து.</v>
      </c>
      <c r="AS75" s="4" t="s">
        <v>931</v>
      </c>
      <c r="AT75" s="3" t="str">
        <f ca="1">IFERROR(__xludf.DUMMYFUNCTION("GOOGLETRANSLATE(AU75,""en"",""ta"")"),"தியாமின், லுடியோலின், லுடியோலின்-7-குளுக்கோசைடு, ஐசோசாலிபர்போசைடு.")</f>
        <v>தியாமின், லுடியோலின், லுடியோலின்-7-குளுக்கோசைடு, ஐசோசாலிபர்போசைடு.</v>
      </c>
      <c r="AU75" s="4" t="s">
        <v>932</v>
      </c>
      <c r="AV75" s="3"/>
      <c r="AW75" s="3" t="str">
        <f ca="1">IFERROR(__xludf.DUMMYFUNCTION("GOOGLETRANSLATE(AX75,""en"",""ta"")"),"i) குடலில் உள்ள புழுக்களைப் போக்க இலைச்சாறு உட்புறமாக கொடுக்கப்படுகிறது. 
ii) இலை விழுது வெளிப்புறமாகப் பயன்படுத்தப்படுகிறது. 
அழற்சி வீக்கங்களுக்கு.")</f>
        <v>i) குடலில் உள்ள புழுக்களைப் போக்க இலைச்சாறு உட்புறமாக கொடுக்கப்படுகிறது. 
ii) இலை விழுது வெளிப்புறமாகப் பயன்படுத்தப்படுகிறது. 
அழற்சி வீக்கங்களுக்கு.</v>
      </c>
      <c r="AX75" s="3" t="s">
        <v>2465</v>
      </c>
      <c r="AY75" s="3"/>
      <c r="AZ75" s="3"/>
      <c r="BA75" s="3"/>
      <c r="BB75" s="3"/>
      <c r="BC75" s="3"/>
      <c r="BD75" s="3"/>
      <c r="BE75" s="3"/>
      <c r="BF75" s="3"/>
    </row>
    <row r="76" spans="1:58" ht="84" x14ac:dyDescent="0.15">
      <c r="A76" s="3">
        <v>75</v>
      </c>
      <c r="B76" s="3" t="str">
        <f ca="1">IFERROR(__xludf.DUMMYFUNCTION("GOOGLETRANSLATE(C76,""en"",""ta"")"),"அடலாந்தியா மோனோபில்லா")</f>
        <v>அடலாந்தியா மோனோபில்லா</v>
      </c>
      <c r="C76" s="4" t="s">
        <v>934</v>
      </c>
      <c r="D76" s="3" t="str">
        <f ca="1">IFERROR(__xludf.DUMMYFUNCTION("GOOGLETRANSLATE(E76,""en"",""ta"")"),"அடவிஜாம்பிரா")</f>
        <v>அடவிஜாம்பிரா</v>
      </c>
      <c r="E76" s="4" t="s">
        <v>935</v>
      </c>
      <c r="F76" s="3" t="str">
        <f ca="1">IFERROR(__xludf.DUMMYFUNCTION("GOOGLETRANSLATE(G76,""en"",""ta"")"),"காட்டு எலுமிச்சை")</f>
        <v>காட்டு எலுமிச்சை</v>
      </c>
      <c r="G76" s="4" t="s">
        <v>936</v>
      </c>
      <c r="H76" s="3" t="str">
        <f ca="1">IFERROR(__xludf.DUMMYFUNCTION("GOOGLETRANSLATE(I76,""en"",""ta"")"),"காட்டு சுண்ணாம்பு")</f>
        <v>காட்டு சுண்ணாம்பு</v>
      </c>
      <c r="I76" s="4" t="s">
        <v>937</v>
      </c>
      <c r="J76" s="3" t="str">
        <f ca="1">IFERROR(__xludf.DUMMYFUNCTION("GOOGLETRANSLATE(K76,""en"",""ta"")"),"அத்வை-நிம்மா")</f>
        <v>அத்வை-நிம்மா</v>
      </c>
      <c r="K76" s="4" t="s">
        <v>938</v>
      </c>
      <c r="L76" s="3" t="str">
        <f ca="1">IFERROR(__xludf.DUMMYFUNCTION("GOOGLETRANSLATE(M76,""en"",""ta"")"),"கட்டுனரெங்கா")</f>
        <v>கட்டுனரெங்கா</v>
      </c>
      <c r="M76" s="4" t="s">
        <v>939</v>
      </c>
      <c r="N76" s="3" t="str">
        <f ca="1">IFERROR(__xludf.DUMMYFUNCTION("GOOGLETRANSLATE(O76,""en"",""ta"")"),"ஜங்லினிம்பு")</f>
        <v>ஜங்லினிம்பு</v>
      </c>
      <c r="O76" s="4" t="s">
        <v>940</v>
      </c>
      <c r="P76" s="3"/>
      <c r="Q76" s="3" t="str">
        <f ca="1">IFERROR(__xludf.DUMMYFUNCTION("GOOGLETRANSLATE(R76,""en"",""ta"")"),"பசுமையான சிறிய முட்கள் நிறைந்த மரம். இலைகள் கூட்டு, மாற்று வடிவ, இலையடிச்செதில் செதில்கள் போன்றது, இலைக்காம்பு இறக்கைகள் கொண்டது. மலர்கள் மஞ்சள் நிறத்தில், இலைக்கோணங்களில் மற்றும் தனியாக இருக்கும். பழங்கள் பெரிய, கோள வடிவ பெர்ரி, அடர்த்தியான தோலுடன் இருக்"&amp;"கும். விதைகள் முட்டை வடிவானது.")</f>
        <v>பசுமையான சிறிய முட்கள் நிறைந்த மரம். இலைகள் கூட்டு, மாற்று வடிவ, இலையடிச்செதில் செதில்கள் போன்றது, இலைக்காம்பு இறக்கைகள் கொண்டது. மலர்கள் மஞ்சள் நிறத்தில், இலைக்கோணங்களில் மற்றும் தனியாக இருக்கும். பழங்கள் பெரிய, கோள வடிவ பெர்ரி, அடர்த்தியான தோலுடன் இருக்கும். விதைகள் முட்டை வடிவானது.</v>
      </c>
      <c r="R76" s="4" t="s">
        <v>941</v>
      </c>
      <c r="S76" s="3" t="str">
        <f ca="1">IFERROR(__xludf.DUMMYFUNCTION("GOOGLETRANSLATE(T76,""en"",""ta"")"),"பாம்பு கடி, வாத நோய், வீக்கம்.")</f>
        <v>பாம்பு கடி, வாத நோய், வீக்கம்.</v>
      </c>
      <c r="T76" s="4" t="s">
        <v>942</v>
      </c>
      <c r="U76" s="3" t="str">
        <f ca="1">IFERROR(__xludf.DUMMYFUNCTION("GOOGLETRANSLATE(V76,""en"",""ta"")"),"#VALUE!")</f>
        <v>#VALUE!</v>
      </c>
      <c r="V76" s="3"/>
      <c r="W76" s="3" t="str">
        <f ca="1">IFERROR(__xludf.DUMMYFUNCTION("GOOGLETRANSLATE(X76,""en"",""ta"")"),"ஹெமிப்லீஜியா")</f>
        <v>ஹெமிப்லீஜியா</v>
      </c>
      <c r="X76" s="4" t="s">
        <v>943</v>
      </c>
      <c r="Y76" s="3" t="str">
        <f ca="1">IFERROR(__xludf.DUMMYFUNCTION("GOOGLETRANSLATE(Z76,""en"",""ta"")"),"#VALUE!")</f>
        <v>#VALUE!</v>
      </c>
      <c r="Z76" s="3"/>
      <c r="AA76" s="3" t="str">
        <f ca="1">IFERROR(__xludf.DUMMYFUNCTION("GOOGLETRANSLATE(AB76,""en"",""ta"")"),"#VALUE!")</f>
        <v>#VALUE!</v>
      </c>
      <c r="AB76" s="3"/>
      <c r="AC76" s="3" t="str">
        <f ca="1">IFERROR(__xludf.DUMMYFUNCTION("GOOGLETRANSLATE(AD76,""en"",""ta"")"),"#VALUE!")</f>
        <v>#VALUE!</v>
      </c>
      <c r="AD76" s="3"/>
      <c r="AE76" s="3" t="str">
        <f ca="1">IFERROR(__xludf.DUMMYFUNCTION("GOOGLETRANSLATE(AF76,""en"",""ta"")"),"#VALUE!")</f>
        <v>#VALUE!</v>
      </c>
      <c r="AF76" s="3"/>
      <c r="AG76" s="3" t="str">
        <f ca="1">IFERROR(__xludf.DUMMYFUNCTION("GOOGLETRANSLATE(AH76,""en"",""ta"")"),"#VALUE!")</f>
        <v>#VALUE!</v>
      </c>
      <c r="AH76" s="3"/>
      <c r="AI76" s="3" t="str">
        <f ca="1">IFERROR(__xludf.DUMMYFUNCTION("GOOGLETRANSLATE(AJ76,""en"",""ta"")"),"#VALUE!")</f>
        <v>#VALUE!</v>
      </c>
      <c r="AJ76" s="3"/>
      <c r="AK76" s="3" t="str">
        <f ca="1">IFERROR(__xludf.DUMMYFUNCTION("GOOGLETRANSLATE(AL76,""en"",""ta"")"),"#VALUE!")</f>
        <v>#VALUE!</v>
      </c>
      <c r="AL76" s="3"/>
      <c r="AM76" s="3" t="str">
        <f ca="1">IFERROR(__xludf.DUMMYFUNCTION("GOOGLETRANSLATE(AN76,""en"",""ta"")"),"காய்ச்சல், சுவை இழப்பு மற்றும் பசியின்மை, நாள்பட்ட வாத நோய் மற்றும் பக்கவாதம்.")</f>
        <v>காய்ச்சல், சுவை இழப்பு மற்றும் பசியின்மை, நாள்பட்ட வாத நோய் மற்றும் பக்கவாதம்.</v>
      </c>
      <c r="AN76" s="4" t="s">
        <v>944</v>
      </c>
      <c r="AO76" s="3" t="str">
        <f ca="1">IFERROR(__xludf.DUMMYFUNCTION("GOOGLETRANSLATE(AP76,""en"",""ta"")"),"#VALUE!")</f>
        <v>#VALUE!</v>
      </c>
      <c r="AP76" s="3"/>
      <c r="AQ76" s="3"/>
      <c r="AR76" s="3" t="str">
        <f ca="1">IFERROR(__xludf.DUMMYFUNCTION("GOOGLETRANSLATE(AS76,""en"",""ta"")"),"தூண்டுதல், ஆண்டிஸ்பாஸ்மோடிக், ஆன்டிபாக்டீரியல், பூஞ்சை எதிர்ப்பு, ஆன்டிபிலஸ்.")</f>
        <v>தூண்டுதல், ஆண்டிஸ்பாஸ்மோடிக், ஆன்டிபாக்டீரியல், பூஞ்சை எதிர்ப்பு, ஆன்டிபிலஸ்.</v>
      </c>
      <c r="AS76" s="4" t="s">
        <v>945</v>
      </c>
      <c r="AT76" s="3" t="str">
        <f ca="1">IFERROR(__xludf.DUMMYFUNCTION("GOOGLETRANSLATE(AU76,""en"",""ta"")"),"ஆவியாகும் எண்ணெய், மியூசிலேஜ், அட்டலான்டின், டானின், ஸ்டார்ச், அவுராப்டீன், அட்டலாஃபிலின், லாக்டோன், கோபேன், ஏ-டிரான்ஸ் பெர்கமோடீன், பி-பிசபோலீன், லிமோனாய்டுகள், சைக்ளோபியடலான்டின், ஜி-சிட்டோஸ்டெரால்.")</f>
        <v>ஆவியாகும் எண்ணெய், மியூசிலேஜ், அட்டலான்டின், டானின், ஸ்டார்ச், அவுராப்டீன், அட்டலாஃபிலின், லாக்டோன், கோபேன், ஏ-டிரான்ஸ் பெர்கமோடீன், பி-பிசபோலீன், லிமோனாய்டுகள், சைக்ளோபியடலான்டின், ஜி-சிட்டோஸ்டெரால்.</v>
      </c>
      <c r="AU76" s="4" t="s">
        <v>946</v>
      </c>
      <c r="AV76" s="3"/>
      <c r="AW76" s="3" t="str">
        <f ca="1">IFERROR(__xludf.DUMMYFUNCTION("GOOGLETRANSLATE(AX76,""en"",""ta"")"),"i) நாள்பட்ட வாத நோய்க்கு பழ எண்ணெய் மதிப்புமிக்கது. ii) ஹெமிப்லீஜியாவுக்கு இலைக் கஷாயம் உட்புறமாக வழங்கப்படுகிறது.")</f>
        <v>i) நாள்பட்ட வாத நோய்க்கு பழ எண்ணெய் மதிப்புமிக்கது. ii) ஹெமிப்லீஜியாவுக்கு இலைக் கஷாயம் உட்புறமாக வழங்கப்படுகிறது.</v>
      </c>
      <c r="AX76" s="3" t="s">
        <v>2466</v>
      </c>
      <c r="AY76" s="3"/>
      <c r="AZ76" s="3"/>
      <c r="BA76" s="3"/>
      <c r="BB76" s="3"/>
      <c r="BC76" s="3"/>
      <c r="BD76" s="3"/>
      <c r="BE76" s="3"/>
      <c r="BF76" s="3"/>
    </row>
    <row r="77" spans="1:58" ht="42" x14ac:dyDescent="0.15">
      <c r="A77" s="3">
        <v>76</v>
      </c>
      <c r="B77" s="3" t="str">
        <f ca="1">IFERROR(__xludf.DUMMYFUNCTION("GOOGLETRANSLATE(C77,""en"",""ta"")"),"அவெர்ஹோவா கேரம்போலா")</f>
        <v>அவெர்ஹோவா கேரம்போலா</v>
      </c>
      <c r="C77" s="4" t="s">
        <v>948</v>
      </c>
      <c r="D77" s="3" t="str">
        <f ca="1">IFERROR(__xludf.DUMMYFUNCTION("GOOGLETRANSLATE(E77,""en"",""ta"")"),"பிருஹத்தலா")</f>
        <v>பிருஹத்தலா</v>
      </c>
      <c r="E77" s="4" t="s">
        <v>949</v>
      </c>
      <c r="F77" s="3" t="str">
        <f ca="1">IFERROR(__xludf.DUMMYFUNCTION("GOOGLETRANSLATE(G77,""en"",""ta"")"),"தாமரட்டை")</f>
        <v>தாமரட்டை</v>
      </c>
      <c r="G77" s="4" t="s">
        <v>950</v>
      </c>
      <c r="H77" s="3" t="str">
        <f ca="1">IFERROR(__xludf.DUMMYFUNCTION("GOOGLETRANSLATE(I77,""en"",""ta"")"),"நட்சத்திரப் பழம்")</f>
        <v>நட்சத்திரப் பழம்</v>
      </c>
      <c r="I77" s="4" t="s">
        <v>951</v>
      </c>
      <c r="J77" s="3" t="str">
        <f ca="1">IFERROR(__xludf.DUMMYFUNCTION("GOOGLETRANSLATE(K77,""en"",""ta"")"),"டமரத்தமு")</f>
        <v>டமரத்தமு</v>
      </c>
      <c r="K77" s="4" t="s">
        <v>952</v>
      </c>
      <c r="L77" s="3" t="str">
        <f ca="1">IFERROR(__xludf.DUMMYFUNCTION("GOOGLETRANSLATE(M77,""en"",""ta"")"),"புலிச்சி")</f>
        <v>புலிச்சி</v>
      </c>
      <c r="M77" s="4" t="s">
        <v>953</v>
      </c>
      <c r="N77" s="3" t="str">
        <f ca="1">IFERROR(__xludf.DUMMYFUNCTION("GOOGLETRANSLATE(O77,""en"",""ta"")"),"காம்ராக்")</f>
        <v>காம்ராக்</v>
      </c>
      <c r="O77" s="4" t="s">
        <v>954</v>
      </c>
      <c r="P77" s="3"/>
      <c r="Q77" s="3" t="str">
        <f ca="1">IFERROR(__xludf.DUMMYFUNCTION("GOOGLETRANSLATE(R77,""en"",""ta"")"),"நெருக்கமாக தொங்கிய கிளைகளைக் கொண்ட ஒரு சிறிய மரம். இலைகள் கூட்டு, மாற்று வடிவ, சிற்றிலைகள் முட்டை வடிவ, நீள்வட்ட மற்றும் தொடுவதற்கு எரிச்சலூட்டும். பூக்கள் குட்டையான ரேசீம்களில், முக்கியமாக இலைக்கோணங்களில் வெள்ளை அல்லது ஊதா நிறத்தில் இருக்கும். பழங்கள் நீ"&amp;"ள்வட்டமாக, கூர்மையான கோணத்தில் மற்றும் மஞ்சள் நிற பெர்ரிகள் குறுக்குவெட்டில் நட்சத்திர வடிவிலானவை. விதைகள் அரிலேட்.")</f>
        <v>நெருக்கமாக தொங்கிய கிளைகளைக் கொண்ட ஒரு சிறிய மரம். இலைகள் கூட்டு, மாற்று வடிவ, சிற்றிலைகள் முட்டை வடிவ, நீள்வட்ட மற்றும் தொடுவதற்கு எரிச்சலூட்டும். பூக்கள் குட்டையான ரேசீம்களில், முக்கியமாக இலைக்கோணங்களில் வெள்ளை அல்லது ஊதா நிறத்தில் இருக்கும். பழங்கள் நீள்வட்டமாக, கூர்மையான கோணத்தில் மற்றும் மஞ்சள் நிற பெர்ரிகள் குறுக்குவெட்டில் நட்சத்திர வடிவிலானவை. விதைகள் அரிலேட்.</v>
      </c>
      <c r="R77" s="4" t="s">
        <v>955</v>
      </c>
      <c r="S77" s="3" t="str">
        <f ca="1">IFERROR(__xludf.DUMMYFUNCTION("GOOGLETRANSLATE(T77,""en"",""ta"")"),"#VALUE!")</f>
        <v>#VALUE!</v>
      </c>
      <c r="T77" s="3"/>
      <c r="U77" s="3" t="str">
        <f ca="1">IFERROR(__xludf.DUMMYFUNCTION("GOOGLETRANSLATE(V77,""en"",""ta"")"),"#VALUE!")</f>
        <v>#VALUE!</v>
      </c>
      <c r="V77" s="3"/>
      <c r="W77" s="3" t="str">
        <f ca="1">IFERROR(__xludf.DUMMYFUNCTION("GOOGLETRANSLATE(X77,""en"",""ta"")"),"வாந்தி, வயிற்றுப்போக்கு, ஆஸ்துமா, பெருங்குடல் அழற்சி, மஞ்சள் காமாலை, இரத்தப்போக்கு மூல நோய் மற்றும் சிரங்கு")</f>
        <v>வாந்தி, வயிற்றுப்போக்கு, ஆஸ்துமா, பெருங்குடல் அழற்சி, மஞ்சள் காமாலை, இரத்தப்போக்கு மூல நோய் மற்றும் சிரங்கு</v>
      </c>
      <c r="X77" s="4" t="s">
        <v>956</v>
      </c>
      <c r="Y77" s="3" t="str">
        <f ca="1">IFERROR(__xludf.DUMMYFUNCTION("GOOGLETRANSLATE(Z77,""en"",""ta"")"),"#VALUE!")</f>
        <v>#VALUE!</v>
      </c>
      <c r="Z77" s="3"/>
      <c r="AA77" s="3" t="str">
        <f ca="1">IFERROR(__xludf.DUMMYFUNCTION("GOOGLETRANSLATE(AB77,""en"",""ta"")"),"#VALUE!")</f>
        <v>#VALUE!</v>
      </c>
      <c r="AB77" s="3"/>
      <c r="AC77" s="3" t="str">
        <f ca="1">IFERROR(__xludf.DUMMYFUNCTION("GOOGLETRANSLATE(AD77,""en"",""ta"")"),"#VALUE!")</f>
        <v>#VALUE!</v>
      </c>
      <c r="AD77" s="3"/>
      <c r="AE77" s="3" t="str">
        <f ca="1">IFERROR(__xludf.DUMMYFUNCTION("GOOGLETRANSLATE(AF77,""en"",""ta"")"),"#VALUE!")</f>
        <v>#VALUE!</v>
      </c>
      <c r="AF77" s="3"/>
      <c r="AG77" s="3" t="str">
        <f ca="1">IFERROR(__xludf.DUMMYFUNCTION("GOOGLETRANSLATE(AH77,""en"",""ta"")"),"#VALUE!")</f>
        <v>#VALUE!</v>
      </c>
      <c r="AH77" s="3"/>
      <c r="AI77" s="3" t="str">
        <f ca="1">IFERROR(__xludf.DUMMYFUNCTION("GOOGLETRANSLATE(AJ77,""en"",""ta"")"),"#VALUE!")</f>
        <v>#VALUE!</v>
      </c>
      <c r="AJ77" s="3"/>
      <c r="AK77" s="3" t="str">
        <f ca="1">IFERROR(__xludf.DUMMYFUNCTION("GOOGLETRANSLATE(AL77,""en"",""ta"")"),"#VALUE!")</f>
        <v>#VALUE!</v>
      </c>
      <c r="AL77" s="3"/>
      <c r="AM77" s="3" t="str">
        <f ca="1">IFERROR(__xludf.DUMMYFUNCTION("GOOGLETRANSLATE(AN77,""en"",""ta"")"),"மலச்சிக்கல், வாந்தி, வயிற்றுப்போக்கு, ஆஸ்துமா, மஞ்சள் காமாலை")</f>
        <v>மலச்சிக்கல், வாந்தி, வயிற்றுப்போக்கு, ஆஸ்துமா, மஞ்சள் காமாலை</v>
      </c>
      <c r="AN77" s="4" t="s">
        <v>957</v>
      </c>
      <c r="AO77" s="3" t="str">
        <f ca="1">IFERROR(__xludf.DUMMYFUNCTION("GOOGLETRANSLATE(AP77,""en"",""ta"")"),"#VALUE!")</f>
        <v>#VALUE!</v>
      </c>
      <c r="AP77" s="3"/>
      <c r="AQ77" s="3"/>
      <c r="AR77" s="3" t="str">
        <f ca="1">IFERROR(__xludf.DUMMYFUNCTION("GOOGLETRANSLATE(AS77,""en"",""ta"")"),"மலமிளக்கி, குளிர்பதனம், ஆன்டிபிளாஜிஸ்டிக், ஆன்டிடிஸ்சென்டெரிக் மற்றும் ஆன்டிஸ்கார்ப்யூடிக்.")</f>
        <v>மலமிளக்கி, குளிர்பதனம், ஆன்டிபிளாஜிஸ்டிக், ஆன்டிடிஸ்சென்டெரிக் மற்றும் ஆன்டிஸ்கார்ப்யூடிக்.</v>
      </c>
      <c r="AS77" s="4" t="s">
        <v>958</v>
      </c>
      <c r="AT77" s="3" t="str">
        <f ca="1">IFERROR(__xludf.DUMMYFUNCTION("GOOGLETRANSLATE(AU77,""en"",""ta"")"),"பொட்டாசியம் ஆக்சலேட் மற்றும் ஆக்ஸாலிக் அமிலம், லினோலிக் அமிலம், பால்மிடிக் அமிலம் மற்றும் ஸ்டீரிக் அமிலம்.")</f>
        <v>பொட்டாசியம் ஆக்சலேட் மற்றும் ஆக்ஸாலிக் அமிலம், லினோலிக் அமிலம், பால்மிடிக் அமிலம் மற்றும் ஸ்டீரிக் அமிலம்.</v>
      </c>
      <c r="AU77" s="4" t="s">
        <v>959</v>
      </c>
      <c r="AV77" s="3"/>
      <c r="AW77" s="3" t="str">
        <f ca="1">IFERROR(__xludf.DUMMYFUNCTION("GOOGLETRANSLATE(AX77,""en"",""ta"")"),"i) பித்தப்பை வலி மற்றும் வயிற்றுப்போக்குக்கு வேரின் கஷாயம் பரிந்துரைக்கப்படுகிறது. ii) பழச்சாறு இரத்தப்போக்கு மூல நோய்க்கு ஒரு நல்ல தீர்வாகும்.")</f>
        <v>i) பித்தப்பை வலி மற்றும் வயிற்றுப்போக்குக்கு வேரின் கஷாயம் பரிந்துரைக்கப்படுகிறது. ii) பழச்சாறு இரத்தப்போக்கு மூல நோய்க்கு ஒரு நல்ல தீர்வாகும்.</v>
      </c>
      <c r="AX77" s="4" t="s">
        <v>2467</v>
      </c>
      <c r="AY77" s="3"/>
      <c r="AZ77" s="3"/>
      <c r="BA77" s="3"/>
      <c r="BB77" s="3"/>
      <c r="BC77" s="3"/>
      <c r="BD77" s="3"/>
      <c r="BE77" s="3"/>
      <c r="BF77" s="3"/>
    </row>
    <row r="78" spans="1:58" ht="84" x14ac:dyDescent="0.15">
      <c r="A78" s="3">
        <v>77</v>
      </c>
      <c r="B78" s="3" t="str">
        <f ca="1">IFERROR(__xludf.DUMMYFUNCTION("GOOGLETRANSLATE(C78,""en"",""ta"")"),"அசாடிராக்டா இண்டிகா")</f>
        <v>அசாடிராக்டா இண்டிகா</v>
      </c>
      <c r="C78" s="4" t="s">
        <v>961</v>
      </c>
      <c r="D78" s="3" t="str">
        <f ca="1">IFERROR(__xludf.DUMMYFUNCTION("GOOGLETRANSLATE(E78,""en"",""ta"")"),"நிம்பா")</f>
        <v>நிம்பா</v>
      </c>
      <c r="E78" s="4" t="s">
        <v>962</v>
      </c>
      <c r="F78" s="3" t="str">
        <f ca="1">IFERROR(__xludf.DUMMYFUNCTION("GOOGLETRANSLATE(G78,""en"",""ta"")"),"வேம்பு")</f>
        <v>வேம்பு</v>
      </c>
      <c r="G78" s="4" t="s">
        <v>963</v>
      </c>
      <c r="H78" s="3" t="str">
        <f ca="1">IFERROR(__xludf.DUMMYFUNCTION("GOOGLETRANSLATE(I78,""en"",""ta"")"),"வேப்ப மரம்")</f>
        <v>வேப்ப மரம்</v>
      </c>
      <c r="I78" s="4" t="s">
        <v>964</v>
      </c>
      <c r="J78" s="3" t="str">
        <f ca="1">IFERROR(__xludf.DUMMYFUNCTION("GOOGLETRANSLATE(K78,""en"",""ta"")"),"வேபா")</f>
        <v>வேபா</v>
      </c>
      <c r="K78" s="4" t="s">
        <v>965</v>
      </c>
      <c r="L78" s="3" t="str">
        <f ca="1">IFERROR(__xludf.DUMMYFUNCTION("GOOGLETRANSLATE(M78,""en"",""ta"")"),"வேப்பு")</f>
        <v>வேப்பு</v>
      </c>
      <c r="M78" s="4" t="s">
        <v>966</v>
      </c>
      <c r="N78" s="3" t="str">
        <f ca="1">IFERROR(__xludf.DUMMYFUNCTION("GOOGLETRANSLATE(O78,""en"",""ta"")"),"நிம்")</f>
        <v>நிம்</v>
      </c>
      <c r="O78" s="3" t="s">
        <v>967</v>
      </c>
      <c r="P78" s="3"/>
      <c r="Q78" s="3" t="str">
        <f ca="1">IFERROR(__xludf.DUMMYFUNCTION("GOOGLETRANSLATE(R78,""en"",""ta"")"),"ஒரு பெரிய இலையுதிர் மரம். இலைகள் ஒற்றை-பின்னேட் கூட்டு, மாற்று, சிற்றிலை ரம்பம் போன்றது. மலர்கள் வெள்ளை அல்லது வெளிர் மஞ்சள் நிறத்தில், நறுமணமுள்ளவை, சிறியவை, ஏராளமானவை, மெல்லியவை, இலைக்கோணங்களில் காணப்படும் நீண்ட மஞ்சரிகளில் காணப்படும். பழங்கள் ட்ரூப். வ"&amp;"ிதை ஒன்று அல்புமினஸ்.")</f>
        <v>ஒரு பெரிய இலையுதிர் மரம். இலைகள் ஒற்றை-பின்னேட் கூட்டு, மாற்று, சிற்றிலை ரம்பம் போன்றது. மலர்கள் வெள்ளை அல்லது வெளிர் மஞ்சள் நிறத்தில், நறுமணமுள்ளவை, சிறியவை, ஏராளமானவை, மெல்லியவை, இலைக்கோணங்களில் காணப்படும் நீண்ட மஞ்சரிகளில் காணப்படும். பழங்கள் ட்ரூப். விதை ஒன்று அல்புமினஸ்.</v>
      </c>
      <c r="R78" s="4" t="s">
        <v>968</v>
      </c>
      <c r="S78" s="3" t="str">
        <f ca="1">IFERROR(__xludf.DUMMYFUNCTION("GOOGLETRANSLATE(T78,""en"",""ta"")"),"#VALUE!")</f>
        <v>#VALUE!</v>
      </c>
      <c r="T78" s="3"/>
      <c r="U78" s="3" t="str">
        <f ca="1">IFERROR(__xludf.DUMMYFUNCTION("GOOGLETRANSLATE(V78,""en"",""ta"")"),"கட்டிகள், தொண்டை வலி, புண்கள், நீரிழிவு நோய்.")</f>
        <v>கட்டிகள், தொண்டை வலி, புண்கள், நீரிழிவு நோய்.</v>
      </c>
      <c r="V78" s="4" t="s">
        <v>969</v>
      </c>
      <c r="W78" s="3" t="str">
        <f ca="1">IFERROR(__xludf.DUMMYFUNCTION("GOOGLETRANSLATE(X78,""en"",""ta"")"),"குடல் புழுக்கள், காசநோய் மற்றும் கொதிப்புகள்")</f>
        <v>குடல் புழுக்கள், காசநோய் மற்றும் கொதிப்புகள்</v>
      </c>
      <c r="X78" s="4" t="s">
        <v>970</v>
      </c>
      <c r="Y78" s="3" t="str">
        <f ca="1">IFERROR(__xludf.DUMMYFUNCTION("GOOGLETRANSLATE(Z78,""en"",""ta"")"),"வயிற்றுப் புண், குடல் புழுக்கள் மற்றும் பொதுவான பலவீனம்")</f>
        <v>வயிற்றுப் புண், குடல் புழுக்கள் மற்றும் பொதுவான பலவீனம்</v>
      </c>
      <c r="Z78" s="4" t="s">
        <v>971</v>
      </c>
      <c r="AA78" s="3" t="str">
        <f ca="1">IFERROR(__xludf.DUMMYFUNCTION("GOOGLETRANSLATE(AB78,""en"",""ta"")"),"தொழுநோய், லுகோடெர்மா, மலேரியா மற்றும் நீரிழிவு நோய்.")</f>
        <v>தொழுநோய், லுகோடெர்மா, மலேரியா மற்றும் நீரிழிவு நோய்.</v>
      </c>
      <c r="AB78" s="4" t="s">
        <v>972</v>
      </c>
      <c r="AC78" s="3" t="str">
        <f ca="1">IFERROR(__xludf.DUMMYFUNCTION("GOOGLETRANSLATE(AD78,""en"",""ta"")"),"#VALUE!")</f>
        <v>#VALUE!</v>
      </c>
      <c r="AD78" s="3"/>
      <c r="AE78" s="3" t="str">
        <f ca="1">IFERROR(__xludf.DUMMYFUNCTION("GOOGLETRANSLATE(AF78,""en"",""ta"")"),"#VALUE!")</f>
        <v>#VALUE!</v>
      </c>
      <c r="AF78" s="3"/>
      <c r="AG78" s="3" t="str">
        <f ca="1">IFERROR(__xludf.DUMMYFUNCTION("GOOGLETRANSLATE(AH78,""en"",""ta"")"),"#VALUE!")</f>
        <v>#VALUE!</v>
      </c>
      <c r="AH78" s="3"/>
      <c r="AI78" s="3" t="str">
        <f ca="1">IFERROR(__xludf.DUMMYFUNCTION("GOOGLETRANSLATE(AJ78,""en"",""ta"")"),"#VALUE!")</f>
        <v>#VALUE!</v>
      </c>
      <c r="AJ78" s="3"/>
      <c r="AK78" s="3" t="str">
        <f ca="1">IFERROR(__xludf.DUMMYFUNCTION("GOOGLETRANSLATE(AL78,""en"",""ta"")"),"#VALUE!")</f>
        <v>#VALUE!</v>
      </c>
      <c r="AL78" s="3"/>
      <c r="AM78" s="3" t="str">
        <f ca="1">IFERROR(__xludf.DUMMYFUNCTION("GOOGLETRANSLATE(AN78,""en"",""ta"")"),"#VALUE!")</f>
        <v>#VALUE!</v>
      </c>
      <c r="AN78" s="3"/>
      <c r="AO78" s="3" t="str">
        <f ca="1">IFERROR(__xludf.DUMMYFUNCTION("GOOGLETRANSLATE(AP78,""en"",""ta"")"),"#VALUE!")</f>
        <v>#VALUE!</v>
      </c>
      <c r="AP78" s="3"/>
      <c r="AQ78" s="3"/>
      <c r="AR78" s="3" t="str">
        <f ca="1">IFERROR(__xludf.DUMMYFUNCTION("GOOGLETRANSLATE(AS78,""en"",""ta"")"),"கசப்பு, துவர்ப்பு, அமிலத்தன்மை, குளிர்பதனப் பொருள், வைரஸ் எதிர்ப்பு, பாக்டீரியா எதிர்ப்பு, பீரியடோடிக் எதிர்ப்பு, டீமல்சென்ட், கல்லீரல் டானிக், சளி நீக்கி மற்றும் புழுக்களுக்கு மருந்தாக பயன்படுகிறது.")</f>
        <v>கசப்பு, துவர்ப்பு, அமிலத்தன்மை, குளிர்பதனப் பொருள், வைரஸ் எதிர்ப்பு, பாக்டீரியா எதிர்ப்பு, பீரியடோடிக் எதிர்ப்பு, டீமல்சென்ட், கல்லீரல் டானிக், சளி நீக்கி மற்றும் புழுக்களுக்கு மருந்தாக பயன்படுகிறது.</v>
      </c>
      <c r="AS78" s="4" t="s">
        <v>973</v>
      </c>
      <c r="AT78" s="3" t="str">
        <f ca="1">IFERROR(__xludf.DUMMYFUNCTION("GOOGLETRANSLATE(AU78,""en"",""ta"")"),"அசாடிரோன், விலாசினின், மெலிசிட்ரின், மார்கோசின், டானின், அசாடிராக்டின், மெலியானின், நிம்பின், குலினோன், பி-சிட்டோஸ்டெரால், பி-கரோட்டின், நிம்பிடின், மைரிசெடின் கிளைகோசைடுகள் மற்றும் அரபினோசைடுகள்.")</f>
        <v>அசாடிரோன், விலாசினின், மெலிசிட்ரின், மார்கோசின், டானின், அசாடிராக்டின், மெலியானின், நிம்பின், குலினோன், பி-சிட்டோஸ்டெரால், பி-கரோட்டின், நிம்பிடின், மைரிசெடின் கிளைகோசைடுகள் மற்றும் அரபினோசைடுகள்.</v>
      </c>
      <c r="AU78" s="4" t="s">
        <v>974</v>
      </c>
      <c r="AV78" s="3"/>
      <c r="AW78" s="3" t="str">
        <f ca="1">IFERROR(__xludf.DUMMYFUNCTION("GOOGLETRANSLATE(AX78,""en"",""ta"")"),"i) இளம் இலைகள் மற்றும் கருப்பு மிளகை பேஸ்டாக உருவாக்கி, குடல் ஹெல்மின்தியாசிஸுக்கு உட்புறமாக எடுத்துக் கொள்ளப்படுகிறது. ii) வெற்றிலையில் சில துளிகள் எண்ணெய் எடுத்துக்கொள்வது ஆஸ்துமாவில் நிவாரணம் அளிக்கிறது.")</f>
        <v>i) இளம் இலைகள் மற்றும் கருப்பு மிளகை பேஸ்டாக உருவாக்கி, குடல் ஹெல்மின்தியாசிஸுக்கு உட்புறமாக எடுத்துக் கொள்ளப்படுகிறது. ii) வெற்றிலையில் சில துளிகள் எண்ணெய் எடுத்துக்கொள்வது ஆஸ்துமாவில் நிவாரணம் அளிக்கிறது.</v>
      </c>
      <c r="AX78" s="4" t="s">
        <v>2468</v>
      </c>
      <c r="AY78" s="3"/>
      <c r="AZ78" s="3"/>
      <c r="BA78" s="3"/>
      <c r="BB78" s="3"/>
      <c r="BC78" s="3"/>
      <c r="BD78" s="3"/>
      <c r="BE78" s="3"/>
      <c r="BF78" s="3"/>
    </row>
    <row r="79" spans="1:58" ht="42" x14ac:dyDescent="0.15">
      <c r="A79" s="3">
        <v>78</v>
      </c>
      <c r="B79" s="3" t="str">
        <f ca="1">IFERROR(__xludf.DUMMYFUNCTION("GOOGLETRANSLATE(C79,""en"",""ta"")"),"அசிமா டெட்ராகாந்தா")</f>
        <v>அசிமா டெட்ராகாந்தா</v>
      </c>
      <c r="C79" s="4" t="s">
        <v>976</v>
      </c>
      <c r="D79" s="3" t="str">
        <f ca="1">IFERROR(__xludf.DUMMYFUNCTION("GOOGLETRANSLATE(E79,""en"",""ta"")"),"குண்டலி")</f>
        <v>குண்டலி</v>
      </c>
      <c r="E79" s="4" t="s">
        <v>977</v>
      </c>
      <c r="F79" s="3" t="str">
        <f ca="1">IFERROR(__xludf.DUMMYFUNCTION("GOOGLETRANSLATE(G79,""en"",""ta"")"),"முட்சங்கன்")</f>
        <v>முட்சங்கன்</v>
      </c>
      <c r="G79" s="4" t="s">
        <v>978</v>
      </c>
      <c r="H79" s="3" t="str">
        <f ca="1">IFERROR(__xludf.DUMMYFUNCTION("GOOGLETRANSLATE(I79,""en"",""ta"")"),"மூடுபனி கால்விரல்")</f>
        <v>மூடுபனி கால்விரல்</v>
      </c>
      <c r="I79" s="4" t="s">
        <v>979</v>
      </c>
      <c r="J79" s="3" t="str">
        <f ca="1">IFERROR(__xludf.DUMMYFUNCTION("GOOGLETRANSLATE(K79,""en"",""ta"")"),"டெல்லா உபி")</f>
        <v>டெல்லா உபி</v>
      </c>
      <c r="K79" s="4" t="s">
        <v>980</v>
      </c>
      <c r="L79" s="3" t="str">
        <f ca="1">IFERROR(__xludf.DUMMYFUNCTION("GOOGLETRANSLATE(M79,""en"",""ta"")"),"சங்கச்சேடி")</f>
        <v>சங்கச்சேடி</v>
      </c>
      <c r="M79" s="4" t="s">
        <v>981</v>
      </c>
      <c r="N79" s="3" t="str">
        <f ca="1">IFERROR(__xludf.DUMMYFUNCTION("GOOGLETRANSLATE(O79,""en"",""ta"")"),"கண்டகூர்-கமாய்")</f>
        <v>கண்டகூர்-கமாய்</v>
      </c>
      <c r="O79" s="4" t="s">
        <v>982</v>
      </c>
      <c r="P79" s="3"/>
      <c r="Q79" s="3" t="str">
        <f ca="1">IFERROR(__xludf.DUMMYFUNCTION("GOOGLETRANSLATE(R79,""en"",""ta"")"),"இலைக்கோணங்களில் முட்கள் கொண்ட ஒரு அலைந்து திரியும் புதர். இலைகள் எதிரெதிர், முழுதாக, காம்பற்றது, இலைக்கோணங்களில் காணப்படும், கிளைகள் நாற்புற சாம்பல் நிற பச்சை நிற பளபளப்பான இலைகளுடன் நிரந்தர இலை அடிப்பகுதி, மியூக்ரோனேட் நுனிகள் மற்றும் அச்சிலிருந்து நேரான"&amp;" முட்கள் கொண்டவை. மலர்கள் இலையுதிர், சிறிய, இலைக்கோணங்களில் காணப்படும். பழங்கள் ஒரு விதை கொண்ட பெர்ரி.")</f>
        <v>இலைக்கோணங்களில் முட்கள் கொண்ட ஒரு அலைந்து திரியும் புதர். இலைகள் எதிரெதிர், முழுதாக, காம்பற்றது, இலைக்கோணங்களில் காணப்படும், கிளைகள் நாற்புற சாம்பல் நிற பச்சை நிற பளபளப்பான இலைகளுடன் நிரந்தர இலை அடிப்பகுதி, மியூக்ரோனேட் நுனிகள் மற்றும் அச்சிலிருந்து நேரான முட்கள் கொண்டவை. மலர்கள் இலையுதிர், சிறிய, இலைக்கோணங்களில் காணப்படும். பழங்கள் ஒரு விதை கொண்ட பெர்ரி.</v>
      </c>
      <c r="R79" s="4" t="s">
        <v>983</v>
      </c>
      <c r="S79" s="3" t="str">
        <f ca="1">IFERROR(__xludf.DUMMYFUNCTION("GOOGLETRANSLATE(T79,""en"",""ta"")"),"வாத நோய், சொட்டு மருந்து, டிஸ்ஸ்பெசியா மற்றும் நாள்பட்ட வயிற்றுப்போக்கு.")</f>
        <v>வாத நோய், சொட்டு மருந்து, டிஸ்ஸ்பெசியா மற்றும் நாள்பட்ட வயிற்றுப்போக்கு.</v>
      </c>
      <c r="T79" s="4" t="s">
        <v>984</v>
      </c>
      <c r="U79" s="3" t="str">
        <f ca="1">IFERROR(__xludf.DUMMYFUNCTION("GOOGLETRANSLATE(V79,""en"",""ta"")"),"#VALUE!")</f>
        <v>#VALUE!</v>
      </c>
      <c r="V79" s="3"/>
      <c r="W79" s="3" t="str">
        <f ca="1">IFERROR(__xludf.DUMMYFUNCTION("GOOGLETRANSLATE(X79,""en"",""ta"")"),"வாத நோய், சொட்டு மருந்து, டிஸ்ஸ்பெசியா மற்றும் நாள்பட்ட வயிற்றுப்போக்கு.")</f>
        <v>வாத நோய், சொட்டு மருந்து, டிஸ்ஸ்பெசியா மற்றும் நாள்பட்ட வயிற்றுப்போக்கு.</v>
      </c>
      <c r="X79" s="4" t="s">
        <v>984</v>
      </c>
      <c r="Y79" s="3" t="str">
        <f ca="1">IFERROR(__xludf.DUMMYFUNCTION("GOOGLETRANSLATE(Z79,""en"",""ta"")"),"#VALUE!")</f>
        <v>#VALUE!</v>
      </c>
      <c r="Z79" s="3"/>
      <c r="AA79" s="3" t="str">
        <f ca="1">IFERROR(__xludf.DUMMYFUNCTION("GOOGLETRANSLATE(AB79,""en"",""ta"")"),"#VALUE!")</f>
        <v>#VALUE!</v>
      </c>
      <c r="AB79" s="3"/>
      <c r="AC79" s="3" t="str">
        <f ca="1">IFERROR(__xludf.DUMMYFUNCTION("GOOGLETRANSLATE(AD79,""en"",""ta"")"),"#VALUE!")</f>
        <v>#VALUE!</v>
      </c>
      <c r="AD79" s="3"/>
      <c r="AE79" s="3" t="str">
        <f ca="1">IFERROR(__xludf.DUMMYFUNCTION("GOOGLETRANSLATE(AF79,""en"",""ta"")"),"#VALUE!")</f>
        <v>#VALUE!</v>
      </c>
      <c r="AF79" s="3"/>
      <c r="AG79" s="3" t="str">
        <f ca="1">IFERROR(__xludf.DUMMYFUNCTION("GOOGLETRANSLATE(AH79,""en"",""ta"")"),"#VALUE!")</f>
        <v>#VALUE!</v>
      </c>
      <c r="AH79" s="3"/>
      <c r="AI79" s="3" t="str">
        <f ca="1">IFERROR(__xludf.DUMMYFUNCTION("GOOGLETRANSLATE(AJ79,""en"",""ta"")"),"#VALUE!")</f>
        <v>#VALUE!</v>
      </c>
      <c r="AJ79" s="3"/>
      <c r="AK79" s="3" t="str">
        <f ca="1">IFERROR(__xludf.DUMMYFUNCTION("GOOGLETRANSLATE(AL79,""en"",""ta"")"),"#VALUE!")</f>
        <v>#VALUE!</v>
      </c>
      <c r="AL79" s="3"/>
      <c r="AM79" s="3" t="str">
        <f ca="1">IFERROR(__xludf.DUMMYFUNCTION("GOOGLETRANSLATE(AN79,""en"",""ta"")"),"#VALUE!")</f>
        <v>#VALUE!</v>
      </c>
      <c r="AN79" s="3"/>
      <c r="AO79" s="3" t="str">
        <f ca="1">IFERROR(__xludf.DUMMYFUNCTION("GOOGLETRANSLATE(AP79,""en"",""ta"")"),"#VALUE!")</f>
        <v>#VALUE!</v>
      </c>
      <c r="AP79" s="3"/>
      <c r="AQ79" s="3"/>
      <c r="AR79" s="3" t="str">
        <f ca="1">IFERROR(__xludf.DUMMYFUNCTION("GOOGLETRANSLATE(AS79,""en"",""ta"")"),"டையூரிடிக், தூண்டுதல், டானிக், துவர்ப்பு மருந்து மற்றும் சளி நீக்கி.")</f>
        <v>டையூரிடிக், தூண்டுதல், டானிக், துவர்ப்பு மருந்து மற்றும் சளி நீக்கி.</v>
      </c>
      <c r="AS79" s="4" t="s">
        <v>985</v>
      </c>
      <c r="AT79" s="3" t="str">
        <f ca="1">IFERROR(__xludf.DUMMYFUNCTION("GOOGLETRANSLATE(AU79,""en"",""ta"")"),"அசிமைன், அஸ்கார்பைன், கார்பைன், நார்சிசின், ஃப்ரீடெலின், குளுட்டினோல், லூபியோல் மற்றும் பி-சிட்டோஸ்டெரால்.")</f>
        <v>அசிமைன், அஸ்கார்பைன், கார்பைன், நார்சிசின், ஃப்ரீடெலின், குளுட்டினோல், லூபியோல் மற்றும் பி-சிட்டோஸ்டெரால்.</v>
      </c>
      <c r="AU79" s="4" t="s">
        <v>986</v>
      </c>
      <c r="AV79" s="3"/>
      <c r="AW79" s="3" t="str">
        <f ca="1">IFERROR(__xludf.DUMMYFUNCTION("GOOGLETRANSLATE(AX79,""en"",""ta"")"),"i) இலைச்சாறு, மூச்சுக்குழாய் அழற்சி மற்றும் ஆஸ்துமா இருமலைப் போக்கக் கொடுக்கப்படுகிறது. ii) பிரசவித்த பெண்களுக்கு, இலைகளை வேப்பம்பூவுடன் சேர்த்து பேஸ்டாகப் பூசப்படுகிறது.")</f>
        <v>i) இலைச்சாறு, மூச்சுக்குழாய் அழற்சி மற்றும் ஆஸ்துமா இருமலைப் போக்கக் கொடுக்கப்படுகிறது. ii) பிரசவித்த பெண்களுக்கு, இலைகளை வேப்பம்பூவுடன் சேர்த்து பேஸ்டாகப் பூசப்படுகிறது.</v>
      </c>
      <c r="AX79" s="4" t="s">
        <v>2469</v>
      </c>
      <c r="AY79" s="3"/>
      <c r="AZ79" s="3"/>
      <c r="BA79" s="3"/>
      <c r="BB79" s="3"/>
      <c r="BC79" s="3"/>
      <c r="BD79" s="3"/>
      <c r="BE79" s="3"/>
      <c r="BF79" s="3"/>
    </row>
    <row r="80" spans="1:58" ht="56" x14ac:dyDescent="0.15">
      <c r="A80" s="3">
        <v>79</v>
      </c>
      <c r="B80" s="3" t="str">
        <f ca="1">IFERROR(__xludf.DUMMYFUNCTION("GOOGLETRANSLATE(C80,""en"",""ta"")"),"பகோபா மோன்னீரி")</f>
        <v>பகோபா மோன்னீரி</v>
      </c>
      <c r="C80" s="4" t="s">
        <v>988</v>
      </c>
      <c r="D80" s="3" t="str">
        <f ca="1">IFERROR(__xludf.DUMMYFUNCTION("GOOGLETRANSLATE(E80,""en"",""ta"")"),"பிராமி")</f>
        <v>பிராமி</v>
      </c>
      <c r="E80" s="4" t="s">
        <v>989</v>
      </c>
      <c r="F80" s="3" t="str">
        <f ca="1">IFERROR(__xludf.DUMMYFUNCTION("GOOGLETRANSLATE(G80,""en"",""ta"")"),"நீர் பிராமி")</f>
        <v>நீர் பிராமி</v>
      </c>
      <c r="G80" s="4" t="s">
        <v>990</v>
      </c>
      <c r="H80" s="3" t="str">
        <f ca="1">IFERROR(__xludf.DUMMYFUNCTION("GOOGLETRANSLATE(I80,""en"",""ta"")"),"தைம் இலை கிராஷியோலா")</f>
        <v>தைம் இலை கிராஷியோலா</v>
      </c>
      <c r="I80" s="4" t="s">
        <v>991</v>
      </c>
      <c r="J80" s="3" t="str">
        <f ca="1">IFERROR(__xludf.DUMMYFUNCTION("GOOGLETRANSLATE(K80,""en"",""ta"")"),"சாம்பிராணி சேட்டு")</f>
        <v>சாம்பிராணி சேட்டு</v>
      </c>
      <c r="K80" s="4" t="s">
        <v>992</v>
      </c>
      <c r="L80" s="3" t="str">
        <f ca="1">IFERROR(__xludf.DUMMYFUNCTION("GOOGLETRANSLATE(M80,""en"",""ta"")"),"நீர் பிராமி")</f>
        <v>நீர் பிராமி</v>
      </c>
      <c r="M80" s="4" t="s">
        <v>993</v>
      </c>
      <c r="N80" s="3" t="str">
        <f ca="1">IFERROR(__xludf.DUMMYFUNCTION("GOOGLETRANSLATE(O80,""en"",""ta"")"),"பிராமி")</f>
        <v>பிராமி</v>
      </c>
      <c r="O80" s="4" t="s">
        <v>989</v>
      </c>
      <c r="P80" s="3"/>
      <c r="Q80" s="3" t="str">
        <f ca="1">IFERROR(__xludf.DUMMYFUNCTION("GOOGLETRANSLATE(R80,""en"",""ta"")"),"கிளைகளுடன் கூடிய ஒரு சிறிய, ஊர்ந்து செல்லும் சதுப்பு நில மூலிகை. இலைகள் எளிமையானவை, ஆப்பு வடிவானது, குறுகிய இலைக்காம்பு மற்றும் நீள்வட்டமானது. மலர்கள் தனித்தவை, இலைக்கோணங்களில், வெள்ளை அல்லது ஊதா நிறமுடைய இலைக்கோணங்களில் சைம். பழங்கள் முட்டை வடிவ காப்ஸ்யூ"&amp;"ல், விதைகள் சிறியவை.")</f>
        <v>கிளைகளுடன் கூடிய ஒரு சிறிய, ஊர்ந்து செல்லும் சதுப்பு நில மூலிகை. இலைகள் எளிமையானவை, ஆப்பு வடிவானது, குறுகிய இலைக்காம்பு மற்றும் நீள்வட்டமானது. மலர்கள் தனித்தவை, இலைக்கோணங்களில், வெள்ளை அல்லது ஊதா நிறமுடைய இலைக்கோணங்களில் சைம். பழங்கள் முட்டை வடிவ காப்ஸ்யூல், விதைகள் சிறியவை.</v>
      </c>
      <c r="R80" s="4" t="s">
        <v>994</v>
      </c>
      <c r="S80" s="3" t="str">
        <f ca="1">IFERROR(__xludf.DUMMYFUNCTION("GOOGLETRANSLATE(T80,""en"",""ta"")"),"#VALUE!")</f>
        <v>#VALUE!</v>
      </c>
      <c r="T80" s="3"/>
      <c r="U80" s="3" t="str">
        <f ca="1">IFERROR(__xludf.DUMMYFUNCTION("GOOGLETRANSLATE(V80,""en"",""ta"")"),"#VALUE!")</f>
        <v>#VALUE!</v>
      </c>
      <c r="V80" s="3"/>
      <c r="W80" s="3" t="str">
        <f ca="1">IFERROR(__xludf.DUMMYFUNCTION("GOOGLETRANSLATE(X80,""en"",""ta"")"),"கால்-கை வலிப்பு, பைத்தியம், அமென்ஷியா, கட்டிகள், புண்கள், நரம்புத் தளர்ச்சி, ஆஸ்துமா, கடுமையான மூச்சுக்குழாய் அழற்சி, பலவீனம், பித்தநீர்க்கட்டி, மண்ணீரல் மற்றும் ஆஸ்கைட்ஸ்.")</f>
        <v>கால்-கை வலிப்பு, பைத்தியம், அமென்ஷியா, கட்டிகள், புண்கள், நரம்புத் தளர்ச்சி, ஆஸ்துமா, கடுமையான மூச்சுக்குழாய் அழற்சி, பலவீனம், பித்தநீர்க்கட்டி, மண்ணீரல் மற்றும் ஆஸ்கைட்ஸ்.</v>
      </c>
      <c r="X80" s="4" t="s">
        <v>995</v>
      </c>
      <c r="Y80" s="3" t="str">
        <f ca="1">IFERROR(__xludf.DUMMYFUNCTION("GOOGLETRANSLATE(Z80,""en"",""ta"")"),"#VALUE!")</f>
        <v>#VALUE!</v>
      </c>
      <c r="Z80" s="3"/>
      <c r="AA80" s="3" t="str">
        <f ca="1">IFERROR(__xludf.DUMMYFUNCTION("GOOGLETRANSLATE(AB80,""en"",""ta"")"),"#VALUE!")</f>
        <v>#VALUE!</v>
      </c>
      <c r="AB80" s="3"/>
      <c r="AC80" s="3" t="str">
        <f ca="1">IFERROR(__xludf.DUMMYFUNCTION("GOOGLETRANSLATE(AD80,""en"",""ta"")"),"#VALUE!")</f>
        <v>#VALUE!</v>
      </c>
      <c r="AD80" s="3"/>
      <c r="AE80" s="3" t="str">
        <f ca="1">IFERROR(__xludf.DUMMYFUNCTION("GOOGLETRANSLATE(AF80,""en"",""ta"")"),"#VALUE!")</f>
        <v>#VALUE!</v>
      </c>
      <c r="AF80" s="3"/>
      <c r="AG80" s="3" t="str">
        <f ca="1">IFERROR(__xludf.DUMMYFUNCTION("GOOGLETRANSLATE(AH80,""en"",""ta"")"),"#VALUE!")</f>
        <v>#VALUE!</v>
      </c>
      <c r="AH80" s="3"/>
      <c r="AI80" s="3" t="str">
        <f ca="1">IFERROR(__xludf.DUMMYFUNCTION("GOOGLETRANSLATE(AJ80,""en"",""ta"")"),"#VALUE!")</f>
        <v>#VALUE!</v>
      </c>
      <c r="AJ80" s="3"/>
      <c r="AK80" s="3" t="str">
        <f ca="1">IFERROR(__xludf.DUMMYFUNCTION("GOOGLETRANSLATE(AL80,""en"",""ta"")"),"#VALUE!")</f>
        <v>#VALUE!</v>
      </c>
      <c r="AL80" s="3"/>
      <c r="AM80" s="3" t="str">
        <f ca="1">IFERROR(__xludf.DUMMYFUNCTION("GOOGLETRANSLATE(AN80,""en"",""ta"")"),"#VALUE!")</f>
        <v>#VALUE!</v>
      </c>
      <c r="AN80" s="3"/>
      <c r="AO80" s="3" t="str">
        <f ca="1">IFERROR(__xludf.DUMMYFUNCTION("GOOGLETRANSLATE(AP80,""en"",""ta"")"),"#VALUE!")</f>
        <v>#VALUE!</v>
      </c>
      <c r="AP80" s="3"/>
      <c r="AQ80" s="3"/>
      <c r="AR80" s="3" t="str">
        <f ca="1">IFERROR(__xludf.DUMMYFUNCTION("GOOGLETRANSLATE(AS80,""en"",""ta"")"),"துவர்ப்பு மருந்து, கசப்பு மருந்து, குளிர்விக்கும் மருந்து, மலமிளக்கி, அறிவாற்றலை ஊக்குவிக்கும் மருந்து, இரைப்பை குடல் அழற்சி மருந்து, செரிமான மருந்து, சிறுநீர் பெருக்கி, அழற்சி எதிர்ப்பு மருந்து மற்றும் மூச்சுக்குழாய் விரிவாக்கி.")</f>
        <v>துவர்ப்பு மருந்து, கசப்பு மருந்து, குளிர்விக்கும் மருந்து, மலமிளக்கி, அறிவாற்றலை ஊக்குவிக்கும் மருந்து, இரைப்பை குடல் அழற்சி மருந்து, செரிமான மருந்து, சிறுநீர் பெருக்கி, அழற்சி எதிர்ப்பு மருந்து மற்றும் மூச்சுக்குழாய் விரிவாக்கி.</v>
      </c>
      <c r="AS80" s="4" t="s">
        <v>996</v>
      </c>
      <c r="AT80" s="3" t="str">
        <f ca="1">IFERROR(__xludf.DUMMYFUNCTION("GOOGLETRANSLATE(AU80,""en"",""ta"")"),"பிராமைன், ஹெர்பெஸ்டைன், பாக்கோசைட் A1&amp;A3, மோனியரின், ஹெர்சபோனின், நிக்கோடின், லுடியோலின், பாக்கோஜெனின் A1-A4 மற்றும் ஜுஜுபோஜெனின்.")</f>
        <v>பிராமைன், ஹெர்பெஸ்டைன், பாக்கோசைட் A1&amp;A3, மோனியரின், ஹெர்சபோனின், நிக்கோடின், லுடியோலின், பாக்கோஜெனின் A1-A4 மற்றும் ஜுஜுபோஜெனின்.</v>
      </c>
      <c r="AU80" s="4" t="s">
        <v>997</v>
      </c>
      <c r="AV80" s="3"/>
      <c r="AW80" s="3" t="str">
        <f ca="1">IFERROR(__xludf.DUMMYFUNCTION("GOOGLETRANSLATE(AX80,""en"",""ta"")"),"i) இலைகளை நெய்யில் வறுத்து தொண்டை வலிக்கு உள்ளே எடுத்துக் கொள்ள வேண்டும். ii) மூட்டுகளில் ஏற்படும் அழற்சி வீக்கங்களுக்கு இலை மருந்தைப் பயன்படுத்த வேண்டும்.")</f>
        <v>i) இலைகளை நெய்யில் வறுத்து தொண்டை வலிக்கு உள்ளே எடுத்துக் கொள்ள வேண்டும். ii) மூட்டுகளில் ஏற்படும் அழற்சி வீக்கங்களுக்கு இலை மருந்தைப் பயன்படுத்த வேண்டும்.</v>
      </c>
      <c r="AX80" s="3" t="s">
        <v>2470</v>
      </c>
      <c r="AY80" s="3"/>
      <c r="AZ80" s="3"/>
      <c r="BA80" s="3"/>
      <c r="BB80" s="3"/>
      <c r="BC80" s="3"/>
      <c r="BD80" s="3"/>
      <c r="BE80" s="3"/>
      <c r="BF80" s="3"/>
    </row>
    <row r="81" spans="1:58" ht="56" x14ac:dyDescent="0.15">
      <c r="A81" s="3">
        <v>80</v>
      </c>
      <c r="B81" s="3" t="str">
        <f ca="1">IFERROR(__xludf.DUMMYFUNCTION("GOOGLETRANSLATE(C81,""en"",""ta"")"),"பாலியோஸ்பெர்ம் மொன்டனம்")</f>
        <v>பாலியோஸ்பெர்ம் மொன்டனம்</v>
      </c>
      <c r="C81" s="4" t="s">
        <v>999</v>
      </c>
      <c r="D81" s="3" t="str">
        <f ca="1">IFERROR(__xludf.DUMMYFUNCTION("GOOGLETRANSLATE(E81,""en"",""ta"")"),"டான்டி")</f>
        <v>டான்டி</v>
      </c>
      <c r="E81" s="4" t="s">
        <v>1000</v>
      </c>
      <c r="F81" s="3" t="str">
        <f ca="1">IFERROR(__xludf.DUMMYFUNCTION("GOOGLETRANSLATE(G81,""en"",""ta"")"),"பேயமணக்கு")</f>
        <v>பேயமணக்கு</v>
      </c>
      <c r="G81" s="4" t="s">
        <v>1001</v>
      </c>
      <c r="H81" s="3" t="str">
        <f ca="1">IFERROR(__xludf.DUMMYFUNCTION("GOOGLETRANSLATE(I81,""en"",""ta"")"),"காட்டு ஆமணக்கு")</f>
        <v>காட்டு ஆமணக்கு</v>
      </c>
      <c r="I81" s="4" t="s">
        <v>1002</v>
      </c>
      <c r="J81" s="3" t="str">
        <f ca="1">IFERROR(__xludf.DUMMYFUNCTION("GOOGLETRANSLATE(K81,""en"",""ta"")"),"அடவி அமுதமு")</f>
        <v>அடவி அமுதமு</v>
      </c>
      <c r="K81" s="4" t="s">
        <v>1003</v>
      </c>
      <c r="L81" s="3" t="str">
        <f ca="1">IFERROR(__xludf.DUMMYFUNCTION("GOOGLETRANSLATE(M81,""en"",""ta"")"),"நாகதந்தி")</f>
        <v>நாகதந்தி</v>
      </c>
      <c r="M81" s="4" t="s">
        <v>1004</v>
      </c>
      <c r="N81" s="3" t="str">
        <f ca="1">IFERROR(__xludf.DUMMYFUNCTION("GOOGLETRANSLATE(O81,""en"",""ta"")"),"சோட்டி தந்தி")</f>
        <v>சோட்டி தந்தி</v>
      </c>
      <c r="O81" s="4" t="s">
        <v>1005</v>
      </c>
      <c r="P81" s="3"/>
      <c r="Q81" s="3" t="str">
        <f ca="1">IFERROR(__xludf.DUMMYFUNCTION("GOOGLETRANSLATE(R81,""en"",""ta"")"),"ஒரு ஒற்றைப் புதர், மேல் இலைகள் சிறியதாகவும் ஈட்டி வடிவமாகவும், இலைக்காம்புகள் ஒரு ஜோடி செதில் சுரப்பிகளைக் கொண்டதாகவும், கீழ் இலைகள் பெரியதாகவும், முட்டை வடிவமாகவும், உள்ளங்கை வடிவ மடல்களுடனும் இருக்கும். பூக்கள் சிறியவை, பச்சை நிறத்தில் இலைக்கோணங்களில் உ"&amp;"ள்ளன, அனைத்து ஆண் பூக்களும் கீழே சில பெண் பூக்களுடன் இருக்கும். பழங்கள் காப்ஸ்யூல். விதைகள் நீள்வட்டமானது, மென்மையானது, பளபளப்பானது, எண்டோஸ்பெர்ம் எண்ணெய் மிக்கது.")</f>
        <v>ஒரு ஒற்றைப் புதர், மேல் இலைகள் சிறியதாகவும் ஈட்டி வடிவமாகவும், இலைக்காம்புகள் ஒரு ஜோடி செதில் சுரப்பிகளைக் கொண்டதாகவும், கீழ் இலைகள் பெரியதாகவும், முட்டை வடிவமாகவும், உள்ளங்கை வடிவ மடல்களுடனும் இருக்கும். பூக்கள் சிறியவை, பச்சை நிறத்தில் இலைக்கோணங்களில் உள்ளன, அனைத்து ஆண் பூக்களும் கீழே சில பெண் பூக்களுடன் இருக்கும். பழங்கள் காப்ஸ்யூல். விதைகள் நீள்வட்டமானது, மென்மையானது, பளபளப்பானது, எண்டோஸ்பெர்ம் எண்ணெய் மிக்கது.</v>
      </c>
      <c r="R81" s="4" t="s">
        <v>1006</v>
      </c>
      <c r="S81" s="3" t="str">
        <f ca="1">IFERROR(__xludf.DUMMYFUNCTION("GOOGLETRANSLATE(T81,""en"",""ta"")"),"நீர்ச்சத்து, வாய்வு, மலச்சிக்கல், மஞ்சள் காமாலை மற்றும் மூல நோய்.")</f>
        <v>நீர்ச்சத்து, வாய்வு, மலச்சிக்கல், மஞ்சள் காமாலை மற்றும் மூல நோய்.</v>
      </c>
      <c r="T81" s="4" t="s">
        <v>1007</v>
      </c>
      <c r="U81" s="3" t="str">
        <f ca="1">IFERROR(__xludf.DUMMYFUNCTION("GOOGLETRANSLATE(V81,""en"",""ta"")"),"வயிற்றுப் புண், வயிற்றுக் கட்டிகள் மற்றும் புற்றுநோய்")</f>
        <v>வயிற்றுப் புண், வயிற்றுக் கட்டிகள் மற்றும் புற்றுநோய்</v>
      </c>
      <c r="V81" s="4" t="s">
        <v>1008</v>
      </c>
      <c r="W81" s="3" t="str">
        <f ca="1">IFERROR(__xludf.DUMMYFUNCTION("GOOGLETRANSLATE(X81,""en"",""ta"")"),"ஆஸ்துமா, மூச்சுக்குழாய் அழற்சி.")</f>
        <v>ஆஸ்துமா, மூச்சுக்குழாய் அழற்சி.</v>
      </c>
      <c r="X81" s="4" t="s">
        <v>1009</v>
      </c>
      <c r="Y81" s="3" t="str">
        <f ca="1">IFERROR(__xludf.DUMMYFUNCTION("GOOGLETRANSLATE(Z81,""en"",""ta"")"),"#VALUE!")</f>
        <v>#VALUE!</v>
      </c>
      <c r="Z81" s="3"/>
      <c r="AA81" s="3" t="str">
        <f ca="1">IFERROR(__xludf.DUMMYFUNCTION("GOOGLETRANSLATE(AB81,""en"",""ta"")"),"மூட்டு வலி.")</f>
        <v>மூட்டு வலி.</v>
      </c>
      <c r="AB81" s="4" t="s">
        <v>1010</v>
      </c>
      <c r="AC81" s="3" t="str">
        <f ca="1">IFERROR(__xludf.DUMMYFUNCTION("GOOGLETRANSLATE(AD81,""en"",""ta"")"),"#VALUE!")</f>
        <v>#VALUE!</v>
      </c>
      <c r="AD81" s="3"/>
      <c r="AE81" s="3" t="str">
        <f ca="1">IFERROR(__xludf.DUMMYFUNCTION("GOOGLETRANSLATE(AF81,""en"",""ta"")"),"#VALUE!")</f>
        <v>#VALUE!</v>
      </c>
      <c r="AF81" s="3"/>
      <c r="AG81" s="3" t="str">
        <f ca="1">IFERROR(__xludf.DUMMYFUNCTION("GOOGLETRANSLATE(AH81,""en"",""ta"")"),"#VALUE!")</f>
        <v>#VALUE!</v>
      </c>
      <c r="AH81" s="3"/>
      <c r="AI81" s="3" t="str">
        <f ca="1">IFERROR(__xludf.DUMMYFUNCTION("GOOGLETRANSLATE(AJ81,""en"",""ta"")"),"#VALUE!")</f>
        <v>#VALUE!</v>
      </c>
      <c r="AJ81" s="3"/>
      <c r="AK81" s="3" t="str">
        <f ca="1">IFERROR(__xludf.DUMMYFUNCTION("GOOGLETRANSLATE(AL81,""en"",""ta"")"),"#VALUE!")</f>
        <v>#VALUE!</v>
      </c>
      <c r="AL81" s="3"/>
      <c r="AM81" s="3" t="str">
        <f ca="1">IFERROR(__xludf.DUMMYFUNCTION("GOOGLETRANSLATE(AN81,""en"",""ta"")"),"#VALUE!")</f>
        <v>#VALUE!</v>
      </c>
      <c r="AN81" s="3"/>
      <c r="AO81" s="3" t="str">
        <f ca="1">IFERROR(__xludf.DUMMYFUNCTION("GOOGLETRANSLATE(AP81,""en"",""ta"")"),"#VALUE!")</f>
        <v>#VALUE!</v>
      </c>
      <c r="AP81" s="3"/>
      <c r="AQ81" s="3"/>
      <c r="AR81" s="3" t="str">
        <f ca="1">IFERROR(__xludf.DUMMYFUNCTION("GOOGLETRANSLATE(AS81,""en"",""ta"")"),"அமிலத்தன்மை கொண்டது, வெப்பத்தை நீக்குகிறது, மலமிளக்கியாகப் பயன்படுத்துகிறது, செரிமானத்தை ஊக்குவிக்கிறது, அழற்சி எதிர்ப்பு, புழுக்களைக் கொல்லும், ஊக்கியாகவும், ருபேஃபேசியன்டாகவும் செயல்படுகிறது.")</f>
        <v>அமிலத்தன்மை கொண்டது, வெப்பத்தை நீக்குகிறது, மலமிளக்கியாகப் பயன்படுத்துகிறது, செரிமானத்தை ஊக்குவிக்கிறது, அழற்சி எதிர்ப்பு, புழுக்களைக் கொல்லும், ஊக்கியாகவும், ருபேஃபேசியன்டாகவும் செயல்படுகிறது.</v>
      </c>
      <c r="AS81" s="4" t="s">
        <v>1011</v>
      </c>
      <c r="AT81" s="3" t="str">
        <f ca="1">IFERROR(__xludf.DUMMYFUNCTION("GOOGLETRANSLATE(AU81,""en"",""ta"")"),"டிக்லிடின், ஸ்டீராய்டுகள், பாலியோஸ்பெர்மின், மொன்டானின், ஃபிளாவனாய்டுகள், டெர்பெனாய்டுகள், பால்மிடேட் மற்றும் ஆக்சிலரெனிக் அமிலம்.")</f>
        <v>டிக்லிடின், ஸ்டீராய்டுகள், பாலியோஸ்பெர்மின், மொன்டானின், ஃபிளாவனாய்டுகள், டெர்பெனாய்டுகள், பால்மிடேட் மற்றும் ஆக்சிலரெனிக் அமிலம்.</v>
      </c>
      <c r="AU81" s="4" t="s">
        <v>1012</v>
      </c>
      <c r="AV81" s="3"/>
      <c r="AW81" s="3" t="str">
        <f ca="1">IFERROR(__xludf.DUMMYFUNCTION("GOOGLETRANSLATE(AX81,""en"",""ta"")"),"i) சொட்டு மருந்து மற்றும் பொது அனசர்காவுக்கு வேர்கள் மற்றும் இலைகள் கஷாயமாக கொடுக்கப்படுகின்றன. ii) விதை எண்ணெய் வாத நோய்க்கு வெளிப்புறமாக எரிச்சலை எதிர்க்கும் மருந்தாகப் பயன்படுத்தப்படுகிறது.")</f>
        <v>i) சொட்டு மருந்து மற்றும் பொது அனசர்காவுக்கு வேர்கள் மற்றும் இலைகள் கஷாயமாக கொடுக்கப்படுகின்றன. ii) விதை எண்ணெய் வாத நோய்க்கு வெளிப்புறமாக எரிச்சலை எதிர்க்கும் மருந்தாகப் பயன்படுத்தப்படுகிறது.</v>
      </c>
      <c r="AX81" s="4" t="s">
        <v>2471</v>
      </c>
      <c r="AY81" s="3"/>
      <c r="AZ81" s="3"/>
      <c r="BA81" s="3"/>
      <c r="BB81" s="3"/>
      <c r="BC81" s="3"/>
      <c r="BD81" s="3"/>
      <c r="BE81" s="3"/>
      <c r="BF81" s="3"/>
    </row>
    <row r="82" spans="1:58" ht="84" x14ac:dyDescent="0.15">
      <c r="A82" s="3">
        <v>81</v>
      </c>
      <c r="B82" s="3" t="str">
        <f ca="1">IFERROR(__xludf.DUMMYFUNCTION("GOOGLETRANSLATE(C82,""en"",""ta"")"),"பம்புசா அருண்டினேசியா")</f>
        <v>பம்புசா அருண்டினேசியா</v>
      </c>
      <c r="C82" s="4" t="s">
        <v>1014</v>
      </c>
      <c r="D82" s="3" t="str">
        <f ca="1">IFERROR(__xludf.DUMMYFUNCTION("GOOGLETRANSLATE(E82,""en"",""ta"")"),"வான்சுவா")</f>
        <v>வான்சுவா</v>
      </c>
      <c r="E82" s="4" t="s">
        <v>1015</v>
      </c>
      <c r="F82" s="3" t="str">
        <f ca="1">IFERROR(__xludf.DUMMYFUNCTION("GOOGLETRANSLATE(G82,""en"",""ta"")"),"மூங்கில்")</f>
        <v>மூங்கில்</v>
      </c>
      <c r="G82" s="4" t="s">
        <v>1016</v>
      </c>
      <c r="H82" s="3" t="str">
        <f ca="1">IFERROR(__xludf.DUMMYFUNCTION("GOOGLETRANSLATE(I82,""en"",""ta"")"),"முள்ளந்தண்டு மூங்கில்")</f>
        <v>முள்ளந்தண்டு மூங்கில்</v>
      </c>
      <c r="I82" s="4" t="s">
        <v>1017</v>
      </c>
      <c r="J82" s="3" t="str">
        <f ca="1">IFERROR(__xludf.DUMMYFUNCTION("GOOGLETRANSLATE(K82,""en"",""ta"")"),"முல்லபோங்கு")</f>
        <v>முல்லபோங்கு</v>
      </c>
      <c r="K82" s="4" t="s">
        <v>1018</v>
      </c>
      <c r="L82" s="3" t="str">
        <f ca="1">IFERROR(__xludf.DUMMYFUNCTION("GOOGLETRANSLATE(M82,""en"",""ta"")"),"இல்லி")</f>
        <v>இல்லி</v>
      </c>
      <c r="M82" s="4" t="s">
        <v>1019</v>
      </c>
      <c r="N82" s="3" t="str">
        <f ca="1">IFERROR(__xludf.DUMMYFUNCTION("GOOGLETRANSLATE(O82,""en"",""ta"")"),"காந்தபன்ஸ்")</f>
        <v>காந்தபன்ஸ்</v>
      </c>
      <c r="O82" s="4" t="s">
        <v>1020</v>
      </c>
      <c r="P82" s="3"/>
      <c r="Q82" s="3" t="str">
        <f ca="1">IFERROR(__xludf.DUMMYFUNCTION("GOOGLETRANSLATE(R82,""en"",""ta"")"),"ஒரு முள்ளந்தண்டு மரம், பொதுவாக தீவுகளில் மிக உயரமாக வளரும். தண்டு தொலைதூர முனைகளுடன் காணப்படுகிறது மற்றும் 2 முனைகளுக்கு இடையிலான குழி வெற்று மற்றும் வெள்ளை சாறுடன் நிரப்பப்பட்டுள்ளது, இது மூங்கில் மன்னா என்று அழைக்கப்படும் பெண் வகையாகும். இலைகள் நீளமான ம"&amp;"ுனைகளுடன் இருக்கும். பூக்கள் மற்றும் பழங்கள் 30 ஆண்டுகளுக்குப் பிறகு ஏற்படும். மலர்கள் ஒரு பாலின, மஞ்சரி தண்டுகள் நீளமாகவும் கிளைகளாகவும் இருக்கும்.")</f>
        <v>ஒரு முள்ளந்தண்டு மரம், பொதுவாக தீவுகளில் மிக உயரமாக வளரும். தண்டு தொலைதூர முனைகளுடன் காணப்படுகிறது மற்றும் 2 முனைகளுக்கு இடையிலான குழி வெற்று மற்றும் வெள்ளை சாறுடன் நிரப்பப்பட்டுள்ளது, இது மூங்கில் மன்னா என்று அழைக்கப்படும் பெண் வகையாகும். இலைகள் நீளமான முனைகளுடன் இருக்கும். பூக்கள் மற்றும் பழங்கள் 30 ஆண்டுகளுக்குப் பிறகு ஏற்படும். மலர்கள் ஒரு பாலின, மஞ்சரி தண்டுகள் நீளமாகவும் கிளைகளாகவும் இருக்கும்.</v>
      </c>
      <c r="R82" s="4" t="s">
        <v>1021</v>
      </c>
      <c r="S82" s="3" t="str">
        <f ca="1">IFERROR(__xludf.DUMMYFUNCTION("GOOGLETRANSLATE(T82,""en"",""ta"")"),"#VALUE!")</f>
        <v>#VALUE!</v>
      </c>
      <c r="T82" s="3"/>
      <c r="U82" s="3" t="str">
        <f ca="1">IFERROR(__xludf.DUMMYFUNCTION("GOOGLETRANSLATE(V82,""en"",""ta"")"),"#VALUE!")</f>
        <v>#VALUE!</v>
      </c>
      <c r="V82" s="3"/>
      <c r="W82" s="3" t="str">
        <f ca="1">IFERROR(__xludf.DUMMYFUNCTION("GOOGLETRANSLATE(X82,""en"",""ta"")"),"தொழுநோய், காய்ச்சல், இரத்தக் கசிவு மற்றும் நூல் புழுக்கள்.")</f>
        <v>தொழுநோய், காய்ச்சல், இரத்தக் கசிவு மற்றும் நூல் புழுக்கள்.</v>
      </c>
      <c r="X82" s="4" t="s">
        <v>1022</v>
      </c>
      <c r="Y82" s="3" t="str">
        <f ca="1">IFERROR(__xludf.DUMMYFUNCTION("GOOGLETRANSLATE(Z82,""en"",""ta"")"),"#VALUE!")</f>
        <v>#VALUE!</v>
      </c>
      <c r="Z82" s="3"/>
      <c r="AA82" s="3" t="str">
        <f ca="1">IFERROR(__xludf.DUMMYFUNCTION("GOOGLETRANSLATE(AB82,""en"",""ta"")"),"#VALUE!")</f>
        <v>#VALUE!</v>
      </c>
      <c r="AB82" s="3"/>
      <c r="AC82" s="3" t="str">
        <f ca="1">IFERROR(__xludf.DUMMYFUNCTION("GOOGLETRANSLATE(AD82,""en"",""ta"")"),"#VALUE!")</f>
        <v>#VALUE!</v>
      </c>
      <c r="AD82" s="3"/>
      <c r="AE82" s="3" t="str">
        <f ca="1">IFERROR(__xludf.DUMMYFUNCTION("GOOGLETRANSLATE(AF82,""en"",""ta"")"),"#VALUE!")</f>
        <v>#VALUE!</v>
      </c>
      <c r="AF82" s="3"/>
      <c r="AG82" s="3" t="str">
        <f ca="1">IFERROR(__xludf.DUMMYFUNCTION("GOOGLETRANSLATE(AH82,""en"",""ta"")"),"#VALUE!")</f>
        <v>#VALUE!</v>
      </c>
      <c r="AH82" s="3"/>
      <c r="AI82" s="3" t="str">
        <f ca="1">IFERROR(__xludf.DUMMYFUNCTION("GOOGLETRANSLATE(AJ82,""en"",""ta"")"),"காய்ச்சல், இருமல், ஆஸ்துமா மற்றும் பாம்பு கடி, எலும்பு முறிவுகள்")</f>
        <v>காய்ச்சல், இருமல், ஆஸ்துமா மற்றும் பாம்பு கடி, எலும்பு முறிவுகள்</v>
      </c>
      <c r="AJ82" s="4" t="s">
        <v>1023</v>
      </c>
      <c r="AK82" s="3" t="str">
        <f ca="1">IFERROR(__xludf.DUMMYFUNCTION("GOOGLETRANSLATE(AL82,""en"",""ta"")"),"#VALUE!")</f>
        <v>#VALUE!</v>
      </c>
      <c r="AL82" s="3"/>
      <c r="AM82" s="3" t="str">
        <f ca="1">IFERROR(__xludf.DUMMYFUNCTION("GOOGLETRANSLATE(AN82,""en"",""ta"")"),"#VALUE!")</f>
        <v>#VALUE!</v>
      </c>
      <c r="AN82" s="3"/>
      <c r="AO82" s="3" t="str">
        <f ca="1">IFERROR(__xludf.DUMMYFUNCTION("GOOGLETRANSLATE(AP82,""en"",""ta"")"),"#VALUE!")</f>
        <v>#VALUE!</v>
      </c>
      <c r="AP82" s="3"/>
      <c r="AQ82" s="3"/>
      <c r="AR82" s="3" t="str">
        <f ca="1">IFERROR(__xludf.DUMMYFUNCTION("GOOGLETRANSLATE(AS82,""en"",""ta"")"),"எம்மெனாகோக், புழுக்களுக்கு மருந்தாக, பாக்டீரியா எதிர்ப்பு, தூண்டுதல், துவர்ப்பு மருந்து, காய்ச்சலைக் குறைக்கும் மருந்து, பாலுணர்வூக்கி.")</f>
        <v>எம்மெனாகோக், புழுக்களுக்கு மருந்தாக, பாக்டீரியா எதிர்ப்பு, தூண்டுதல், துவர்ப்பு மருந்து, காய்ச்சலைக் குறைக்கும் மருந்து, பாலுணர்வூக்கி.</v>
      </c>
      <c r="AS82" s="4" t="s">
        <v>1024</v>
      </c>
      <c r="AT82" s="3" t="str">
        <f ca="1">IFERROR(__xludf.DUMMYFUNCTION("GOOGLETRANSLATE(AU82,""en"",""ta"")"),"சிலிக்கா, அமினோ அமிலங்கள், குளுட்டலின், பென்சாயிக் அமிலம், ஹைட்ரோசியானிக் அமிலம், ஈஸ்ட்ரோஜன், ஆக்ஸாலிக் அமிலம், சிலிசிக் அமிலம், இரும்பு பெராக்சைடு, பொட்டாஷ் சுண்ணாம்பு, லுமினியா, கோலின், பெடின் மற்றும் சயனோஜெனடிக் குளுக்கோசைடு.")</f>
        <v>சிலிக்கா, அமினோ அமிலங்கள், குளுட்டலின், பென்சாயிக் அமிலம், ஹைட்ரோசியானிக் அமிலம், ஈஸ்ட்ரோஜன், ஆக்ஸாலிக் அமிலம், சிலிசிக் அமிலம், இரும்பு பெராக்சைடு, பொட்டாஷ் சுண்ணாம்பு, லுமினியா, கோலின், பெடின் மற்றும் சயனோஜெனடிக் குளுக்கோசைடு.</v>
      </c>
      <c r="AU82" s="4" t="s">
        <v>1025</v>
      </c>
      <c r="AV82" s="3"/>
      <c r="AW82" s="3" t="str">
        <f ca="1">IFERROR(__xludf.DUMMYFUNCTION("GOOGLETRANSLATE(AX82,""en"",""ta"")"),"i) மாதவிடாய் சுழற்சியை சீராக்க இலை மொட்டுகளின் கஷாயம் உட்புறமாக கொடுக்கப்படுகிறது. ii) எரிந்த வேர்களை வளையப்புழு, இரத்தப்போக்கு ஈறுகள் மற்றும் வலிமிகுந்த மூட்டுகளில் தடவ வேண்டும்.")</f>
        <v>i) மாதவிடாய் சுழற்சியை சீராக்க இலை மொட்டுகளின் கஷாயம் உட்புறமாக கொடுக்கப்படுகிறது. ii) எரிந்த வேர்களை வளையப்புழு, இரத்தப்போக்கு ஈறுகள் மற்றும் வலிமிகுந்த மூட்டுகளில் தடவ வேண்டும்.</v>
      </c>
      <c r="AX82" s="4" t="s">
        <v>2472</v>
      </c>
      <c r="AY82" s="3"/>
      <c r="AZ82" s="3"/>
      <c r="BA82" s="3"/>
      <c r="BB82" s="3"/>
      <c r="BC82" s="3"/>
      <c r="BD82" s="3"/>
      <c r="BE82" s="3"/>
      <c r="BF82" s="3"/>
    </row>
    <row r="83" spans="1:58" ht="70" x14ac:dyDescent="0.15">
      <c r="A83" s="3">
        <v>82</v>
      </c>
      <c r="B83" s="3" t="str">
        <f ca="1">IFERROR(__xludf.DUMMYFUNCTION("GOOGLETRANSLATE(C83,""en"",""ta"")"),"பார்லேரியா பிரியோனிடிஸ்")</f>
        <v>பார்லேரியா பிரியோனிடிஸ்</v>
      </c>
      <c r="C83" s="4" t="s">
        <v>1027</v>
      </c>
      <c r="D83" s="3" t="str">
        <f ca="1">IFERROR(__xludf.DUMMYFUNCTION("GOOGLETRANSLATE(E83,""en"",""ta"")"),"கருந்தா")</f>
        <v>கருந்தா</v>
      </c>
      <c r="E83" s="4" t="s">
        <v>1028</v>
      </c>
      <c r="F83" s="3" t="str">
        <f ca="1">IFERROR(__xludf.DUMMYFUNCTION("GOOGLETRANSLATE(G83,""en"",""ta"")"),"செம்முல்லி")</f>
        <v>செம்முல்லி</v>
      </c>
      <c r="G83" s="4" t="s">
        <v>1029</v>
      </c>
      <c r="H83" s="3" t="str">
        <f ca="1">IFERROR(__xludf.DUMMYFUNCTION("GOOGLETRANSLATE(I83,""en"",""ta"")"),"பொதுவான மஞ்சள் நகச் சாயம்")</f>
        <v>பொதுவான மஞ்சள் நகச் சாயம்</v>
      </c>
      <c r="I83" s="4" t="s">
        <v>1030</v>
      </c>
      <c r="J83" s="3" t="str">
        <f ca="1">IFERROR(__xludf.DUMMYFUNCTION("GOOGLETRANSLATE(K83,""en"",""ta"")"),"முள்ளு-கோரிண்டா")</f>
        <v>முள்ளு-கோரிண்டா</v>
      </c>
      <c r="K83" s="4" t="s">
        <v>1031</v>
      </c>
      <c r="L83" s="3" t="str">
        <f ca="1">IFERROR(__xludf.DUMMYFUNCTION("GOOGLETRANSLATE(M83,""en"",""ta"")"),"செம்முல்லி")</f>
        <v>செம்முல்லி</v>
      </c>
      <c r="M83" s="4" t="s">
        <v>1029</v>
      </c>
      <c r="N83" s="3" t="str">
        <f ca="1">IFERROR(__xludf.DUMMYFUNCTION("GOOGLETRANSLATE(O83,""en"",""ta"")"),"கட்சராயா")</f>
        <v>கட்சராயா</v>
      </c>
      <c r="O83" s="4" t="s">
        <v>1032</v>
      </c>
      <c r="P83" s="3"/>
      <c r="Q83" s="3" t="str">
        <f ca="1">IFERROR(__xludf.DUMMYFUNCTION("GOOGLETRANSLATE(R83,""en"",""ta"")"),"பல முட்கள் நிறைந்த கிளைகளைத் தாங்கிய ஒரு புதர். இலைகள் எளிமையானவை, நீள்வட்ட வடிவானவை, கூரிய முனை முழுதும், எதிரெதிர் மற்றும் தோல் போன்றவை. மலர்கள் ஆரஞ்சு மஞ்சள் நிறத்தில், இலைக்கோணங்களில் இலைக்காம்புகளுடன் இருக்கும். பழங்கள் லோகுலிசிடல் காப்ஸ்யூல். விதைகள"&amp;"் சுருக்கப்பட்டு முட்டை வடிவானது.")</f>
        <v>பல முட்கள் நிறைந்த கிளைகளைத் தாங்கிய ஒரு புதர். இலைகள் எளிமையானவை, நீள்வட்ட வடிவானவை, கூரிய முனை முழுதும், எதிரெதிர் மற்றும் தோல் போன்றவை. மலர்கள் ஆரஞ்சு மஞ்சள் நிறத்தில், இலைக்கோணங்களில் இலைக்காம்புகளுடன் இருக்கும். பழங்கள் லோகுலிசிடல் காப்ஸ்யூல். விதைகள் சுருக்கப்பட்டு முட்டை வடிவானது.</v>
      </c>
      <c r="R83" s="4" t="s">
        <v>1033</v>
      </c>
      <c r="S83" s="3" t="str">
        <f ca="1">IFERROR(__xludf.DUMMYFUNCTION("GOOGLETRANSLATE(T83,""en"",""ta"")"),"கொப்புளங்கள், சுரப்பி வீக்கம், காயங்கள் மற்றும் பல் வலி.")</f>
        <v>கொப்புளங்கள், சுரப்பி வீக்கம், காயங்கள் மற்றும் பல் வலி.</v>
      </c>
      <c r="T83" s="4" t="s">
        <v>1034</v>
      </c>
      <c r="U83" s="3" t="str">
        <f ca="1">IFERROR(__xludf.DUMMYFUNCTION("GOOGLETRANSLATE(V83,""en"",""ta"")"),"#VALUE!")</f>
        <v>#VALUE!</v>
      </c>
      <c r="V83" s="3"/>
      <c r="W83" s="3" t="str">
        <f ca="1">IFERROR(__xludf.DUMMYFUNCTION("GOOGLETRANSLATE(X83,""en"",""ta"")"),"சளி, சிறுநீர் பாதை நோய்கள், காய்ச்சல், ஈறுகளில் இரத்தப்போக்கு, விந்தணுக்கள் மற்றும் ஓடிடிஸ்.")</f>
        <v>சளி, சிறுநீர் பாதை நோய்கள், காய்ச்சல், ஈறுகளில் இரத்தப்போக்கு, விந்தணுக்கள் மற்றும் ஓடிடிஸ்.</v>
      </c>
      <c r="X83" s="4" t="s">
        <v>1035</v>
      </c>
      <c r="Y83" s="3" t="str">
        <f ca="1">IFERROR(__xludf.DUMMYFUNCTION("GOOGLETRANSLATE(Z83,""en"",""ta"")"),"#VALUE!")</f>
        <v>#VALUE!</v>
      </c>
      <c r="Z83" s="3"/>
      <c r="AA83" s="3" t="str">
        <f ca="1">IFERROR(__xludf.DUMMYFUNCTION("GOOGLETRANSLATE(AB83,""en"",""ta"")"),"#VALUE!")</f>
        <v>#VALUE!</v>
      </c>
      <c r="AB83" s="3"/>
      <c r="AC83" s="3" t="str">
        <f ca="1">IFERROR(__xludf.DUMMYFUNCTION("GOOGLETRANSLATE(AD83,""en"",""ta"")"),"#VALUE!")</f>
        <v>#VALUE!</v>
      </c>
      <c r="AD83" s="3"/>
      <c r="AE83" s="3" t="str">
        <f ca="1">IFERROR(__xludf.DUMMYFUNCTION("GOOGLETRANSLATE(AF83,""en"",""ta"")"),"#VALUE!")</f>
        <v>#VALUE!</v>
      </c>
      <c r="AF83" s="3"/>
      <c r="AG83" s="3" t="str">
        <f ca="1">IFERROR(__xludf.DUMMYFUNCTION("GOOGLETRANSLATE(AH83,""en"",""ta"")"),"#VALUE!")</f>
        <v>#VALUE!</v>
      </c>
      <c r="AH83" s="3"/>
      <c r="AI83" s="3" t="str">
        <f ca="1">IFERROR(__xludf.DUMMYFUNCTION("GOOGLETRANSLATE(AJ83,""en"",""ta"")"),"இருமல், அனசர்கா.")</f>
        <v>இருமல், அனசர்கா.</v>
      </c>
      <c r="AJ83" s="4" t="s">
        <v>1036</v>
      </c>
      <c r="AK83" s="3" t="str">
        <f ca="1">IFERROR(__xludf.DUMMYFUNCTION("GOOGLETRANSLATE(AL83,""en"",""ta"")"),"#VALUE!")</f>
        <v>#VALUE!</v>
      </c>
      <c r="AL83" s="3"/>
      <c r="AM83" s="3" t="str">
        <f ca="1">IFERROR(__xludf.DUMMYFUNCTION("GOOGLETRANSLATE(AN83,""en"",""ta"")"),"#VALUE!")</f>
        <v>#VALUE!</v>
      </c>
      <c r="AN83" s="3"/>
      <c r="AO83" s="3" t="str">
        <f ca="1">IFERROR(__xludf.DUMMYFUNCTION("GOOGLETRANSLATE(AP83,""en"",""ta"")"),"#VALUE!")</f>
        <v>#VALUE!</v>
      </c>
      <c r="AP83" s="3"/>
      <c r="AQ83" s="3"/>
      <c r="AR83" s="3" t="str">
        <f ca="1">IFERROR(__xludf.DUMMYFUNCTION("GOOGLETRANSLATE(AS83,""en"",""ta"")"),"ஃபெப்ரிஃபியூஜ், அழற்சி எதிர்ப்பு, காய்ச்சலடக்கும் மருந்து, சிறுநீர் பெருக்கி மற்றும் சளி நீக்க மருந்து.")</f>
        <v>ஃபெப்ரிஃபியூஜ், அழற்சி எதிர்ப்பு, காய்ச்சலடக்கும் மருந்து, சிறுநீர் பெருக்கி மற்றும் சளி நீக்க மருந்து.</v>
      </c>
      <c r="AS83" s="4" t="s">
        <v>1037</v>
      </c>
      <c r="AT83" s="3" t="str">
        <f ca="1">IFERROR(__xludf.DUMMYFUNCTION("GOOGLETRANSLATE(AU83,""en"",""ta"")"),"அசிடைல் பார்லரின், ஸ்குடெல்லாரின், ஃபிளாவோன் கிளைகோசைடு, பார்லரின், ஷான்ஜிசைடு மெத்திலெஸ்டர், மியூசிலேஜ், பொட்டாசியம் உப்புகள், டானின், ஸ்டார்ச் மற்றும் நார்ச்சத்து.")</f>
        <v>அசிடைல் பார்லரின், ஸ்குடெல்லாரின், ஃபிளாவோன் கிளைகோசைடு, பார்லரின், ஷான்ஜிசைடு மெத்திலெஸ்டர், மியூசிலேஜ், பொட்டாசியம் உப்புகள், டானின், ஸ்டார்ச் மற்றும் நார்ச்சத்து.</v>
      </c>
      <c r="AU83" s="4" t="s">
        <v>1038</v>
      </c>
      <c r="AV83" s="3"/>
      <c r="AW83" s="3" t="str">
        <f ca="1">IFERROR(__xludf.DUMMYFUNCTION("GOOGLETRANSLATE(AX83,""en"",""ta"")"),"i) முழுச் செடியின் சாற்றை தேங்காய் எண்ணெயுடன் சேர்த்து கொதிக்க வைத்து குளிர்சாதனப் பொருளாக தலையில் தடவ வேண்டும். ii) வேர் மற்றும் இஞ்சியை பேஸ்டாகப் செய்து வாய்வுக்காக உள்ளுக்குக் கொடுக்க வேண்டும்.")</f>
        <v>i) முழுச் செடியின் சாற்றை தேங்காய் எண்ணெயுடன் சேர்த்து கொதிக்க வைத்து குளிர்சாதனப் பொருளாக தலையில் தடவ வேண்டும். ii) வேர் மற்றும் இஞ்சியை பேஸ்டாகப் செய்து வாய்வுக்காக உள்ளுக்குக் கொடுக்க வேண்டும்.</v>
      </c>
      <c r="AX83" s="4" t="s">
        <v>2473</v>
      </c>
      <c r="AY83" s="3"/>
      <c r="AZ83" s="3"/>
      <c r="BA83" s="3"/>
      <c r="BB83" s="3"/>
      <c r="BC83" s="3"/>
      <c r="BD83" s="3"/>
      <c r="BE83" s="3"/>
      <c r="BF83" s="3"/>
    </row>
    <row r="84" spans="1:58" ht="112" x14ac:dyDescent="0.15">
      <c r="A84" s="3">
        <v>83</v>
      </c>
      <c r="B84" s="3" t="str">
        <f ca="1">IFERROR(__xludf.DUMMYFUNCTION("GOOGLETRANSLATE(C84,""en"",""ta"")"),"பாரிங்டோனியா அகுடங்குலா")</f>
        <v>பாரிங்டோனியா அகுடங்குலா</v>
      </c>
      <c r="C84" s="4" t="s">
        <v>1040</v>
      </c>
      <c r="D84" s="3" t="str">
        <f ca="1">IFERROR(__xludf.DUMMYFUNCTION("GOOGLETRANSLATE(E84,""en"",""ta"")"),"தாத்ரிபால்")</f>
        <v>தாத்ரிபால்</v>
      </c>
      <c r="E84" s="4" t="s">
        <v>1041</v>
      </c>
      <c r="F84" s="3" t="str">
        <f ca="1">IFERROR(__xludf.DUMMYFUNCTION("GOOGLETRANSLATE(G84,""en"",""ta"")"),"செங்கடம்பு")</f>
        <v>செங்கடம்பு</v>
      </c>
      <c r="G84" s="4" t="s">
        <v>1042</v>
      </c>
      <c r="H84" s="3" t="str">
        <f ca="1">IFERROR(__xludf.DUMMYFUNCTION("GOOGLETRANSLATE(I84,""en"",""ta"")"),"இந்திய ஓக்")</f>
        <v>இந்திய ஓக்</v>
      </c>
      <c r="I84" s="4" t="s">
        <v>1043</v>
      </c>
      <c r="J84" s="3" t="str">
        <f ca="1">IFERROR(__xludf.DUMMYFUNCTION("GOOGLETRANSLATE(K84,""en"",""ta"")"),"கனபா")</f>
        <v>கனபா</v>
      </c>
      <c r="K84" s="4" t="s">
        <v>1044</v>
      </c>
      <c r="L84" s="3" t="str">
        <f ca="1">IFERROR(__xludf.DUMMYFUNCTION("GOOGLETRANSLATE(M84,""en"",""ta"")"),"அதுபெரா")</f>
        <v>அதுபெரா</v>
      </c>
      <c r="M84" s="4" t="s">
        <v>1045</v>
      </c>
      <c r="N84" s="3" t="str">
        <f ca="1">IFERROR(__xludf.DUMMYFUNCTION("GOOGLETRANSLATE(O84,""en"",""ta"")"),"இஜால்")</f>
        <v>இஜால்</v>
      </c>
      <c r="O84" s="4" t="s">
        <v>1046</v>
      </c>
      <c r="P84" s="3"/>
      <c r="Q84" s="3" t="str">
        <f ca="1">IFERROR(__xludf.DUMMYFUNCTION("GOOGLETRANSLATE(R84,""en"",""ta"")"),"நடுத்தர அளவிலான உரோமங்களற்ற பசுமையான மரம், கிளைகள் மெல்லியவை. இலைகள் எளிமையானவை, மாற்று வடிவானது, முட்டை வடிவானது, நீள்வட்டமானது, பூக்கள் மணம் கொண்டவை, பல பூக்கள் கொண்ட மஞ்சரித் தண்டு ரேசீம்களில் அடர் கருஞ்சிவப்பு நிறத்தில் இருக்கும். பழங்கள் மழுங்கிய நாற"&amp;"்புறம், இரு முனைகளிலும் துண்டிக்கப்பட்டவை.")</f>
        <v>நடுத்தர அளவிலான உரோமங்களற்ற பசுமையான மரம், கிளைகள் மெல்லியவை. இலைகள் எளிமையானவை, மாற்று வடிவானது, முட்டை வடிவானது, நீள்வட்டமானது, பூக்கள் மணம் கொண்டவை, பல பூக்கள் கொண்ட மஞ்சரித் தண்டு ரேசீம்களில் அடர் கருஞ்சிவப்பு நிறத்தில் இருக்கும். பழங்கள் மழுங்கிய நாற்புறம், இரு முனைகளிலும் துண்டிக்கப்பட்டவை.</v>
      </c>
      <c r="R84" s="4" t="s">
        <v>1047</v>
      </c>
      <c r="S84" s="3" t="str">
        <f ca="1">IFERROR(__xludf.DUMMYFUNCTION("GOOGLETRANSLATE(T84,""en"",""ta"")"),"இடைவிடாத காய்ச்சல் மற்றும் மண்ணீரல் வீக்கம்.")</f>
        <v>இடைவிடாத காய்ச்சல் மற்றும் மண்ணீரல் வீக்கம்.</v>
      </c>
      <c r="T84" s="3" t="s">
        <v>1048</v>
      </c>
      <c r="U84" s="3" t="str">
        <f ca="1">IFERROR(__xludf.DUMMYFUNCTION("GOOGLETRANSLATE(V84,""en"",""ta"")"),"வயிற்றுப்போக்கு, புண்கள், விந்து பலவீனம்.")</f>
        <v>வயிற்றுப்போக்கு, புண்கள், விந்து பலவீனம்.</v>
      </c>
      <c r="V84" s="3" t="s">
        <v>1049</v>
      </c>
      <c r="W84" s="3" t="str">
        <f ca="1">IFERROR(__xludf.DUMMYFUNCTION("GOOGLETRANSLATE(X84,""en"",""ta"")"),"வயிற்றுப்போக்கு, வயிற்றுப்போக்கு.")</f>
        <v>வயிற்றுப்போக்கு, வயிற்றுப்போக்கு.</v>
      </c>
      <c r="X84" s="4" t="s">
        <v>716</v>
      </c>
      <c r="Y84" s="3" t="str">
        <f ca="1">IFERROR(__xludf.DUMMYFUNCTION("GOOGLETRANSLATE(Z84,""en"",""ta"")"),"#VALUE!")</f>
        <v>#VALUE!</v>
      </c>
      <c r="Z84" s="3"/>
      <c r="AA84" s="3" t="str">
        <f ca="1">IFERROR(__xludf.DUMMYFUNCTION("GOOGLETRANSLATE(AB84,""en"",""ta"")"),"#VALUE!")</f>
        <v>#VALUE!</v>
      </c>
      <c r="AB84" s="3"/>
      <c r="AC84" s="3" t="str">
        <f ca="1">IFERROR(__xludf.DUMMYFUNCTION("GOOGLETRANSLATE(AD84,""en"",""ta"")"),"#VALUE!")</f>
        <v>#VALUE!</v>
      </c>
      <c r="AD84" s="3"/>
      <c r="AE84" s="3" t="str">
        <f ca="1">IFERROR(__xludf.DUMMYFUNCTION("GOOGLETRANSLATE(AF84,""en"",""ta"")"),"#VALUE!")</f>
        <v>#VALUE!</v>
      </c>
      <c r="AF84" s="3"/>
      <c r="AG84" s="3" t="str">
        <f ca="1">IFERROR(__xludf.DUMMYFUNCTION("GOOGLETRANSLATE(AH84,""en"",""ta"")"),"#VALUE!")</f>
        <v>#VALUE!</v>
      </c>
      <c r="AH84" s="3"/>
      <c r="AI84" s="3" t="str">
        <f ca="1">IFERROR(__xludf.DUMMYFUNCTION("GOOGLETRANSLATE(AJ84,""en"",""ta"")"),"#VALUE!")</f>
        <v>#VALUE!</v>
      </c>
      <c r="AJ84" s="3"/>
      <c r="AK84" s="3" t="str">
        <f ca="1">IFERROR(__xludf.DUMMYFUNCTION("GOOGLETRANSLATE(AL84,""en"",""ta"")"),"#VALUE!")</f>
        <v>#VALUE!</v>
      </c>
      <c r="AL84" s="3"/>
      <c r="AM84" s="3" t="str">
        <f ca="1">IFERROR(__xludf.DUMMYFUNCTION("GOOGLETRANSLATE(AN84,""en"",""ta"")"),"வாய்வு, பெருங்குடல் அழற்சி, குடல் புழுக்கள், புண்கள், ஈறு அழற்சி மற்றும் தொழுநோய்.
ஈறு அழற்சி மற்றும் தொழுநோய்.")</f>
        <v>வாய்வு, பெருங்குடல் அழற்சி, குடல் புழுக்கள், புண்கள், ஈறு அழற்சி மற்றும் தொழுநோய்.
ஈறு அழற்சி மற்றும் தொழுநோய்.</v>
      </c>
      <c r="AN84" s="3" t="s">
        <v>1050</v>
      </c>
      <c r="AO84" s="3" t="str">
        <f ca="1">IFERROR(__xludf.DUMMYFUNCTION("GOOGLETRANSLATE(AP84,""en"",""ta"")"),"#VALUE!")</f>
        <v>#VALUE!</v>
      </c>
      <c r="AP84" s="3"/>
      <c r="AQ84" s="3"/>
      <c r="AR84" s="3" t="str">
        <f ca="1">IFERROR(__xludf.DUMMYFUNCTION("GOOGLETRANSLATE(AS84,""en"",""ta"")"),"கசப்பான, அபிரியண்ட், ஆண்டிபிரைடிக், எக்ஸ்பெக்டோரண்ட்,
தூண்டுதல் சுத்திகரிப்பு மற்றும் 
எம்மனாகாக்.
")</f>
        <v xml:space="preserve">கசப்பான, அபிரியண்ட், ஆண்டிபிரைடிக், எக்ஸ்பெக்டோரண்ட்,
தூண்டுதல் சுத்திகரிப்பு மற்றும் 
எம்மனாகாக்.
</v>
      </c>
      <c r="AS84" s="3" t="s">
        <v>1051</v>
      </c>
      <c r="AT84" s="3" t="str">
        <f ca="1">IFERROR(__xludf.DUMMYFUNCTION("GOOGLETRANSLATE(AU84,""en"",""ta"")"),"பாரிங்டன்ஜெனால் பி, சி, டி, ட்ரைடர்பீன், பாரினிக் அமிலம், பாரிஜெனிக் அமிலம், பாரிங்டோசைடு, ஓலியானோலிக் அமிலம், அகுடாங்குலிக் அமிலம், டாங்கினால் மற்றும் ஸ்டிக்மாஸ்டரால்.")</f>
        <v>பாரிங்டன்ஜெனால் பி, சி, டி, ட்ரைடர்பீன், பாரினிக் அமிலம், பாரிஜெனிக் அமிலம், பாரிங்டோசைடு, ஓலியானோலிக் அமிலம், அகுடாங்குலிக் அமிலம், டாங்கினால் மற்றும் ஸ்டிக்மாஸ்டரால்.</v>
      </c>
      <c r="AU84" s="4" t="s">
        <v>1052</v>
      </c>
      <c r="AV84" s="3"/>
      <c r="AW84" s="3" t="str">
        <f ca="1">IFERROR(__xludf.DUMMYFUNCTION("GOOGLETRANSLATE(AX84,""en"",""ta"")"),"i) விதைகளை புதிய இஞ்சி சாற்றில் தேய்த்து, மூக்கின் சளி மற்றும் சுவாசக் கோளாறுகளுக்கு உள்ளுக்கு எடுத்துக் கொள்ளப்படுகிறது.")</f>
        <v>i) விதைகளை புதிய இஞ்சி சாற்றில் தேய்த்து, மூக்கின் சளி மற்றும் சுவாசக் கோளாறுகளுக்கு உள்ளுக்கு எடுத்துக் கொள்ளப்படுகிறது.</v>
      </c>
      <c r="AX84" s="4" t="s">
        <v>2474</v>
      </c>
      <c r="AY84" s="3"/>
      <c r="AZ84" s="3"/>
      <c r="BA84" s="3"/>
      <c r="BB84" s="3"/>
      <c r="BC84" s="3"/>
      <c r="BD84" s="3"/>
      <c r="BE84" s="3"/>
      <c r="BF84" s="3"/>
    </row>
    <row r="85" spans="1:58" ht="56" x14ac:dyDescent="0.15">
      <c r="A85" s="3">
        <v>84</v>
      </c>
      <c r="B85" s="3" t="str">
        <f ca="1">IFERROR(__xludf.DUMMYFUNCTION("GOOGLETRANSLATE(C85,""en"",""ta"")"),"பாசெல்லா ஆல்பா")</f>
        <v>பாசெல்லா ஆல்பா</v>
      </c>
      <c r="C85" s="4" t="s">
        <v>1054</v>
      </c>
      <c r="D85" s="3" t="str">
        <f ca="1">IFERROR(__xludf.DUMMYFUNCTION("GOOGLETRANSLATE(E85,""en"",""ta"")"),"பொட்டாகி")</f>
        <v>பொட்டாகி</v>
      </c>
      <c r="E85" s="4" t="s">
        <v>1055</v>
      </c>
      <c r="F85" s="3" t="str">
        <f ca="1">IFERROR(__xludf.DUMMYFUNCTION("GOOGLETRANSLATE(G85,""en"",""ta"")"),"கோடி பசலை")</f>
        <v>கோடி பசலை</v>
      </c>
      <c r="G85" s="4" t="s">
        <v>1056</v>
      </c>
      <c r="H85" s="3" t="str">
        <f ca="1">IFERROR(__xludf.DUMMYFUNCTION("GOOGLETRANSLATE(I85,""en"",""ta"")"),"இந்திய கீரை")</f>
        <v>இந்திய கீரை</v>
      </c>
      <c r="I85" s="4" t="s">
        <v>1057</v>
      </c>
      <c r="J85" s="3" t="str">
        <f ca="1">IFERROR(__xludf.DUMMYFUNCTION("GOOGLETRANSLATE(K85,""en"",""ta"")"),"பட்சல்லா")</f>
        <v>பட்சல்லா</v>
      </c>
      <c r="K85" s="4" t="s">
        <v>1058</v>
      </c>
      <c r="L85" s="3" t="str">
        <f ca="1">IFERROR(__xludf.DUMMYFUNCTION("GOOGLETRANSLATE(M85,""en"",""ta"")"),"பஸ்சாலி கேரா")</f>
        <v>பஸ்சாலி கேரா</v>
      </c>
      <c r="M85" s="4" t="s">
        <v>1059</v>
      </c>
      <c r="N85" s="3" t="str">
        <f ca="1">IFERROR(__xludf.DUMMYFUNCTION("GOOGLETRANSLATE(O85,""en"",""ta"")"),"போய்")</f>
        <v>போய்</v>
      </c>
      <c r="O85" s="4" t="s">
        <v>1060</v>
      </c>
      <c r="P85" s="3"/>
      <c r="Q85" s="3" t="str">
        <f ca="1">IFERROR(__xludf.DUMMYFUNCTION("GOOGLETRANSLATE(R85,""en"",""ta"")"),"அதிக கிளைகளைக் கொண்ட வற்றாத, ஊர்ந்து செல்லும், முறுக்கு, சதைப்பற்றுள்ள மூலிகை. இலைகள் எளிமையானவை, மாறி மாறி முழுமையாகவும் இதய வடிவமாகவும் இருக்கும். மலர்கள் ஹெர்மோஃப்ரோடைட், இலைக்கோணங்களில், காம்பற்றது, சிறிய இலைக்காம்புகளுடன் கூடிய கூர்முனை. பழங்கள் கோள "&amp;"வடிவ யூட்ரிக்கிள், விதைகள் நிமிர்ந்தவை.")</f>
        <v>அதிக கிளைகளைக் கொண்ட வற்றாத, ஊர்ந்து செல்லும், முறுக்கு, சதைப்பற்றுள்ள மூலிகை. இலைகள் எளிமையானவை, மாறி மாறி முழுமையாகவும் இதய வடிவமாகவும் இருக்கும். மலர்கள் ஹெர்மோஃப்ரோடைட், இலைக்கோணங்களில், காம்பற்றது, சிறிய இலைக்காம்புகளுடன் கூடிய கூர்முனை. பழங்கள் கோள வடிவ யூட்ரிக்கிள், விதைகள் நிமிர்ந்தவை.</v>
      </c>
      <c r="R85" s="4" t="s">
        <v>1061</v>
      </c>
      <c r="S85" s="3" t="str">
        <f ca="1">IFERROR(__xludf.DUMMYFUNCTION("GOOGLETRANSLATE(T85,""en"",""ta"")"),"#VALUE!")</f>
        <v>#VALUE!</v>
      </c>
      <c r="T85" s="3"/>
      <c r="U85" s="3" t="str">
        <f ca="1">IFERROR(__xludf.DUMMYFUNCTION("GOOGLETRANSLATE(V85,""en"",""ta"")"),"#VALUE!")</f>
        <v>#VALUE!</v>
      </c>
      <c r="V85" s="3"/>
      <c r="W85" s="3" t="str">
        <f ca="1">IFERROR(__xludf.DUMMYFUNCTION("GOOGLETRANSLATE(X85,""en"",""ta"")"),"கொப்புளங்கள், புண்கள், யூர்டிகேரியாவின் புண்கள், கேடரல் நோய்கள், கோனோரியா, பாலனிடிஸ், தீக்காயங்கள் மற்றும் தலைவலி.")</f>
        <v>கொப்புளங்கள், புண்கள், யூர்டிகேரியாவின் புண்கள், கேடரல் நோய்கள், கோனோரியா, பாலனிடிஸ், தீக்காயங்கள் மற்றும் தலைவலி.</v>
      </c>
      <c r="X85" s="4" t="s">
        <v>1062</v>
      </c>
      <c r="Y85" s="3" t="str">
        <f ca="1">IFERROR(__xludf.DUMMYFUNCTION("GOOGLETRANSLATE(Z85,""en"",""ta"")"),"#VALUE!")</f>
        <v>#VALUE!</v>
      </c>
      <c r="Z85" s="3"/>
      <c r="AA85" s="3" t="str">
        <f ca="1">IFERROR(__xludf.DUMMYFUNCTION("GOOGLETRANSLATE(AB85,""en"",""ta"")"),"#VALUE!")</f>
        <v>#VALUE!</v>
      </c>
      <c r="AB85" s="3"/>
      <c r="AC85" s="3" t="str">
        <f ca="1">IFERROR(__xludf.DUMMYFUNCTION("GOOGLETRANSLATE(AD85,""en"",""ta"")"),"#VALUE!")</f>
        <v>#VALUE!</v>
      </c>
      <c r="AD85" s="3"/>
      <c r="AE85" s="3" t="str">
        <f ca="1">IFERROR(__xludf.DUMMYFUNCTION("GOOGLETRANSLATE(AF85,""en"",""ta"")"),"#VALUE!")</f>
        <v>#VALUE!</v>
      </c>
      <c r="AF85" s="3"/>
      <c r="AG85" s="3" t="str">
        <f ca="1">IFERROR(__xludf.DUMMYFUNCTION("GOOGLETRANSLATE(AH85,""en"",""ta"")"),"#VALUE!")</f>
        <v>#VALUE!</v>
      </c>
      <c r="AH85" s="3"/>
      <c r="AI85" s="3" t="str">
        <f ca="1">IFERROR(__xludf.DUMMYFUNCTION("GOOGLETRANSLATE(AJ85,""en"",""ta"")"),"#VALUE!")</f>
        <v>#VALUE!</v>
      </c>
      <c r="AJ85" s="3"/>
      <c r="AK85" s="3" t="str">
        <f ca="1">IFERROR(__xludf.DUMMYFUNCTION("GOOGLETRANSLATE(AL85,""en"",""ta"")"),"#VALUE!")</f>
        <v>#VALUE!</v>
      </c>
      <c r="AL85" s="3"/>
      <c r="AM85" s="3" t="str">
        <f ca="1">IFERROR(__xludf.DUMMYFUNCTION("GOOGLETRANSLATE(AN85,""en"",""ta"")"),"#VALUE!")</f>
        <v>#VALUE!</v>
      </c>
      <c r="AN85" s="3"/>
      <c r="AO85" s="3" t="str">
        <f ca="1">IFERROR(__xludf.DUMMYFUNCTION("GOOGLETRANSLATE(AP85,""en"",""ta"")"),"#VALUE!")</f>
        <v>#VALUE!</v>
      </c>
      <c r="AP85" s="3"/>
      <c r="AQ85" s="3"/>
      <c r="AR85" s="3" t="str">
        <f ca="1">IFERROR(__xludf.DUMMYFUNCTION("GOOGLETRANSLATE(AS85,""en"",""ta"")"),"டையூரிடிக், டீமுல்சென்ட், கூலிங் மற்றும் லேக்சேட்டிவ்.")</f>
        <v>டையூரிடிக், டீமுல்சென்ட், கூலிங் மற்றும் லேக்சேட்டிவ்.</v>
      </c>
      <c r="AS85" s="4" t="s">
        <v>1063</v>
      </c>
      <c r="AT85" s="3" t="str">
        <f ca="1">IFERROR(__xludf.DUMMYFUNCTION("GOOGLETRANSLATE(AU85,""en"",""ta"")"),"கரோட்டின், வைட்டமின்-கே, அயோடின், ஃப்ளோரின், பால்மிடிக் ஹெக்ஸாடெசெனாயிக் அமிலம், லினோலிக் அமிலம் மற்றும் டிரிப்டோபான்.")</f>
        <v>கரோட்டின், வைட்டமின்-கே, அயோடின், ஃப்ளோரின், பால்மிடிக் ஹெக்ஸாடெசெனாயிக் அமிலம், லினோலிக் அமிலம் மற்றும் டிரிப்டோபான்.</v>
      </c>
      <c r="AU85" s="4" t="s">
        <v>1064</v>
      </c>
      <c r="AV85" s="3"/>
      <c r="AW85" s="3" t="str">
        <f ca="1">IFERROR(__xludf.DUMMYFUNCTION("GOOGLETRANSLATE(AX85,""en"",""ta"")"),"i) இலைச்சாற்றுடன் சர்க்கரை மிட்டாயும் கலந்து குடிப்பது 
கோனோரியா மற்றும் பாலனிடிஸுக்கு பயனுள்ளதாக இருக்கும். ii) இலைச்சாற்றை வெண்ணெயுடன் நன்கு தேய்த்து குடிப்பது தீக்காயங்கள் மற்றும் தீக்காயங்களுக்கு குளிர்ச்சியூட்டும் பயன்பாடாகும்.")</f>
        <v>i) இலைச்சாற்றுடன் சர்க்கரை மிட்டாயும் கலந்து குடிப்பது 
கோனோரியா மற்றும் பாலனிடிஸுக்கு பயனுள்ளதாக இருக்கும். ii) இலைச்சாற்றை வெண்ணெயுடன் நன்கு தேய்த்து குடிப்பது தீக்காயங்கள் மற்றும் தீக்காயங்களுக்கு குளிர்ச்சியூட்டும் பயன்பாடாகும்.</v>
      </c>
      <c r="AX85" s="3" t="s">
        <v>2475</v>
      </c>
      <c r="AY85" s="3"/>
      <c r="AZ85" s="3"/>
      <c r="BA85" s="3"/>
      <c r="BB85" s="3"/>
      <c r="BC85" s="3"/>
      <c r="BD85" s="3"/>
      <c r="BE85" s="3"/>
      <c r="BF85" s="3"/>
    </row>
    <row r="86" spans="1:58" ht="56" x14ac:dyDescent="0.15">
      <c r="A86" s="3">
        <v>85</v>
      </c>
      <c r="B86" s="3" t="str">
        <f ca="1">IFERROR(__xludf.DUMMYFUNCTION("GOOGLETRANSLATE(C86,""en"",""ta"")"),"பாசெல்லா ருப்ரா")</f>
        <v>பாசெல்லா ருப்ரா</v>
      </c>
      <c r="C86" s="4" t="s">
        <v>1066</v>
      </c>
      <c r="D86" s="3" t="str">
        <f ca="1">IFERROR(__xludf.DUMMYFUNCTION("GOOGLETRANSLATE(E86,""en"",""ta"")"),"புடிகா")</f>
        <v>புடிகா</v>
      </c>
      <c r="E86" s="4" t="s">
        <v>1067</v>
      </c>
      <c r="F86" s="3" t="str">
        <f ca="1">IFERROR(__xludf.DUMMYFUNCTION("GOOGLETRANSLATE(G86,""en"",""ta"")"),"சிவப்பு-பசலை")</f>
        <v>சிவப்பு-பசலை</v>
      </c>
      <c r="G86" s="4" t="s">
        <v>1068</v>
      </c>
      <c r="H86" s="3" t="str">
        <f ca="1">IFERROR(__xludf.DUMMYFUNCTION("GOOGLETRANSLATE(I86,""en"",""ta"")"),"கீரை ரெட்வைன்")</f>
        <v>கீரை ரெட்வைன்</v>
      </c>
      <c r="I86" s="4" t="s">
        <v>1069</v>
      </c>
      <c r="J86" s="3" t="str">
        <f ca="1">IFERROR(__xludf.DUMMYFUNCTION("GOOGLETRANSLATE(K86,""en"",""ta"")"),"எர்ரா-பச்சாலி")</f>
        <v>எர்ரா-பச்சாலி</v>
      </c>
      <c r="K86" s="4" t="s">
        <v>1070</v>
      </c>
      <c r="L86" s="3" t="str">
        <f ca="1">IFERROR(__xludf.DUMMYFUNCTION("GOOGLETRANSLATE(M86,""en"",""ta"")"),"செம்பசாலா")</f>
        <v>செம்பசாலா</v>
      </c>
      <c r="M86" s="4" t="s">
        <v>1071</v>
      </c>
      <c r="N86" s="3" t="str">
        <f ca="1">IFERROR(__xludf.DUMMYFUNCTION("GOOGLETRANSLATE(O86,""en"",""ta"")"),"லால்-பச்லு")</f>
        <v>லால்-பச்லு</v>
      </c>
      <c r="O86" s="4" t="s">
        <v>1072</v>
      </c>
      <c r="P86" s="3"/>
      <c r="Q86" s="3" t="str">
        <f ca="1">IFERROR(__xludf.DUMMYFUNCTION("GOOGLETRANSLATE(R86,""en"",""ta"")"),"அதிக கிளைகளைக் கொண்ட சதைப்பற்றுள்ள, ஏறும் புதர். தண்டு சதைப்பற்றுள்ள, மென்மையானது. இலைகள் மாறி மாறி முழுமையாக, மலர்கள் ஹெர்மோஃப்ரோடைட், காம்பற்றது மற்றும் சிறிய துண்டுப்பிரசுரங்கள். பழங்கள் கோள வடிவ யூட்ரிக்கிள், விதைகள் நிமிர்ந்தவை.")</f>
        <v>அதிக கிளைகளைக் கொண்ட சதைப்பற்றுள்ள, ஏறும் புதர். தண்டு சதைப்பற்றுள்ள, மென்மையானது. இலைகள் மாறி மாறி முழுமையாக, மலர்கள் ஹெர்மோஃப்ரோடைட், காம்பற்றது மற்றும் சிறிய துண்டுப்பிரசுரங்கள். பழங்கள் கோள வடிவ யூட்ரிக்கிள், விதைகள் நிமிர்ந்தவை.</v>
      </c>
      <c r="R86" s="4" t="s">
        <v>1073</v>
      </c>
      <c r="S86" s="3" t="str">
        <f ca="1">IFERROR(__xludf.DUMMYFUNCTION("GOOGLETRANSLATE(T86,""en"",""ta"")"),"#VALUE!")</f>
        <v>#VALUE!</v>
      </c>
      <c r="T86" s="3"/>
      <c r="U86" s="3" t="str">
        <f ca="1">IFERROR(__xludf.DUMMYFUNCTION("GOOGLETRANSLATE(V86,""en"",""ta"")"),"#VALUE!")</f>
        <v>#VALUE!</v>
      </c>
      <c r="V86" s="3"/>
      <c r="W86" s="3" t="str">
        <f ca="1">IFERROR(__xludf.DUMMYFUNCTION("GOOGLETRANSLATE(X86,""en"",""ta"")"),"கொப்பளங்கள், புண்கள், புண்கள், யூர்டிகேரியா, கண்புரை நோய்கள், செரிமான கோளாறுகள், அழற்சி கட்டிகள், வயிற்றுப்போக்கு மற்றும் தலைவலி.")</f>
        <v>கொப்பளங்கள், புண்கள், புண்கள், யூர்டிகேரியா, கண்புரை நோய்கள், செரிமான கோளாறுகள், அழற்சி கட்டிகள், வயிற்றுப்போக்கு மற்றும் தலைவலி.</v>
      </c>
      <c r="X86" s="4" t="s">
        <v>1074</v>
      </c>
      <c r="Y86" s="3" t="str">
        <f ca="1">IFERROR(__xludf.DUMMYFUNCTION("GOOGLETRANSLATE(Z86,""en"",""ta"")"),"#VALUE!")</f>
        <v>#VALUE!</v>
      </c>
      <c r="Z86" s="3"/>
      <c r="AA86" s="3" t="str">
        <f ca="1">IFERROR(__xludf.DUMMYFUNCTION("GOOGLETRANSLATE(AB86,""en"",""ta"")"),"#VALUE!")</f>
        <v>#VALUE!</v>
      </c>
      <c r="AB86" s="3"/>
      <c r="AC86" s="3" t="str">
        <f ca="1">IFERROR(__xludf.DUMMYFUNCTION("GOOGLETRANSLATE(AD86,""en"",""ta"")"),"#VALUE!")</f>
        <v>#VALUE!</v>
      </c>
      <c r="AD86" s="3"/>
      <c r="AE86" s="3" t="str">
        <f ca="1">IFERROR(__xludf.DUMMYFUNCTION("GOOGLETRANSLATE(AF86,""en"",""ta"")"),"#VALUE!")</f>
        <v>#VALUE!</v>
      </c>
      <c r="AF86" s="3"/>
      <c r="AG86" s="3" t="str">
        <f ca="1">IFERROR(__xludf.DUMMYFUNCTION("GOOGLETRANSLATE(AH86,""en"",""ta"")"),"#VALUE!")</f>
        <v>#VALUE!</v>
      </c>
      <c r="AH86" s="3"/>
      <c r="AI86" s="3" t="str">
        <f ca="1">IFERROR(__xludf.DUMMYFUNCTION("GOOGLETRANSLATE(AJ86,""en"",""ta"")"),"#VALUE!")</f>
        <v>#VALUE!</v>
      </c>
      <c r="AJ86" s="3"/>
      <c r="AK86" s="3" t="str">
        <f ca="1">IFERROR(__xludf.DUMMYFUNCTION("GOOGLETRANSLATE(AL86,""en"",""ta"")"),"#VALUE!")</f>
        <v>#VALUE!</v>
      </c>
      <c r="AL86" s="3"/>
      <c r="AM86" s="3" t="str">
        <f ca="1">IFERROR(__xludf.DUMMYFUNCTION("GOOGLETRANSLATE(AN86,""en"",""ta"")"),"#VALUE!")</f>
        <v>#VALUE!</v>
      </c>
      <c r="AN86" s="3"/>
      <c r="AO86" s="3" t="str">
        <f ca="1">IFERROR(__xludf.DUMMYFUNCTION("GOOGLETRANSLATE(AP86,""en"",""ta"")"),"#VALUE!")</f>
        <v>#VALUE!</v>
      </c>
      <c r="AP86" s="3"/>
      <c r="AQ86" s="3"/>
      <c r="AR86" s="3" t="str">
        <f ca="1">IFERROR(__xludf.DUMMYFUNCTION("GOOGLETRANSLATE(AS86,""en"",""ta"")"),"டையூரிடிக், டீமுல்சென்ட், கூலிங் மற்றும் லேக்சேட்டிவ்.")</f>
        <v>டையூரிடிக், டீமுல்சென்ட், கூலிங் மற்றும் லேக்சேட்டிவ்.</v>
      </c>
      <c r="AS86" s="4" t="s">
        <v>1063</v>
      </c>
      <c r="AT86" s="3" t="str">
        <f ca="1">IFERROR(__xludf.DUMMYFUNCTION("GOOGLETRANSLATE(AU86,""en"",""ta"")"),"சளிச்சத்து, இரும்புச்சத்து, தியாமின், ரிபோஃப்ளேவின், கால்சியம், வைட்டமின்-கே, பயோஃப்ளேவனாய்டுகள், அயோடின், கரோட்டினாய்டுகள் மற்றும் ஃப்ளோரின்.")</f>
        <v>சளிச்சத்து, இரும்புச்சத்து, தியாமின், ரிபோஃப்ளேவின், கால்சியம், வைட்டமின்-கே, பயோஃப்ளேவனாய்டுகள், அயோடின், கரோட்டினாய்டுகள் மற்றும் ஃப்ளோரின்.</v>
      </c>
      <c r="AU86" s="4" t="s">
        <v>1075</v>
      </c>
      <c r="AV86" s="3"/>
      <c r="AW86" s="3" t="str">
        <f ca="1">IFERROR(__xludf.DUMMYFUNCTION("GOOGLETRANSLATE(AX86,""en"",""ta"")"),"i) வேரின் கஷாயம் பித்த வாந்தியை நீக்குகிறது. ii) இலைகளின் ஒரு பகுதியை பருக்கள் மற்றும் மருக்கள் மீது தடவினால் சீழ் வெளியேறுவது துரிதமாகும்.")</f>
        <v>i) வேரின் கஷாயம் பித்த வாந்தியை நீக்குகிறது. ii) இலைகளின் ஒரு பகுதியை பருக்கள் மற்றும் மருக்கள் மீது தடவினால் சீழ் வெளியேறுவது துரிதமாகும்.</v>
      </c>
      <c r="AX86" s="4" t="s">
        <v>2476</v>
      </c>
      <c r="AY86" s="3"/>
      <c r="AZ86" s="3"/>
      <c r="BA86" s="3"/>
      <c r="BB86" s="3"/>
      <c r="BC86" s="3"/>
      <c r="BD86" s="3"/>
      <c r="BE86" s="3"/>
      <c r="BF86" s="3"/>
    </row>
    <row r="87" spans="1:58" ht="42" x14ac:dyDescent="0.15">
      <c r="A87" s="3">
        <v>86</v>
      </c>
      <c r="B87" s="3" t="str">
        <f ca="1">IFERROR(__xludf.DUMMYFUNCTION("GOOGLETRANSLATE(C87,""en"",""ta"")"),"பௌஹினியா அக்குமினாட்டா")</f>
        <v>பௌஹினியா அக்குமினாட்டா</v>
      </c>
      <c r="C87" s="4" t="s">
        <v>1077</v>
      </c>
      <c r="D87" s="3" t="str">
        <f ca="1">IFERROR(__xludf.DUMMYFUNCTION("GOOGLETRANSLATE(E87,""en"",""ta"")"),"ஸ்வேதா காஞ்சனா")</f>
        <v>ஸ்வேதா காஞ்சனா</v>
      </c>
      <c r="E87" s="4" t="s">
        <v>1078</v>
      </c>
      <c r="F87" s="3" t="str">
        <f ca="1">IFERROR(__xludf.DUMMYFUNCTION("GOOGLETRANSLATE(G87,""en"",""ta"")"),"வெள்ளை மந்தாரை")</f>
        <v>வெள்ளை மந்தாரை</v>
      </c>
      <c r="G87" s="4" t="s">
        <v>1079</v>
      </c>
      <c r="H87" s="3" t="str">
        <f ca="1">IFERROR(__xludf.DUMMYFUNCTION("GOOGLETRANSLATE(I87,""en"",""ta"")"),"வெள்ளை பௌஹினியா")</f>
        <v>வெள்ளை பௌஹினியா</v>
      </c>
      <c r="I87" s="4" t="s">
        <v>1080</v>
      </c>
      <c r="J87" s="3" t="str">
        <f ca="1">IFERROR(__xludf.DUMMYFUNCTION("GOOGLETRANSLATE(K87,""en"",""ta"")"),"தேவ காஞ்சனமு")</f>
        <v>தேவ காஞ்சனமு</v>
      </c>
      <c r="K87" s="4" t="s">
        <v>1081</v>
      </c>
      <c r="L87" s="3" t="str">
        <f ca="1">IFERROR(__xludf.DUMMYFUNCTION("GOOGLETRANSLATE(M87,""en"",""ta"")"),"சிவமல்லி")</f>
        <v>சிவமல்லி</v>
      </c>
      <c r="M87" s="4" t="s">
        <v>1082</v>
      </c>
      <c r="N87" s="3" t="str">
        <f ca="1">IFERROR(__xludf.DUMMYFUNCTION("GOOGLETRANSLATE(O87,""en"",""ta"")"),"காஞ்சனல்")</f>
        <v>காஞ்சனல்</v>
      </c>
      <c r="O87" s="4" t="s">
        <v>1083</v>
      </c>
      <c r="P87" s="3"/>
      <c r="Q87" s="3" t="str">
        <f ca="1">IFERROR(__xludf.DUMMYFUNCTION("GOOGLETRANSLATE(R87,""en"",""ta"")"),"நடுத்தர அளவிலான மரம். இலைகள் கூட்டு, அகலமான, கடினமான சப்கோரியாசியஸ், ஆழமான இதய வடிவ. மஞ்சரி ஒரு ரேசீம், பூக்கள் வெள்ளை நிறத்தில், காம்பற்ற மற்றும் குறுகிய மஞ்சரி தண்டு கொண்ட கோரிம்ப்கள். பழங்கள் நீளமான, கடினமான காய்.")</f>
        <v>நடுத்தர அளவிலான மரம். இலைகள் கூட்டு, அகலமான, கடினமான சப்கோரியாசியஸ், ஆழமான இதய வடிவ. மஞ்சரி ஒரு ரேசீம், பூக்கள் வெள்ளை நிறத்தில், காம்பற்ற மற்றும் குறுகிய மஞ்சரி தண்டு கொண்ட கோரிம்ப்கள். பழங்கள் நீளமான, கடினமான காய்.</v>
      </c>
      <c r="R87" s="4" t="s">
        <v>1084</v>
      </c>
      <c r="S87" s="3" t="str">
        <f ca="1">IFERROR(__xludf.DUMMYFUNCTION("GOOGLETRANSLATE(T87,""en"",""ta"")"),"#VALUE!")</f>
        <v>#VALUE!</v>
      </c>
      <c r="T87" s="3"/>
      <c r="U87" s="3" t="str">
        <f ca="1">IFERROR(__xludf.DUMMYFUNCTION("GOOGLETRANSLATE(V87,""en"",""ta"")"),"#VALUE!")</f>
        <v>#VALUE!</v>
      </c>
      <c r="V87" s="3"/>
      <c r="W87" s="3" t="str">
        <f ca="1">IFERROR(__xludf.DUMMYFUNCTION("GOOGLETRANSLATE(X87,""en"",""ta"")"),"மலேரியா, பாம்பு விஷம் மற்றும் தலைவலிக்கு மாற்று மருந்து")</f>
        <v>மலேரியா, பாம்பு விஷம் மற்றும் தலைவலிக்கு மாற்று மருந்து</v>
      </c>
      <c r="X87" s="4" t="s">
        <v>1085</v>
      </c>
      <c r="Y87" s="3" t="str">
        <f ca="1">IFERROR(__xludf.DUMMYFUNCTION("GOOGLETRANSLATE(Z87,""en"",""ta"")"),"இருமல், இரத்தப்போக்கு மூல நோய் இரத்தப்போக்கு மற்றும் மாதவிடாய் நிறுத்தம்.")</f>
        <v>இருமல், இரத்தப்போக்கு மூல நோய் இரத்தப்போக்கு மற்றும் மாதவிடாய் நிறுத்தம்.</v>
      </c>
      <c r="Z87" s="4" t="s">
        <v>1086</v>
      </c>
      <c r="AA87" s="3" t="str">
        <f ca="1">IFERROR(__xludf.DUMMYFUNCTION("GOOGLETRANSLATE(AB87,""en"",""ta"")"),"எச்சில் வடிதல், தொண்டை வலி.")</f>
        <v>எச்சில் வடிதல், தொண்டை வலி.</v>
      </c>
      <c r="AB87" s="3" t="s">
        <v>1087</v>
      </c>
      <c r="AC87" s="3" t="str">
        <f ca="1">IFERROR(__xludf.DUMMYFUNCTION("GOOGLETRANSLATE(AD87,""en"",""ta"")"),"#VALUE!")</f>
        <v>#VALUE!</v>
      </c>
      <c r="AD87" s="3"/>
      <c r="AE87" s="3" t="str">
        <f ca="1">IFERROR(__xludf.DUMMYFUNCTION("GOOGLETRANSLATE(AF87,""en"",""ta"")"),"#VALUE!")</f>
        <v>#VALUE!</v>
      </c>
      <c r="AF87" s="3"/>
      <c r="AG87" s="3" t="str">
        <f ca="1">IFERROR(__xludf.DUMMYFUNCTION("GOOGLETRANSLATE(AH87,""en"",""ta"")"),"#VALUE!")</f>
        <v>#VALUE!</v>
      </c>
      <c r="AH87" s="3"/>
      <c r="AI87" s="3" t="str">
        <f ca="1">IFERROR(__xludf.DUMMYFUNCTION("GOOGLETRANSLATE(AJ87,""en"",""ta"")"),"#VALUE!")</f>
        <v>#VALUE!</v>
      </c>
      <c r="AJ87" s="3"/>
      <c r="AK87" s="3" t="str">
        <f ca="1">IFERROR(__xludf.DUMMYFUNCTION("GOOGLETRANSLATE(AL87,""en"",""ta"")"),"#VALUE!")</f>
        <v>#VALUE!</v>
      </c>
      <c r="AL87" s="3"/>
      <c r="AM87" s="3" t="str">
        <f ca="1">IFERROR(__xludf.DUMMYFUNCTION("GOOGLETRANSLATE(AN87,""en"",""ta"")"),"#VALUE!")</f>
        <v>#VALUE!</v>
      </c>
      <c r="AN87" s="3"/>
      <c r="AO87" s="3" t="str">
        <f ca="1">IFERROR(__xludf.DUMMYFUNCTION("GOOGLETRANSLATE(AP87,""en"",""ta"")"),"#VALUE!")</f>
        <v>#VALUE!</v>
      </c>
      <c r="AP87" s="3"/>
      <c r="AQ87" s="3"/>
      <c r="AR87" s="3" t="str">
        <f ca="1">IFERROR(__xludf.DUMMYFUNCTION("GOOGLETRANSLATE(AS87,""en"",""ta"")"),"மாற்று மருந்து, டானிக், துவர்ப்பு மருந்து, மலமிளக்கி மற்றும் கார்மினேட்டிவ்.")</f>
        <v>மாற்று மருந்து, டானிக், துவர்ப்பு மருந்து, மலமிளக்கி மற்றும் கார்மினேட்டிவ்.</v>
      </c>
      <c r="AS87" s="4" t="s">
        <v>1088</v>
      </c>
      <c r="AT87" s="3" t="str">
        <f ca="1">IFERROR(__xludf.DUMMYFUNCTION("GOOGLETRANSLATE(AU87,""en"",""ta"")"),"டானிக் அமிலம், குளுக்கோஸ், ரூட்டின் மற்றும் குர்செடின்-3- O-a-D- குளுக்கோசைடுகள்.")</f>
        <v>டானிக் அமிலம், குளுக்கோஸ், ரூட்டின் மற்றும் குர்செடின்-3- O-a-D- குளுக்கோசைடுகள்.</v>
      </c>
      <c r="AU87" s="4" t="s">
        <v>1089</v>
      </c>
      <c r="AV87" s="3"/>
      <c r="AW87" s="3" t="str">
        <f ca="1">IFERROR(__xludf.DUMMYFUNCTION("GOOGLETRANSLATE(AX87,""en"",""ta"")"),"i) இருமல், இரத்தப்போக்கு மூல நோய் மற்றும் மாதவிடாய் நிறுத்தத்திற்கு மொட்டுகளின் கஷாயம் கொடுக்கப்படுகிறது. ii) பட்டையின் கஷாயம் புண்கள், தோல் நோய்கள் மற்றும் வயிற்றுப்போக்குக்கு பயனுள்ளதாக இருக்கும்.")</f>
        <v>i) இருமல், இரத்தப்போக்கு மூல நோய் மற்றும் மாதவிடாய் நிறுத்தத்திற்கு மொட்டுகளின் கஷாயம் கொடுக்கப்படுகிறது. ii) பட்டையின் கஷாயம் புண்கள், தோல் நோய்கள் மற்றும் வயிற்றுப்போக்குக்கு பயனுள்ளதாக இருக்கும்.</v>
      </c>
      <c r="AX87" s="4" t="s">
        <v>2477</v>
      </c>
      <c r="AY87" s="3"/>
      <c r="AZ87" s="3"/>
      <c r="BA87" s="3"/>
      <c r="BB87" s="3"/>
      <c r="BC87" s="3"/>
      <c r="BD87" s="3"/>
      <c r="BE87" s="3"/>
      <c r="BF87" s="3"/>
    </row>
    <row r="88" spans="1:58" ht="56" x14ac:dyDescent="0.15">
      <c r="A88" s="3">
        <v>87</v>
      </c>
      <c r="B88" s="3" t="str">
        <f ca="1">IFERROR(__xludf.DUMMYFUNCTION("GOOGLETRANSLATE(C88,""en"",""ta"")"),"பௌஹினியா பர்ப்யூரியா")</f>
        <v>பௌஹினியா பர்ப்யூரியா</v>
      </c>
      <c r="C88" s="4" t="s">
        <v>1091</v>
      </c>
      <c r="D88" s="3" t="str">
        <f ca="1">IFERROR(__xludf.DUMMYFUNCTION("GOOGLETRANSLATE(E88,""en"",""ta"")"),"காஞ்சனார்")</f>
        <v>காஞ்சனார்</v>
      </c>
      <c r="E88" s="4" t="s">
        <v>1092</v>
      </c>
      <c r="F88" s="3" t="str">
        <f ca="1">IFERROR(__xludf.DUMMYFUNCTION("GOOGLETRANSLATE(G88,""en"",""ta"")"),"சிவப்பு மந்தாரை")</f>
        <v>சிவப்பு மந்தாரை</v>
      </c>
      <c r="G88" s="4" t="s">
        <v>1093</v>
      </c>
      <c r="H88" s="3" t="str">
        <f ca="1">IFERROR(__xludf.DUMMYFUNCTION("GOOGLETRANSLATE(I88,""en"",""ta"")"),"பட்டாம்பூச்சி மரம்")</f>
        <v>பட்டாம்பூச்சி மரம்</v>
      </c>
      <c r="I88" s="4" t="s">
        <v>1094</v>
      </c>
      <c r="J88" s="3" t="str">
        <f ca="1">IFERROR(__xludf.DUMMYFUNCTION("GOOGLETRANSLATE(K88,""en"",""ta"")"),"காஞ்சனம்")</f>
        <v>காஞ்சனம்</v>
      </c>
      <c r="K88" s="4" t="s">
        <v>1095</v>
      </c>
      <c r="L88" s="3" t="str">
        <f ca="1">IFERROR(__xludf.DUMMYFUNCTION("GOOGLETRANSLATE(M88,""en"",""ta"")"),"சுவண்ண மந்தாரம்")</f>
        <v>சுவண்ண மந்தாரம்</v>
      </c>
      <c r="M88" s="4" t="s">
        <v>1096</v>
      </c>
      <c r="N88" s="3" t="str">
        <f ca="1">IFERROR(__xludf.DUMMYFUNCTION("GOOGLETRANSLATE(O88,""en"",""ta"")"),"கைர்வால்")</f>
        <v>கைர்வால்</v>
      </c>
      <c r="O88" s="4" t="s">
        <v>1097</v>
      </c>
      <c r="P88" s="3"/>
      <c r="Q88" s="3" t="str">
        <f ca="1">IFERROR(__xludf.DUMMYFUNCTION("GOOGLETRANSLATE(R88,""en"",""ta"")"),"கரடுமுரடான பட்டைகளைக் கொண்ட நடுத்தர அளவிலான பசுமையான அலங்கார மரம். இலைகள் கடினமான சப்-கோரியாசியஸ், உரோமங்களற்றது, ஆழமற்ற இதய வடிவமானது. பூக்கள் முனையத்தில் அல்லது இலைக்கோணங்களில் சிவப்பு நிறத்தில் இருக்கும். பழக் காய்கள், ஒவ்வொரு காய்க்கும் 10-15 கடினமான "&amp;"விதைகள் இருக்கும்.")</f>
        <v>கரடுமுரடான பட்டைகளைக் கொண்ட நடுத்தர அளவிலான பசுமையான அலங்கார மரம். இலைகள் கடினமான சப்-கோரியாசியஸ், உரோமங்களற்றது, ஆழமற்ற இதய வடிவமானது. பூக்கள் முனையத்தில் அல்லது இலைக்கோணங்களில் சிவப்பு நிறத்தில் இருக்கும். பழக் காய்கள், ஒவ்வொரு காய்க்கும் 10-15 கடினமான விதைகள் இருக்கும்.</v>
      </c>
      <c r="R88" s="4" t="s">
        <v>1098</v>
      </c>
      <c r="S88" s="3" t="str">
        <f ca="1">IFERROR(__xludf.DUMMYFUNCTION("GOOGLETRANSLATE(T88,""en"",""ta"")"),"செரிமானமின்மை, வாய்வு, உடல் பருமன்.")</f>
        <v>செரிமானமின்மை, வாய்வு, உடல் பருமன்.</v>
      </c>
      <c r="T88" s="4" t="s">
        <v>1099</v>
      </c>
      <c r="U88" s="3" t="str">
        <f ca="1">IFERROR(__xludf.DUMMYFUNCTION("GOOGLETRANSLATE(V88,""en"",""ta"")"),"#VALUE!")</f>
        <v>#VALUE!</v>
      </c>
      <c r="V88" s="3"/>
      <c r="W88" s="3" t="str">
        <f ca="1">IFERROR(__xludf.DUMMYFUNCTION("GOOGLETRANSLATE(X88,""en"",""ta"")"),"#VALUE!")</f>
        <v>#VALUE!</v>
      </c>
      <c r="X88" s="3"/>
      <c r="Y88" s="3" t="str">
        <f ca="1">IFERROR(__xludf.DUMMYFUNCTION("GOOGLETRANSLATE(Z88,""en"",""ta"")"),"இருமல், இரத்தப்போக்கு மூல நோய், இரத்தக்கசிவு,
மெனோராஜியா, வயிற்றுப்போக்கு மற்றும் வயிற்றுப்போக்கு.")</f>
        <v>இருமல், இரத்தப்போக்கு மூல நோய், இரத்தக்கசிவு,
மெனோராஜியா, வயிற்றுப்போக்கு மற்றும் வயிற்றுப்போக்கு.</v>
      </c>
      <c r="Z88" s="3" t="s">
        <v>1100</v>
      </c>
      <c r="AA88" s="3" t="str">
        <f ca="1">IFERROR(__xludf.DUMMYFUNCTION("GOOGLETRANSLATE(AB88,""en"",""ta"")"),"தொண்டை வலி மற்றும் உமிழ்நீர் வடிதல்.")</f>
        <v>தொண்டை வலி மற்றும் உமிழ்நீர் வடிதல்.</v>
      </c>
      <c r="AB88" s="3" t="s">
        <v>1101</v>
      </c>
      <c r="AC88" s="3" t="str">
        <f ca="1">IFERROR(__xludf.DUMMYFUNCTION("GOOGLETRANSLATE(AD88,""en"",""ta"")"),"#VALUE!")</f>
        <v>#VALUE!</v>
      </c>
      <c r="AD88" s="3"/>
      <c r="AE88" s="3" t="str">
        <f ca="1">IFERROR(__xludf.DUMMYFUNCTION("GOOGLETRANSLATE(AF88,""en"",""ta"")"),"#VALUE!")</f>
        <v>#VALUE!</v>
      </c>
      <c r="AF88" s="3"/>
      <c r="AG88" s="3" t="str">
        <f ca="1">IFERROR(__xludf.DUMMYFUNCTION("GOOGLETRANSLATE(AH88,""en"",""ta"")"),"#VALUE!")</f>
        <v>#VALUE!</v>
      </c>
      <c r="AH88" s="3"/>
      <c r="AI88" s="3" t="str">
        <f ca="1">IFERROR(__xludf.DUMMYFUNCTION("GOOGLETRANSLATE(AJ88,""en"",""ta"")"),"#VALUE!")</f>
        <v>#VALUE!</v>
      </c>
      <c r="AJ88" s="3"/>
      <c r="AK88" s="3" t="str">
        <f ca="1">IFERROR(__xludf.DUMMYFUNCTION("GOOGLETRANSLATE(AL88,""en"",""ta"")"),"#VALUE!")</f>
        <v>#VALUE!</v>
      </c>
      <c r="AL88" s="3"/>
      <c r="AM88" s="3" t="str">
        <f ca="1">IFERROR(__xludf.DUMMYFUNCTION("GOOGLETRANSLATE(AN88,""en"",""ta"")"),"#VALUE!")</f>
        <v>#VALUE!</v>
      </c>
      <c r="AN88" s="3"/>
      <c r="AO88" s="3" t="str">
        <f ca="1">IFERROR(__xludf.DUMMYFUNCTION("GOOGLETRANSLATE(AP88,""en"",""ta"")"),"#VALUE!")</f>
        <v>#VALUE!</v>
      </c>
      <c r="AP88" s="3"/>
      <c r="AQ88" s="3"/>
      <c r="AR88" s="3" t="str">
        <f ca="1">IFERROR(__xludf.DUMMYFUNCTION("GOOGLETRANSLATE(AS88,""en"",""ta"")"),"மாற்று மருந்து, டானிக், துவர்ப்பு மருந்து, கார்மினேட்டிவ், ஆன்டெல்மிண்டிக் மற்றும் மலமிளக்கி.")</f>
        <v>மாற்று மருந்து, டானிக், துவர்ப்பு மருந்து, கார்மினேட்டிவ், ஆன்டெல்மிண்டிக் மற்றும் மலமிளக்கி.</v>
      </c>
      <c r="AS88" s="4" t="s">
        <v>1102</v>
      </c>
      <c r="AT88" s="3" t="str">
        <f ca="1">IFERROR(__xludf.DUMMYFUNCTION("GOOGLETRANSLATE(AU88,""en"",""ta"")"),"டானிக் அமிலம், குளுக்கோஸ், பெலர்கோனிடின்-3- ட்ரைகுளுக்கோசைடுகள், பெலர்கோனிடின்-3-குளுக்கோசைடுகள், குயர்செடின், ஐசோகுவெர்சிட்ரின், அஸ்ட்ராகலின், சால்கோன்.")</f>
        <v>டானிக் அமிலம், குளுக்கோஸ், பெலர்கோனிடின்-3- ட்ரைகுளுக்கோசைடுகள், பெலர்கோனிடின்-3-குளுக்கோசைடுகள், குயர்செடின், ஐசோகுவெர்சிட்ரின், அஸ்ட்ராகலின், சால்கோன்.</v>
      </c>
      <c r="AU88" s="4" t="s">
        <v>1103</v>
      </c>
      <c r="AV88" s="3"/>
      <c r="AW88" s="3" t="str">
        <f ca="1">IFERROR(__xludf.DUMMYFUNCTION("GOOGLETRANSLATE(AX88,""en"",""ta"")"),"i) மலமிளக்கிக்காக பூக்கள் அரை-திட நிலையில் உள்ளே எடுக்கப்படுகின்றன. 
ii) வேர்ப் பொடி 
அஜீரணத்திற்காக உள்ளே எடுக்கப்படுகிறது.")</f>
        <v>i) மலமிளக்கிக்காக பூக்கள் அரை-திட நிலையில் உள்ளே எடுக்கப்படுகின்றன. 
ii) வேர்ப் பொடி 
அஜீரணத்திற்காக உள்ளே எடுக்கப்படுகிறது.</v>
      </c>
      <c r="AX88" s="3" t="s">
        <v>2478</v>
      </c>
      <c r="AY88" s="3"/>
      <c r="AZ88" s="3"/>
      <c r="BA88" s="3"/>
      <c r="BB88" s="3"/>
      <c r="BC88" s="3"/>
      <c r="BD88" s="3"/>
      <c r="BE88" s="3"/>
      <c r="BF88" s="3"/>
    </row>
    <row r="89" spans="1:58" ht="70" x14ac:dyDescent="0.15">
      <c r="A89" s="3">
        <v>88</v>
      </c>
      <c r="B89" s="3" t="str">
        <f ca="1">IFERROR(__xludf.DUMMYFUNCTION("GOOGLETRANSLATE(C89,""en"",""ta"")"),"பௌஹினியா டோமென்டோசா")</f>
        <v>பௌஹினியா டோமென்டோசா</v>
      </c>
      <c r="C89" s="4" t="s">
        <v>1105</v>
      </c>
      <c r="D89" s="3" t="str">
        <f ca="1">IFERROR(__xludf.DUMMYFUNCTION("GOOGLETRANSLATE(E89,""en"",""ta"")"),"பால்கு")</f>
        <v>பால்கு</v>
      </c>
      <c r="E89" s="4" t="s">
        <v>1106</v>
      </c>
      <c r="F89" s="3" t="str">
        <f ca="1">IFERROR(__xludf.DUMMYFUNCTION("GOOGLETRANSLATE(G89,""en"",""ta"")"),"கொக்கு மந்தாரை")</f>
        <v>கொக்கு மந்தாரை</v>
      </c>
      <c r="G89" s="4" t="s">
        <v>1107</v>
      </c>
      <c r="H89" s="3" t="str">
        <f ca="1">IFERROR(__xludf.DUMMYFUNCTION("GOOGLETRANSLATE(I89,""en"",""ta"")"),"மஞ்சள் பௌஹேனியா")</f>
        <v>மஞ்சள் பௌஹேனியா</v>
      </c>
      <c r="I89" s="4" t="s">
        <v>1108</v>
      </c>
      <c r="J89" s="3" t="str">
        <f ca="1">IFERROR(__xludf.DUMMYFUNCTION("GOOGLETRANSLATE(K89,""en"",""ta"")"),"அடவிமந்தரமு")</f>
        <v>அடவிமந்தரமு</v>
      </c>
      <c r="K89" s="4" t="s">
        <v>1109</v>
      </c>
      <c r="L89" s="3" t="str">
        <f ca="1">IFERROR(__xludf.DUMMYFUNCTION("GOOGLETRANSLATE(M89,""en"",""ta"")"),"காஞ்சனபு")</f>
        <v>காஞ்சனபு</v>
      </c>
      <c r="M89" s="4" t="s">
        <v>1110</v>
      </c>
      <c r="N89" s="3" t="str">
        <f ca="1">IFERROR(__xludf.DUMMYFUNCTION("GOOGLETRANSLATE(O89,""en"",""ta"")"),"கச்னார்")</f>
        <v>கச்னார்</v>
      </c>
      <c r="O89" s="4" t="s">
        <v>1111</v>
      </c>
      <c r="P89" s="3"/>
      <c r="Q89" s="3" t="str">
        <f ca="1">IFERROR(__xludf.DUMMYFUNCTION("GOOGLETRANSLATE(R89,""en"",""ta"")"),"நிமிர்ந்த புதர், கிளைகள் மெல்லியவை. இலைகள் அகலமானவை, கோரியேசியஸ், உரோமங்களுடையவை, உரோமங்களற்றவை. மலர்கள் பொதுவாக ஜோடிகளாக, இலைக்கோணங்களில் காணப்படும் சைம்கள். பழங்கள் காய்கள், மஞ்சள் நிறத்தில் தனித்துவமான மணத்துடன் இருக்கும். விதைகள் நீள்வட்ட வடிவமானது, ந"&amp;"ுனியில் வட்டமானது.")</f>
        <v>நிமிர்ந்த புதர், கிளைகள் மெல்லியவை. இலைகள் அகலமானவை, கோரியேசியஸ், உரோமங்களுடையவை, உரோமங்களற்றவை. மலர்கள் பொதுவாக ஜோடிகளாக, இலைக்கோணங்களில் காணப்படும் சைம்கள். பழங்கள் காய்கள், மஞ்சள் நிறத்தில் தனித்துவமான மணத்துடன் இருக்கும். விதைகள் நீள்வட்ட வடிவமானது, நுனியில் வட்டமானது.</v>
      </c>
      <c r="R89" s="4" t="s">
        <v>1112</v>
      </c>
      <c r="S89" s="3" t="str">
        <f ca="1">IFERROR(__xludf.DUMMYFUNCTION("GOOGLETRANSLATE(T89,""en"",""ta"")"),"#VALUE!")</f>
        <v>#VALUE!</v>
      </c>
      <c r="T89" s="3"/>
      <c r="U89" s="3" t="str">
        <f ca="1">IFERROR(__xludf.DUMMYFUNCTION("GOOGLETRANSLATE(V89,""en"",""ta"")"),"#VALUE!")</f>
        <v>#VALUE!</v>
      </c>
      <c r="V89" s="3"/>
      <c r="W89" s="3" t="str">
        <f ca="1">IFERROR(__xludf.DUMMYFUNCTION("GOOGLETRANSLATE(X89,""en"",""ta"")"),"#VALUE!")</f>
        <v>#VALUE!</v>
      </c>
      <c r="X89" s="3"/>
      <c r="Y89" s="3" t="str">
        <f ca="1">IFERROR(__xludf.DUMMYFUNCTION("GOOGLETRANSLATE(Z89,""en"",""ta"")"),"#VALUE!")</f>
        <v>#VALUE!</v>
      </c>
      <c r="Z89" s="3"/>
      <c r="AA89" s="3" t="str">
        <f ca="1">IFERROR(__xludf.DUMMYFUNCTION("GOOGLETRANSLATE(AB89,""en"",""ta"")"),"#VALUE!")</f>
        <v>#VALUE!</v>
      </c>
      <c r="AB89" s="3"/>
      <c r="AC89" s="3" t="str">
        <f ca="1">IFERROR(__xludf.DUMMYFUNCTION("GOOGLETRANSLATE(AD89,""en"",""ta"")"),"#VALUE!")</f>
        <v>#VALUE!</v>
      </c>
      <c r="AD89" s="3"/>
      <c r="AE89" s="3" t="str">
        <f ca="1">IFERROR(__xludf.DUMMYFUNCTION("GOOGLETRANSLATE(AF89,""en"",""ta"")"),"#VALUE!")</f>
        <v>#VALUE!</v>
      </c>
      <c r="AF89" s="3"/>
      <c r="AG89" s="3" t="str">
        <f ca="1">IFERROR(__xludf.DUMMYFUNCTION("GOOGLETRANSLATE(AH89,""en"",""ta"")"),"#VALUE!")</f>
        <v>#VALUE!</v>
      </c>
      <c r="AH89" s="3"/>
      <c r="AI89" s="3" t="str">
        <f ca="1">IFERROR(__xludf.DUMMYFUNCTION("GOOGLETRANSLATE(AJ89,""en"",""ta"")"),"புழுக்கொல்லி, வயிற்றுப்போக்கு மற்றும் சிறுநீர் பாதை தொற்றுகள்.")</f>
        <v>புழுக்கொல்லி, வயிற்றுப்போக்கு மற்றும் சிறுநீர் பாதை தொற்றுகள்.</v>
      </c>
      <c r="AJ89" s="4" t="s">
        <v>1113</v>
      </c>
      <c r="AK89" s="3" t="str">
        <f ca="1">IFERROR(__xludf.DUMMYFUNCTION("GOOGLETRANSLATE(AL89,""en"",""ta"")"),"#VALUE!")</f>
        <v>#VALUE!</v>
      </c>
      <c r="AL89" s="3"/>
      <c r="AM89" s="3" t="str">
        <f ca="1">IFERROR(__xludf.DUMMYFUNCTION("GOOGLETRANSLATE(AN89,""en"",""ta"")"),"#VALUE!")</f>
        <v>#VALUE!</v>
      </c>
      <c r="AN89" s="3"/>
      <c r="AO89" s="3" t="str">
        <f ca="1">IFERROR(__xludf.DUMMYFUNCTION("GOOGLETRANSLATE(AP89,""en"",""ta"")"),"#VALUE!")</f>
        <v>#VALUE!</v>
      </c>
      <c r="AP89" s="3"/>
      <c r="AQ89" s="3"/>
      <c r="AR89" s="3" t="str">
        <f ca="1">IFERROR(__xludf.DUMMYFUNCTION("GOOGLETRANSLATE(AS89,""en"",""ta"")"),"#VALUE!")</f>
        <v>#VALUE!</v>
      </c>
      <c r="AS89" s="3"/>
      <c r="AT89" s="3" t="str">
        <f ca="1">IFERROR(__xludf.DUMMYFUNCTION("GOOGLETRANSLATE(AU89,""en"",""ta"")"),"வயிற்றுப்போக்கு எதிர்ப்பு, புழுக்களைக் கொல்லும் மருந்து, சிறுநீர்ப் பெருக்கி, டானிக் மற்றும் பாலுணர்வூக்கி.")</f>
        <v>வயிற்றுப்போக்கு எதிர்ப்பு, புழுக்களைக் கொல்லும் மருந்து, சிறுநீர்ப் பெருக்கி, டானிக் மற்றும் பாலுணர்வூக்கி.</v>
      </c>
      <c r="AU89" s="4" t="s">
        <v>1114</v>
      </c>
      <c r="AV89" s="3"/>
      <c r="AW89" s="3" t="str">
        <f ca="1">IFERROR(__xludf.DUMMYFUNCTION("GOOGLETRANSLATE(AX89,""en"",""ta"")"),"i) வேர் பட்டையின் கஷாயம் 
மருந்துக் கொல்லியாகவும் 
கல்லீரல் அழற்சியிலும் 
பயன்படுத்தப்படுகிறது. ii) உலர்ந்த இலைகள், மொட்டுகள் மற்றும் பூக்கள் 
வயிற்றுப்போக்கில் பயன்படுத்தப்படுகின்றன.")</f>
        <v>i) வேர் பட்டையின் கஷாயம் 
மருந்துக் கொல்லியாகவும் 
கல்லீரல் அழற்சியிலும் 
பயன்படுத்தப்படுகிறது. ii) உலர்ந்த இலைகள், மொட்டுகள் மற்றும் பூக்கள் 
வயிற்றுப்போக்கில் பயன்படுத்தப்படுகின்றன.</v>
      </c>
      <c r="AX89" s="3" t="s">
        <v>2479</v>
      </c>
      <c r="AY89" s="3"/>
      <c r="AZ89" s="3"/>
      <c r="BA89" s="3"/>
      <c r="BB89" s="3"/>
      <c r="BC89" s="3"/>
      <c r="BD89" s="3"/>
      <c r="BE89" s="3"/>
      <c r="BF89" s="3"/>
    </row>
    <row r="90" spans="1:58" ht="56" x14ac:dyDescent="0.15">
      <c r="A90" s="3">
        <v>89</v>
      </c>
      <c r="B90" s="3" t="str">
        <f ca="1">IFERROR(__xludf.DUMMYFUNCTION("GOOGLETRANSLATE(C90,""en"",""ta"")"),"பெனின்காசா செரிஃபெரா")</f>
        <v>பெனின்காசா செரிஃபெரா</v>
      </c>
      <c r="C90" s="4" t="s">
        <v>1116</v>
      </c>
      <c r="D90" s="3" t="str">
        <f ca="1">IFERROR(__xludf.DUMMYFUNCTION("GOOGLETRANSLATE(E90,""en"",""ta"")"),"கூஷ்மண்டா")</f>
        <v>கூஷ்மண்டா</v>
      </c>
      <c r="E90" s="4" t="s">
        <v>1117</v>
      </c>
      <c r="F90" s="3" t="str">
        <f ca="1">IFERROR(__xludf.DUMMYFUNCTION("GOOGLETRANSLATE(G90,""en"",""ta"")"),"வெண்பூசனி")</f>
        <v>வெண்பூசனி</v>
      </c>
      <c r="G90" s="4" t="s">
        <v>1118</v>
      </c>
      <c r="H90" s="3" t="str">
        <f ca="1">IFERROR(__xludf.DUMMYFUNCTION("GOOGLETRANSLATE(I90,""en"",""ta"")"),"சாம்பல் பூசணி")</f>
        <v>சாம்பல் பூசணி</v>
      </c>
      <c r="I90" s="4" t="s">
        <v>1119</v>
      </c>
      <c r="J90" s="3" t="str">
        <f ca="1">IFERROR(__xludf.DUMMYFUNCTION("GOOGLETRANSLATE(K90,""en"",""ta"")"),"பூடிகும்மடா")</f>
        <v>பூடிகும்மடா</v>
      </c>
      <c r="K90" s="4" t="s">
        <v>1120</v>
      </c>
      <c r="L90" s="3" t="str">
        <f ca="1">IFERROR(__xludf.DUMMYFUNCTION("GOOGLETRANSLATE(M90,""en"",""ta"")"),"கும்பலம்")</f>
        <v>கும்பலம்</v>
      </c>
      <c r="M90" s="4" t="s">
        <v>1121</v>
      </c>
      <c r="N90" s="3" t="str">
        <f ca="1">IFERROR(__xludf.DUMMYFUNCTION("GOOGLETRANSLATE(O90,""en"",""ta"")"),"கோல்கட்டு")</f>
        <v>கோல்கட்டு</v>
      </c>
      <c r="O90" s="4" t="s">
        <v>1122</v>
      </c>
      <c r="P90" s="3"/>
      <c r="Q90" s="3" t="str">
        <f ca="1">IFERROR(__xludf.DUMMYFUNCTION("GOOGLETRANSLATE(R90,""en"",""ta"")"),"ஆண்டுதோறும் வளரும் ஒரு பெரிய கொடி. தண்டு மரத்தாலானது மற்றும் உரோமங்களுடையது. இலைகள் இலைக்காம்பு வடிவானது, கடினமானது, வெள்ளை நிறமானது அடர்த்தியான முட்கள் நிறைந்த முடிகள் மற்றும் கூட்டுப் பொருட்களால் மூடப்பட்டிருக்கும். ஆண் மற்றும் பெண் பூக்கள் ஒரே தாவரத்தி"&amp;"ல் உருவாகின்றன. அவை இலைக்கோணங்களில், தனித்த சைம்களில் இருக்கும். பழங்கள் பெரிய பெர்ரி. விதைகள் தட்டையானவை மற்றும் வெள்ளை.")</f>
        <v>ஆண்டுதோறும் வளரும் ஒரு பெரிய கொடி. தண்டு மரத்தாலானது மற்றும் உரோமங்களுடையது. இலைகள் இலைக்காம்பு வடிவானது, கடினமானது, வெள்ளை நிறமானது அடர்த்தியான முட்கள் நிறைந்த முடிகள் மற்றும் கூட்டுப் பொருட்களால் மூடப்பட்டிருக்கும். ஆண் மற்றும் பெண் பூக்கள் ஒரே தாவரத்தில் உருவாகின்றன. அவை இலைக்கோணங்களில், தனித்த சைம்களில் இருக்கும். பழங்கள் பெரிய பெர்ரி. விதைகள் தட்டையானவை மற்றும் வெள்ளை.</v>
      </c>
      <c r="R90" s="4" t="s">
        <v>1123</v>
      </c>
      <c r="S90" s="3" t="str">
        <f ca="1">IFERROR(__xludf.DUMMYFUNCTION("GOOGLETRANSLATE(T90,""en"",""ta"")"),"#VALUE!")</f>
        <v>#VALUE!</v>
      </c>
      <c r="T90" s="3"/>
      <c r="U90" s="3" t="str">
        <f ca="1">IFERROR(__xludf.DUMMYFUNCTION("GOOGLETRANSLATE(V90,""en"",""ta"")"),"நாடாப்புழு மற்றும் வட்டப்புழு தொல்லை.")</f>
        <v>நாடாப்புழு மற்றும் வட்டப்புழு தொல்லை.</v>
      </c>
      <c r="V90" s="4" t="s">
        <v>1124</v>
      </c>
      <c r="W90" s="3" t="str">
        <f ca="1">IFERROR(__xludf.DUMMYFUNCTION("GOOGLETRANSLATE(X90,""en"",""ta"")"),"#VALUE!")</f>
        <v>#VALUE!</v>
      </c>
      <c r="X90" s="3"/>
      <c r="Y90" s="3" t="str">
        <f ca="1">IFERROR(__xludf.DUMMYFUNCTION("GOOGLETRANSLATE(Z90,""en"",""ta"")"),"#VALUE!")</f>
        <v>#VALUE!</v>
      </c>
      <c r="Z90" s="3"/>
      <c r="AA90" s="3" t="str">
        <f ca="1">IFERROR(__xludf.DUMMYFUNCTION("GOOGLETRANSLATE(AB90,""en"",""ta"")"),"#VALUE!")</f>
        <v>#VALUE!</v>
      </c>
      <c r="AB90" s="3"/>
      <c r="AC90" s="3" t="str">
        <f ca="1">IFERROR(__xludf.DUMMYFUNCTION("GOOGLETRANSLATE(AD90,""en"",""ta"")"),"#VALUE!")</f>
        <v>#VALUE!</v>
      </c>
      <c r="AD90" s="3"/>
      <c r="AE90" s="3" t="str">
        <f ca="1">IFERROR(__xludf.DUMMYFUNCTION("GOOGLETRANSLATE(AF90,""en"",""ta"")"),"#VALUE!")</f>
        <v>#VALUE!</v>
      </c>
      <c r="AF90" s="3"/>
      <c r="AG90" s="3" t="str">
        <f ca="1">IFERROR(__xludf.DUMMYFUNCTION("GOOGLETRANSLATE(AH90,""en"",""ta"")"),"#VALUE!")</f>
        <v>#VALUE!</v>
      </c>
      <c r="AH90" s="3"/>
      <c r="AI90" s="3" t="str">
        <f ca="1">IFERROR(__xludf.DUMMYFUNCTION("GOOGLETRANSLATE(AJ90,""en"",""ta"")"),"#VALUE!")</f>
        <v>#VALUE!</v>
      </c>
      <c r="AJ90" s="3"/>
      <c r="AK90" s="3" t="str">
        <f ca="1">IFERROR(__xludf.DUMMYFUNCTION("GOOGLETRANSLATE(AL90,""en"",""ta"")"),"#VALUE!")</f>
        <v>#VALUE!</v>
      </c>
      <c r="AL90" s="3"/>
      <c r="AM90" s="3" t="str">
        <f ca="1">IFERROR(__xludf.DUMMYFUNCTION("GOOGLETRANSLATE(AN90,""en"",""ta"")"),"இரத்தக்கசிவு, இரத்தக்கசிவு, பித்தப்பை நோய், பைத்தியக்காரத்தனம், கால்-கை வலிப்பு, மாற்று மருந்து, பாதரசம் மற்றும் மது விஷம் மற்றும் நீரிழிவு நோய், மூல நோய், டிஸ்ஸ்பெசியா, சிறுநீர் பாதை தொற்றுகள் மற்றும் 
லுகோரியா.")</f>
        <v>இரத்தக்கசிவு, இரத்தக்கசிவு, பித்தப்பை நோய், பைத்தியக்காரத்தனம், கால்-கை வலிப்பு, மாற்று மருந்து, பாதரசம் மற்றும் மது விஷம் மற்றும் நீரிழிவு நோய், மூல நோய், டிஸ்ஸ்பெசியா, சிறுநீர் பாதை தொற்றுகள் மற்றும் 
லுகோரியா.</v>
      </c>
      <c r="AN90" s="4" t="s">
        <v>1125</v>
      </c>
      <c r="AO90" s="3" t="str">
        <f ca="1">IFERROR(__xludf.DUMMYFUNCTION("GOOGLETRANSLATE(AP90,""en"",""ta"")"),"#VALUE!")</f>
        <v>#VALUE!</v>
      </c>
      <c r="AP90" s="3"/>
      <c r="AQ90" s="3"/>
      <c r="AR90" s="3" t="str">
        <f ca="1">IFERROR(__xludf.DUMMYFUNCTION("GOOGLETRANSLATE(AS90,""en"",""ta"")"),"ஊட்டச்சத்து, டானிக், டையூரிடிக், ஆல்டர்டேட்டிவ், ஸ்டைப்டிக், வெர்மிஃபியூஜ், ஆன்டிமெர்குரியல் மற்றும் ரெஸ்டோரேட்டிவ்.")</f>
        <v>ஊட்டச்சத்து, டானிக், டையூரிடிக், ஆல்டர்டேட்டிவ், ஸ்டைப்டிக், வெர்மிஃபியூஜ், ஆன்டிமெர்குரியல் மற்றும் ரெஸ்டோரேட்டிவ்.</v>
      </c>
      <c r="AS90" s="4" t="s">
        <v>1126</v>
      </c>
      <c r="AT90" s="3" t="str">
        <f ca="1">IFERROR(__xludf.DUMMYFUNCTION("GOOGLETRANSLATE(AU90,""en"",""ta"")"),"குக்குர்பிடசின் பி, குக்குர்பிடைன், காபா, குளுக்கோஸ், பி-சிட்டோஸ்டெரால், லூபியோல், என்-ட்ரைகோன்டனால், மன்னிடோல், புரதங்கள், மையோசின் மற்றும் விட்டெலின்")</f>
        <v>குக்குர்பிடசின் பி, குக்குர்பிடைன், காபா, குளுக்கோஸ், பி-சிட்டோஸ்டெரால், லூபியோல், என்-ட்ரைகோன்டனால், மன்னிடோல், புரதங்கள், மையோசின் மற்றும் விட்டெலின்</v>
      </c>
      <c r="AU90" s="4" t="s">
        <v>1127</v>
      </c>
      <c r="AV90" s="3"/>
      <c r="AW90" s="3" t="str">
        <f ca="1">IFERROR(__xludf.DUMMYFUNCTION("GOOGLETRANSLATE(AX90,""en"",""ta"")"),"i) உட்புற உறுப்புகளில் ஏற்படும் இரத்தக்கசிவுக்கு பழத்தின் புதிய சாறு கொடுக்கப்படுகிறது. ii) வலிமிகுந்த வீக்கங்களில் பழத்தோலின் சாம்பலைப் பயன்படுத்த வேண்டும்.")</f>
        <v>i) உட்புற உறுப்புகளில் ஏற்படும் இரத்தக்கசிவுக்கு பழத்தின் புதிய சாறு கொடுக்கப்படுகிறது. ii) வலிமிகுந்த வீக்கங்களில் பழத்தோலின் சாம்பலைப் பயன்படுத்த வேண்டும்.</v>
      </c>
      <c r="AX90" s="4" t="s">
        <v>2480</v>
      </c>
      <c r="AY90" s="3"/>
      <c r="AZ90" s="3"/>
      <c r="BA90" s="3"/>
      <c r="BB90" s="3"/>
      <c r="BC90" s="3"/>
      <c r="BD90" s="3"/>
      <c r="BE90" s="3"/>
      <c r="BF90" s="3"/>
    </row>
    <row r="91" spans="1:58" ht="84" x14ac:dyDescent="0.15">
      <c r="A91" s="3">
        <v>90</v>
      </c>
      <c r="B91" s="3" t="str">
        <f ca="1">IFERROR(__xludf.DUMMYFUNCTION("GOOGLETRANSLATE(C91,""en"",""ta"")"),"பெர்பெரிஸ் அரிஸ்டாட்டா")</f>
        <v>பெர்பெரிஸ் அரிஸ்டாட்டா</v>
      </c>
      <c r="C91" s="4" t="s">
        <v>1129</v>
      </c>
      <c r="D91" s="3" t="str">
        <f ca="1">IFERROR(__xludf.DUMMYFUNCTION("GOOGLETRANSLATE(E91,""en"",""ta"")"),"தரு ஹரித்ரா")</f>
        <v>தரு ஹரித்ரா</v>
      </c>
      <c r="E91" s="4" t="s">
        <v>1130</v>
      </c>
      <c r="F91" s="3" t="str">
        <f ca="1">IFERROR(__xludf.DUMMYFUNCTION("GOOGLETRANSLATE(G91,""en"",""ta"")"),"மாரா மஞ்சள்")</f>
        <v>மாரா மஞ்சள்</v>
      </c>
      <c r="G91" s="4" t="s">
        <v>1131</v>
      </c>
      <c r="H91" s="3" t="str">
        <f ca="1">IFERROR(__xludf.DUMMYFUNCTION("GOOGLETRANSLATE(I91,""en"",""ta"")"),"மர மஞ்சள்")</f>
        <v>மர மஞ்சள்</v>
      </c>
      <c r="I91" s="4" t="s">
        <v>1132</v>
      </c>
      <c r="J91" s="3" t="str">
        <f ca="1">IFERROR(__xludf.DUMMYFUNCTION("GOOGLETRANSLATE(K91,""en"",""ta"")"),"கஸ்தூரி பசுபு")</f>
        <v>கஸ்தூரி பசுபு</v>
      </c>
      <c r="K91" s="4" t="s">
        <v>1133</v>
      </c>
      <c r="L91" s="3" t="str">
        <f ca="1">IFERROR(__xludf.DUMMYFUNCTION("GOOGLETRANSLATE(M91,""en"",""ta"")"),"மரதர்சினா")</f>
        <v>மரதர்சினா</v>
      </c>
      <c r="M91" s="4" t="s">
        <v>1134</v>
      </c>
      <c r="N91" s="3" t="str">
        <f ca="1">IFERROR(__xludf.DUMMYFUNCTION("GOOGLETRANSLATE(O91,""en"",""ta"")"),"ரசௌத்")</f>
        <v>ரசௌத்</v>
      </c>
      <c r="O91" s="4" t="s">
        <v>1135</v>
      </c>
      <c r="P91" s="3"/>
      <c r="Q91" s="3" t="str">
        <f ca="1">IFERROR(__xludf.DUMMYFUNCTION("GOOGLETRANSLATE(R91,""en"",""ta"")"),"ஒரு நிமிர்ந்த உரோமங்களற்ற, முள்ளந்தண்டு புதர், முட்டை வடிவானது முதல் நீள்வட்ட வடிவ இலைகள், கூரியது முதல் மழுங்கியவை. மலர்கள் கோரிம்போஸ் ரேசீம்களில் மஞ்சள் நிறத்தில் இருக்கும். பெர்ரி நீள்வட்ட வடிவ பிரகாசமான சிவப்பு.")</f>
        <v>ஒரு நிமிர்ந்த உரோமங்களற்ற, முள்ளந்தண்டு புதர், முட்டை வடிவானது முதல் நீள்வட்ட வடிவ இலைகள், கூரியது முதல் மழுங்கியவை. மலர்கள் கோரிம்போஸ் ரேசீம்களில் மஞ்சள் நிறத்தில் இருக்கும். பெர்ரி நீள்வட்ட வடிவ பிரகாசமான சிவப்பு.</v>
      </c>
      <c r="R91" s="4" t="s">
        <v>1136</v>
      </c>
      <c r="S91" s="3" t="str">
        <f ca="1">IFERROR(__xludf.DUMMYFUNCTION("GOOGLETRANSLATE(T91,""en"",""ta"")"),"இடைவிடாத காய்ச்சல், நரம்பு வலி, காது கேளாமை, நாள்பட்ட கண் நோய் மற்றும் இரத்தப்போக்கு மூல நோய்.")</f>
        <v>இடைவிடாத காய்ச்சல், நரம்பு வலி, காது கேளாமை, நாள்பட்ட கண் நோய் மற்றும் இரத்தப்போக்கு மூல நோய்.</v>
      </c>
      <c r="T91" s="4" t="s">
        <v>1137</v>
      </c>
      <c r="U91" s="3" t="str">
        <f ca="1">IFERROR(__xludf.DUMMYFUNCTION("GOOGLETRANSLATE(V91,""en"",""ta"")"),"#VALUE!")</f>
        <v>#VALUE!</v>
      </c>
      <c r="V91" s="3"/>
      <c r="W91" s="3" t="str">
        <f ca="1">IFERROR(__xludf.DUMMYFUNCTION("GOOGLETRANSLATE(X91,""en"",""ta"")"),"#VALUE!")</f>
        <v>#VALUE!</v>
      </c>
      <c r="X91" s="3"/>
      <c r="Y91" s="3" t="str">
        <f ca="1">IFERROR(__xludf.DUMMYFUNCTION("GOOGLETRANSLATE(Z91,""en"",""ta"")"),"#VALUE!")</f>
        <v>#VALUE!</v>
      </c>
      <c r="Z91" s="3"/>
      <c r="AA91" s="3" t="str">
        <f ca="1">IFERROR(__xludf.DUMMYFUNCTION("GOOGLETRANSLATE(AB91,""en"",""ta"")"),"இடைவிடாத காய்ச்சல், நரம்பு வலி, காது கேளாமை, நாள்பட்ட கண் நோய் மற்றும் இரத்தப்போக்கு மூல நோய்.")</f>
        <v>இடைவிடாத காய்ச்சல், நரம்பு வலி, காது கேளாமை, நாள்பட்ட கண் நோய் மற்றும் இரத்தப்போக்கு மூல நோய்.</v>
      </c>
      <c r="AB91" s="4" t="s">
        <v>1137</v>
      </c>
      <c r="AC91" s="3" t="str">
        <f ca="1">IFERROR(__xludf.DUMMYFUNCTION("GOOGLETRANSLATE(AD91,""en"",""ta"")"),"#VALUE!")</f>
        <v>#VALUE!</v>
      </c>
      <c r="AD91" s="3"/>
      <c r="AE91" s="3" t="str">
        <f ca="1">IFERROR(__xludf.DUMMYFUNCTION("GOOGLETRANSLATE(AF91,""en"",""ta"")"),"#VALUE!")</f>
        <v>#VALUE!</v>
      </c>
      <c r="AF91" s="3"/>
      <c r="AG91" s="3" t="str">
        <f ca="1">IFERROR(__xludf.DUMMYFUNCTION("GOOGLETRANSLATE(AH91,""en"",""ta"")"),"#VALUE!")</f>
        <v>#VALUE!</v>
      </c>
      <c r="AH91" s="3"/>
      <c r="AI91" s="3" t="str">
        <f ca="1">IFERROR(__xludf.DUMMYFUNCTION("GOOGLETRANSLATE(AJ91,""en"",""ta"")"),"வாத நோய்")</f>
        <v>வாத நோய்</v>
      </c>
      <c r="AJ91" s="4" t="s">
        <v>1138</v>
      </c>
      <c r="AK91" s="3" t="str">
        <f ca="1">IFERROR(__xludf.DUMMYFUNCTION("GOOGLETRANSLATE(AL91,""en"",""ta"")"),"#VALUE!")</f>
        <v>#VALUE!</v>
      </c>
      <c r="AL91" s="3"/>
      <c r="AM91" s="3" t="str">
        <f ca="1">IFERROR(__xludf.DUMMYFUNCTION("GOOGLETRANSLATE(AN91,""en"",""ta"")"),"மஞ்சள் காமாலை, வலியுடன் கூடிய சிறுநீர் கழித்தல், மூல நோய், புண்கள்")</f>
        <v>மஞ்சள் காமாலை, வலியுடன் கூடிய சிறுநீர் கழித்தல், மூல நோய், புண்கள்</v>
      </c>
      <c r="AN91" s="4" t="s">
        <v>1139</v>
      </c>
      <c r="AO91" s="3" t="str">
        <f ca="1">IFERROR(__xludf.DUMMYFUNCTION("GOOGLETRANSLATE(AP91,""en"",""ta"")"),"#VALUE!")</f>
        <v>#VALUE!</v>
      </c>
      <c r="AP91" s="3"/>
      <c r="AQ91" s="3"/>
      <c r="AR91" s="3" t="str">
        <f ca="1">IFERROR(__xludf.DUMMYFUNCTION("GOOGLETRANSLATE(AS91,""en"",""ta"")"),"டானிக், வயிற்று வலி நிவாரணி, துவர்ப்பு மருந்து, ஆண்டிபீரியோடிக், ஆன்டிபிரைடிக், ஆல்டர்டேட்டிவ், எம்மெனாகோக் மற்றும் ப்யூரிகேட்டிவ்.")</f>
        <v>டானிக், வயிற்று வலி நிவாரணி, துவர்ப்பு மருந்து, ஆண்டிபீரியோடிக், ஆன்டிபிரைடிக், ஆல்டர்டேட்டிவ், எம்மெனாகோக் மற்றும் ப்யூரிகேட்டிவ்.</v>
      </c>
      <c r="AS91" s="4" t="s">
        <v>1140</v>
      </c>
      <c r="AT91" s="3" t="str">
        <f ca="1">IFERROR(__xludf.DUMMYFUNCTION("GOOGLETRANSLATE(AU91,""en"",""ta"")"),"பெர்பெரின், பெர்பெரின் குளோரைடு, பால்மைடின் குளோரைடு, ஸ்டீரியிக் அமிலம், ஒலிக் அமிலம், லினோலிக் அமிலம்.")</f>
        <v>பெர்பெரின், பெர்பெரின் குளோரைடு, பால்மைடின் குளோரைடு, ஸ்டீரியிக் அமிலம், ஒலிக் அமிலம், லினோலிக் அமிலம்.</v>
      </c>
      <c r="AU91" s="4" t="s">
        <v>1141</v>
      </c>
      <c r="AV91" s="3"/>
      <c r="AW91" s="3" t="str">
        <f ca="1">IFERROR(__xludf.DUMMYFUNCTION("GOOGLETRANSLATE(AX91,""en"",""ta"")"),"i) மஞ்சள் காமாலைக்கு தேனுடன் சேர்த்து கஷாயம் கொடுக்கப்படுகிறது. ii) பருக்கள் மற்றும் கொதிப்புகளுக்கு கற்பூரம் மற்றும் வெண்ணெய் சேர்த்து தயாரிக்கப்பட்ட களிம்பு தடவப்படுகிறது.")</f>
        <v>i) மஞ்சள் காமாலைக்கு தேனுடன் சேர்த்து கஷாயம் கொடுக்கப்படுகிறது. ii) பருக்கள் மற்றும் கொதிப்புகளுக்கு கற்பூரம் மற்றும் வெண்ணெய் சேர்த்து தயாரிக்கப்பட்ட களிம்பு தடவப்படுகிறது.</v>
      </c>
      <c r="AX91" s="3" t="s">
        <v>2481</v>
      </c>
      <c r="AY91" s="3"/>
      <c r="AZ91" s="3"/>
      <c r="BA91" s="3"/>
      <c r="BB91" s="3"/>
      <c r="BC91" s="3"/>
      <c r="BD91" s="3"/>
      <c r="BE91" s="3"/>
      <c r="BF91" s="3"/>
    </row>
    <row r="92" spans="1:58" ht="42" x14ac:dyDescent="0.15">
      <c r="A92" s="3">
        <v>91</v>
      </c>
      <c r="B92" s="3" t="str">
        <f ca="1">IFERROR(__xludf.DUMMYFUNCTION("GOOGLETRANSLATE(C92,""en"",""ta"")"),"பெர்ஜீனியா சிலியாட்டா")</f>
        <v>பெர்ஜீனியா சிலியாட்டா</v>
      </c>
      <c r="C92" s="4" t="s">
        <v>1143</v>
      </c>
      <c r="D92" s="3" t="str">
        <f ca="1">IFERROR(__xludf.DUMMYFUNCTION("GOOGLETRANSLATE(E92,""en"",""ta"")"),"பாஷாணபேதா")</f>
        <v>பாஷாணபேதா</v>
      </c>
      <c r="E92" s="4" t="s">
        <v>1144</v>
      </c>
      <c r="F92" s="3" t="str">
        <f ca="1">IFERROR(__xludf.DUMMYFUNCTION("GOOGLETRANSLATE(G92,""en"",""ta"")"),"வட்டத்திருப்பி")</f>
        <v>வட்டத்திருப்பி</v>
      </c>
      <c r="G92" s="4" t="s">
        <v>1145</v>
      </c>
      <c r="H92" s="3" t="str">
        <f ca="1">IFERROR(__xludf.DUMMYFUNCTION("GOOGLETRANSLATE(I92,""en"",""ta"")"),"வெல்வெட் இலை")</f>
        <v>வெல்வெட் இலை</v>
      </c>
      <c r="I92" s="4" t="s">
        <v>1146</v>
      </c>
      <c r="J92" s="3" t="str">
        <f ca="1">IFERROR(__xludf.DUMMYFUNCTION("GOOGLETRANSLATE(K92,""en"",""ta"")"),"தெல்லா முருப்பிண்டி")</f>
        <v>தெல்லா முருப்பிண்டி</v>
      </c>
      <c r="K92" s="4" t="s">
        <v>1147</v>
      </c>
      <c r="L92" s="3" t="str">
        <f ca="1">IFERROR(__xludf.DUMMYFUNCTION("GOOGLETRANSLATE(M92,""en"",""ta"")"),"வட்டத்திருப்பை")</f>
        <v>வட்டத்திருப்பை</v>
      </c>
      <c r="M92" s="4" t="s">
        <v>1148</v>
      </c>
      <c r="N92" s="3" t="str">
        <f ca="1">IFERROR(__xludf.DUMMYFUNCTION("GOOGLETRANSLATE(O92,""en"",""ta"")"),"பாஷாணபேதா")</f>
        <v>பாஷாணபேதா</v>
      </c>
      <c r="O92" s="4" t="s">
        <v>1144</v>
      </c>
      <c r="P92" s="3"/>
      <c r="Q92" s="3" t="str">
        <f ca="1">IFERROR(__xludf.DUMMYFUNCTION("GOOGLETRANSLATE(R92,""en"",""ta"")"),"தடிமனான வேர் தண்டு கொண்ட ஒரு வற்றாத மூலிகை. இலைகள் மாறுபடும், சதைப்பற்றுள்ளவை, கரடுமுரடான ரோமங்கள் முதல் உரோமங்கள் வரை, அகன்ற முட்டை வடிவ அல்லது நீள்வட்ட வடிவானவை. மலர்கள் வெள்ளை, இளஞ்சிவப்பு அல்லது ஊதா நிறத்தில் நீண்ட சைமோஸ் பேனிக்கிள்களில் இருக்கும். பழ"&amp;"ங்கள் காப்ஸ்யூல், வட்டமானது.")</f>
        <v>தடிமனான வேர் தண்டு கொண்ட ஒரு வற்றாத மூலிகை. இலைகள் மாறுபடும், சதைப்பற்றுள்ளவை, கரடுமுரடான ரோமங்கள் முதல் உரோமங்கள் வரை, அகன்ற முட்டை வடிவ அல்லது நீள்வட்ட வடிவானவை. மலர்கள் வெள்ளை, இளஞ்சிவப்பு அல்லது ஊதா நிறத்தில் நீண்ட சைமோஸ் பேனிக்கிள்களில் இருக்கும். பழங்கள் காப்ஸ்யூல், வட்டமானது.</v>
      </c>
      <c r="R92" s="4" t="s">
        <v>1149</v>
      </c>
      <c r="S92" s="3" t="str">
        <f ca="1">IFERROR(__xludf.DUMMYFUNCTION("GOOGLETRANSLATE(T92,""en"",""ta"")"),"#VALUE!")</f>
        <v>#VALUE!</v>
      </c>
      <c r="T92" s="3"/>
      <c r="U92" s="3" t="str">
        <f ca="1">IFERROR(__xludf.DUMMYFUNCTION("GOOGLETRANSLATE(V92,""en"",""ta"")"),"#VALUE!")</f>
        <v>#VALUE!</v>
      </c>
      <c r="V92" s="3"/>
      <c r="W92" s="3" t="str">
        <f ca="1">IFERROR(__xludf.DUMMYFUNCTION("GOOGLETRANSLATE(X92,""en"",""ta"")"),"காது வலி")</f>
        <v>காது வலி</v>
      </c>
      <c r="X92" s="4" t="s">
        <v>1150</v>
      </c>
      <c r="Y92" s="3" t="str">
        <f ca="1">IFERROR(__xludf.DUMMYFUNCTION("GOOGLETRANSLATE(Z92,""en"",""ta"")"),"#VALUE!")</f>
        <v>#VALUE!</v>
      </c>
      <c r="Z92" s="3"/>
      <c r="AA92" s="3" t="str">
        <f ca="1">IFERROR(__xludf.DUMMYFUNCTION("GOOGLETRANSLATE(AB92,""en"",""ta"")"),"#VALUE!")</f>
        <v>#VALUE!</v>
      </c>
      <c r="AB92" s="3"/>
      <c r="AC92" s="3" t="str">
        <f ca="1">IFERROR(__xludf.DUMMYFUNCTION("GOOGLETRANSLATE(AD92,""en"",""ta"")"),"#VALUE!")</f>
        <v>#VALUE!</v>
      </c>
      <c r="AD92" s="3"/>
      <c r="AE92" s="3" t="str">
        <f ca="1">IFERROR(__xludf.DUMMYFUNCTION("GOOGLETRANSLATE(AF92,""en"",""ta"")"),"#VALUE!")</f>
        <v>#VALUE!</v>
      </c>
      <c r="AF92" s="3"/>
      <c r="AG92" s="3" t="str">
        <f ca="1">IFERROR(__xludf.DUMMYFUNCTION("GOOGLETRANSLATE(AH92,""en"",""ta"")"),"#VALUE!")</f>
        <v>#VALUE!</v>
      </c>
      <c r="AH92" s="3"/>
      <c r="AI92" s="3" t="str">
        <f ca="1">IFERROR(__xludf.DUMMYFUNCTION("GOOGLETRANSLATE(AJ92,""en"",""ta"")"),"#VALUE!")</f>
        <v>#VALUE!</v>
      </c>
      <c r="AJ92" s="3"/>
      <c r="AK92" s="3" t="str">
        <f ca="1">IFERROR(__xludf.DUMMYFUNCTION("GOOGLETRANSLATE(AL92,""en"",""ta"")"),"#VALUE!")</f>
        <v>#VALUE!</v>
      </c>
      <c r="AL92" s="3"/>
      <c r="AM92" s="3" t="str">
        <f ca="1">IFERROR(__xludf.DUMMYFUNCTION("GOOGLETRANSLATE(AN92,""en"",""ta"")"),"#VALUE!")</f>
        <v>#VALUE!</v>
      </c>
      <c r="AN92" s="3"/>
      <c r="AO92" s="3" t="str">
        <f ca="1">IFERROR(__xludf.DUMMYFUNCTION("GOOGLETRANSLATE(AP92,""en"",""ta"")"),"#VALUE!")</f>
        <v>#VALUE!</v>
      </c>
      <c r="AP92" s="3"/>
      <c r="AQ92" s="3"/>
      <c r="AR92" s="3" t="str">
        <f ca="1">IFERROR(__xludf.DUMMYFUNCTION("GOOGLETRANSLATE(AS92,""en"",""ta"")"),"கசப்பு, மலமிளக்கி, வலி ​​நிவாரணி, கருக்கலைப்பு மருந்து, சிறுநீர் பெருக்கி, பாலுணர்வூக்கி மற்றும் ஸ்கார்பியூட்டிக் எதிர்ப்பு மருந்து")</f>
        <v>கசப்பு, மலமிளக்கி, வலி ​​நிவாரணி, கருக்கலைப்பு மருந்து, சிறுநீர் பெருக்கி, பாலுணர்வூக்கி மற்றும் ஸ்கார்பியூட்டிக் எதிர்ப்பு மருந்து</v>
      </c>
      <c r="AS92" s="4" t="s">
        <v>1151</v>
      </c>
      <c r="AT92" s="3" t="str">
        <f ca="1">IFERROR(__xludf.DUMMYFUNCTION("GOOGLETRANSLATE(AU92,""en"",""ta"")"),"பெர்கெனின், கேட்டசின்-3-கேலேட், சாக்சின், அப்செலெச்சின், ஃபிளாவனாய்டுகள், காலிக் அமிலம், டானின் &amp; பி-சிட்டோஸ்டெரால்.")</f>
        <v>பெர்கெனின், கேட்டசின்-3-கேலேட், சாக்சின், அப்செலெச்சின், ஃபிளாவனாய்டுகள், காலிக் அமிலம், டானின் &amp; பி-சிட்டோஸ்டெரால்.</v>
      </c>
      <c r="AU92" s="4" t="s">
        <v>1152</v>
      </c>
      <c r="AV92" s="3"/>
      <c r="AW92" s="3" t="str">
        <f ca="1">IFERROR(__xludf.DUMMYFUNCTION("GOOGLETRANSLATE(AX92,""en"",""ta"")"),"i) ii) காது வலிக்கு இலைகளின் சாறு எள் எண்ணெயுடன் கலந்து கொடுக்கப்படுகிறது. வயிற்றுப்போக்கிற்கு வேர்த்தண்டுக்கிழங்கின் சாறு உட்புறமாக கொடுக்கப்படுகிறது.")</f>
        <v>i) ii) காது வலிக்கு இலைகளின் சாறு எள் எண்ணெயுடன் கலந்து கொடுக்கப்படுகிறது. வயிற்றுப்போக்கிற்கு வேர்த்தண்டுக்கிழங்கின் சாறு உட்புறமாக கொடுக்கப்படுகிறது.</v>
      </c>
      <c r="AX92" s="4" t="s">
        <v>2482</v>
      </c>
      <c r="AY92" s="3"/>
      <c r="AZ92" s="3"/>
      <c r="BA92" s="3"/>
      <c r="BB92" s="3"/>
      <c r="BC92" s="3"/>
      <c r="BD92" s="3"/>
      <c r="BE92" s="3"/>
      <c r="BF92" s="3"/>
    </row>
    <row r="93" spans="1:58" ht="28" x14ac:dyDescent="0.15">
      <c r="A93" s="3">
        <v>92</v>
      </c>
      <c r="B93" s="3" t="str">
        <f ca="1">IFERROR(__xludf.DUMMYFUNCTION("GOOGLETRANSLATE(C93,""en"",""ta"")"),"பெர்கெரா கோனிகி")</f>
        <v>பெர்கெரா கோனிகி</v>
      </c>
      <c r="C93" s="4" t="s">
        <v>1154</v>
      </c>
      <c r="D93" s="3" t="str">
        <f ca="1">IFERROR(__xludf.DUMMYFUNCTION("GOOGLETRANSLATE(E93,""en"",""ta"")"),"சுரபி நிம்பா")</f>
        <v>சுரபி நிம்பா</v>
      </c>
      <c r="E93" s="4" t="s">
        <v>1155</v>
      </c>
      <c r="F93" s="3" t="str">
        <f ca="1">IFERROR(__xludf.DUMMYFUNCTION("GOOGLETRANSLATE(G93,""en"",""ta"")"),"கரிவேப்பிலை")</f>
        <v>கரிவேப்பிலை</v>
      </c>
      <c r="G93" s="4" t="s">
        <v>1156</v>
      </c>
      <c r="H93" s="3" t="str">
        <f ca="1">IFERROR(__xludf.DUMMYFUNCTION("GOOGLETRANSLATE(I93,""en"",""ta"")"),"கறிவேப்பிலை மரம்")</f>
        <v>கறிவேப்பிலை மரம்</v>
      </c>
      <c r="I93" s="4" t="s">
        <v>1157</v>
      </c>
      <c r="J93" s="3" t="str">
        <f ca="1">IFERROR(__xludf.DUMMYFUNCTION("GOOGLETRANSLATE(K93,""en"",""ta"")"),"கரிவேபமு")</f>
        <v>கரிவேபமு</v>
      </c>
      <c r="K93" s="4" t="s">
        <v>1158</v>
      </c>
      <c r="L93" s="3" t="str">
        <f ca="1">IFERROR(__xludf.DUMMYFUNCTION("GOOGLETRANSLATE(M93,""en"",""ta"")"),"கரி வேப்பு")</f>
        <v>கரி வேப்பு</v>
      </c>
      <c r="M93" s="4" t="s">
        <v>1159</v>
      </c>
      <c r="N93" s="3" t="str">
        <f ca="1">IFERROR(__xludf.DUMMYFUNCTION("GOOGLETRANSLATE(O93,""en"",""ta"")"),"கரே பாக்")</f>
        <v>கரே பாக்</v>
      </c>
      <c r="O93" s="4" t="s">
        <v>1160</v>
      </c>
      <c r="P93" s="3"/>
      <c r="Q93" s="3" t="str">
        <f ca="1">IFERROR(__xludf.DUMMYFUNCTION("GOOGLETRANSLATE(R93,""en"",""ta"")"),"ஒரு சிறிய இலையுதிர் மரம் அல்லது சில நேரங்களில் ஏறும் புதர். இலைகள் ஒரே மாதிரியான, சிற்றிலை வடிவான, மாறி மாறி இலைக்காம்பு வடிவான, அடிப்பகுதியில் சாய்வான. மஞ்சரி தனித்த, இலைக்கோணங்களில் அல்லது முனை கோரிம்போஸ் சைம்களில் மணம் மற்றும் வெள்ளை நிறத்தில் இருக்கும"&amp;"். பழங்கள் பெர்ரி, சப்கோள வடிவமானது, பழுத்தவுடன் ஊதா நிற கருப்பு நிறத்தில் இருக்கும்.")</f>
        <v>ஒரு சிறிய இலையுதிர் மரம் அல்லது சில நேரங்களில் ஏறும் புதர். இலைகள் ஒரே மாதிரியான, சிற்றிலை வடிவான, மாறி மாறி இலைக்காம்பு வடிவான, அடிப்பகுதியில் சாய்வான. மஞ்சரி தனித்த, இலைக்கோணங்களில் அல்லது முனை கோரிம்போஸ் சைம்களில் மணம் மற்றும் வெள்ளை நிறத்தில் இருக்கும். பழங்கள் பெர்ரி, சப்கோள வடிவமானது, பழுத்தவுடன் ஊதா நிற கருப்பு நிறத்தில் இருக்கும்.</v>
      </c>
      <c r="R93" s="4" t="s">
        <v>1161</v>
      </c>
      <c r="S93" s="3" t="str">
        <f ca="1">IFERROR(__xludf.DUMMYFUNCTION("GOOGLETRANSLATE(T93,""en"",""ta"")"),"வாந்தி.")</f>
        <v>வாந்தி.</v>
      </c>
      <c r="T93" s="4" t="s">
        <v>1162</v>
      </c>
      <c r="U93" s="3" t="str">
        <f ca="1">IFERROR(__xludf.DUMMYFUNCTION("GOOGLETRANSLATE(V93,""en"",""ta"")"),"#VALUE!")</f>
        <v>#VALUE!</v>
      </c>
      <c r="V93" s="3"/>
      <c r="W93" s="3" t="str">
        <f ca="1">IFERROR(__xludf.DUMMYFUNCTION("GOOGLETRANSLATE(X93,""en"",""ta"")"),"வயிற்றுப்போக்கு, விஷக்கடி, இரத்த சோகை, நீரிழிவு நோய், பசியின்மை மற்றும் காய்ச்சல்.")</f>
        <v>வயிற்றுப்போக்கு, விஷக்கடி, இரத்த சோகை, நீரிழிவு நோய், பசியின்மை மற்றும் காய்ச்சல்.</v>
      </c>
      <c r="X93" s="4" t="s">
        <v>1163</v>
      </c>
      <c r="Y93" s="3" t="str">
        <f ca="1">IFERROR(__xludf.DUMMYFUNCTION("GOOGLETRANSLATE(Z93,""en"",""ta"")"),"#VALUE!")</f>
        <v>#VALUE!</v>
      </c>
      <c r="Z93" s="3"/>
      <c r="AA93" s="3" t="str">
        <f ca="1">IFERROR(__xludf.DUMMYFUNCTION("GOOGLETRANSLATE(AB93,""en"",""ta"")"),"#VALUE!")</f>
        <v>#VALUE!</v>
      </c>
      <c r="AB93" s="3"/>
      <c r="AC93" s="3" t="str">
        <f ca="1">IFERROR(__xludf.DUMMYFUNCTION("GOOGLETRANSLATE(AD93,""en"",""ta"")"),"#VALUE!")</f>
        <v>#VALUE!</v>
      </c>
      <c r="AD93" s="3"/>
      <c r="AE93" s="3" t="str">
        <f ca="1">IFERROR(__xludf.DUMMYFUNCTION("GOOGLETRANSLATE(AF93,""en"",""ta"")"),"#VALUE!")</f>
        <v>#VALUE!</v>
      </c>
      <c r="AF93" s="3"/>
      <c r="AG93" s="3" t="str">
        <f ca="1">IFERROR(__xludf.DUMMYFUNCTION("GOOGLETRANSLATE(AH93,""en"",""ta"")"),"#VALUE!")</f>
        <v>#VALUE!</v>
      </c>
      <c r="AH93" s="3"/>
      <c r="AI93" s="3" t="str">
        <f ca="1">IFERROR(__xludf.DUMMYFUNCTION("GOOGLETRANSLATE(AJ93,""en"",""ta"")"),"#VALUE!")</f>
        <v>#VALUE!</v>
      </c>
      <c r="AJ93" s="3"/>
      <c r="AK93" s="3" t="str">
        <f ca="1">IFERROR(__xludf.DUMMYFUNCTION("GOOGLETRANSLATE(AL93,""en"",""ta"")"),"#VALUE!")</f>
        <v>#VALUE!</v>
      </c>
      <c r="AL93" s="3"/>
      <c r="AM93" s="3" t="str">
        <f ca="1">IFERROR(__xludf.DUMMYFUNCTION("GOOGLETRANSLATE(AN93,""en"",""ta"")"),"#VALUE!")</f>
        <v>#VALUE!</v>
      </c>
      <c r="AN93" s="3"/>
      <c r="AO93" s="3" t="str">
        <f ca="1">IFERROR(__xludf.DUMMYFUNCTION("GOOGLETRANSLATE(AP93,""en"",""ta"")"),"#VALUE!")</f>
        <v>#VALUE!</v>
      </c>
      <c r="AP93" s="3"/>
      <c r="AQ93" s="3"/>
      <c r="AR93" s="3" t="str">
        <f ca="1">IFERROR(__xludf.DUMMYFUNCTION("GOOGLETRANSLATE(AS93,""en"",""ta"")"),"டானிக், வயிற்று வலி நிவாரணி, நீரிழிவு எதிர்ப்பு, புழுக்கொல்லி")</f>
        <v>டானிக், வயிற்று வலி நிவாரணி, நீரிழிவு எதிர்ப்பு, புழுக்கொல்லி</v>
      </c>
      <c r="AS93" s="4" t="s">
        <v>1164</v>
      </c>
      <c r="AT93" s="3" t="str">
        <f ca="1">IFERROR(__xludf.DUMMYFUNCTION("GOOGLETRANSLATE(AU93,""en"",""ta"")"),"முர்ரேசோலிடின், மஹானிம்பைன், கோனிஜின், ஐசோமாஹானிம்பைன் மற்றும் முர்ரியாசின்.")</f>
        <v>முர்ரேசோலிடின், மஹானிம்பைன், கோனிஜின், ஐசோமாஹானிம்பைன் மற்றும் முர்ரியாசின்.</v>
      </c>
      <c r="AU93" s="4" t="s">
        <v>1165</v>
      </c>
      <c r="AV93" s="3"/>
      <c r="AW93" s="3" t="str">
        <f ca="1">IFERROR(__xludf.DUMMYFUNCTION("GOOGLETRANSLATE(AX93,""en"",""ta"")"),"i) இலைகள் முடி வளர்ச்சியை ஊக்குவிக்கின்றன மற்றும் இது இரும்புச்சத்து நிறைந்த மூலமாகும். ii) சிறுநீரகத்துடன் தொடர்புடைய வலியைப் போக்க வேர் சாறு உட்புறமாக எடுத்துக் கொள்ளப்படுகிறது.")</f>
        <v>i) இலைகள் முடி வளர்ச்சியை ஊக்குவிக்கின்றன மற்றும் இது இரும்புச்சத்து நிறைந்த மூலமாகும். ii) சிறுநீரகத்துடன் தொடர்புடைய வலியைப் போக்க வேர் சாறு உட்புறமாக எடுத்துக் கொள்ளப்படுகிறது.</v>
      </c>
      <c r="AX93" s="4" t="s">
        <v>2483</v>
      </c>
      <c r="AY93" s="3"/>
      <c r="AZ93" s="3"/>
      <c r="BA93" s="3"/>
      <c r="BB93" s="3"/>
      <c r="BC93" s="3"/>
      <c r="BD93" s="3"/>
      <c r="BE93" s="3"/>
      <c r="BF93" s="3"/>
    </row>
    <row r="94" spans="1:58" ht="42" x14ac:dyDescent="0.15">
      <c r="A94" s="3">
        <v>93</v>
      </c>
      <c r="B94" s="3" t="str">
        <f ca="1">IFERROR(__xludf.DUMMYFUNCTION("GOOGLETRANSLATE(C94,""en"",""ta"")"),"பயோஃபைட்டம் உணர்திறன்")</f>
        <v>பயோஃபைட்டம் உணர்திறன்</v>
      </c>
      <c r="C94" s="4" t="s">
        <v>1167</v>
      </c>
      <c r="D94" s="3" t="str">
        <f ca="1">IFERROR(__xludf.DUMMYFUNCTION("GOOGLETRANSLATE(E94,""en"",""ta"")"),"விபரீத லஜ்ஜலு")</f>
        <v>விபரீத லஜ்ஜலு</v>
      </c>
      <c r="E94" s="4" t="s">
        <v>1168</v>
      </c>
      <c r="F94" s="3" t="str">
        <f ca="1">IFERROR(__xludf.DUMMYFUNCTION("GOOGLETRANSLATE(G94,""en"",""ta"")"),"நின்னார் சுரிங்கி")</f>
        <v>நின்னார் சுரிங்கி</v>
      </c>
      <c r="G94" s="4" t="s">
        <v>1169</v>
      </c>
      <c r="H94" s="3" t="str">
        <f ca="1">IFERROR(__xludf.DUMMYFUNCTION("GOOGLETRANSLATE(I94,""en"",""ta"")"),"உணர்திறன் கொண்ட தாவரம்")</f>
        <v>உணர்திறன் கொண்ட தாவரம்</v>
      </c>
      <c r="I94" s="4" t="s">
        <v>1170</v>
      </c>
      <c r="J94" s="3" t="str">
        <f ca="1">IFERROR(__xludf.DUMMYFUNCTION("GOOGLETRANSLATE(K94,""en"",""ta"")"),"ஜலபுஷ்பம்")</f>
        <v>ஜலபுஷ்பம்</v>
      </c>
      <c r="K94" s="4" t="s">
        <v>1171</v>
      </c>
      <c r="L94" s="3" t="str">
        <f ca="1">IFERROR(__xludf.DUMMYFUNCTION("GOOGLETRANSLATE(M94,""en"",""ta"")"),"முக்குட்டி")</f>
        <v>முக்குட்டி</v>
      </c>
      <c r="M94" s="4" t="s">
        <v>1172</v>
      </c>
      <c r="N94" s="3" t="str">
        <f ca="1">IFERROR(__xludf.DUMMYFUNCTION("GOOGLETRANSLATE(O94,""en"",""ta"")"),"லாஜலு")</f>
        <v>லாஜலு</v>
      </c>
      <c r="O94" s="4" t="s">
        <v>1173</v>
      </c>
      <c r="P94" s="3"/>
      <c r="Q94" s="3" t="str">
        <f ca="1">IFERROR(__xludf.DUMMYFUNCTION("GOOGLETRANSLATE(R94,""en"",""ta"")"),"பெரும்பாலும் மரத்தாலான தண்டுகளைக் கொண்ட வருடாந்திர மூலிகை. தொடுவதற்கு உணர்திறன் கொண்ட இலைகள், தண்டு மற்றும் கிளைகளின் முனைகளில் கூட்டமாக, திடீரென பின்னே அமைந்திருக்கும். இலைகள் கிட்டத்தட்ட உரோமங்களற்றவை, எதிரெதிர் மற்றும் சாய்வானவை. மலர்கள் சிறிய அம்பல்கள"&amp;"ில் இருவடிவ மலர்கள். மஞ்சரி தண்டுகள் நீளமாகவும் முனையமாகவும் இருக்கும். பழங்கள் காப்ஸ்யூல், 5 வால்வுகளில் உள்ளுறையாக உரிந்துவிடும். விதைகள் முட்டை வடிவானது.")</f>
        <v>பெரும்பாலும் மரத்தாலான தண்டுகளைக் கொண்ட வருடாந்திர மூலிகை. தொடுவதற்கு உணர்திறன் கொண்ட இலைகள், தண்டு மற்றும் கிளைகளின் முனைகளில் கூட்டமாக, திடீரென பின்னே அமைந்திருக்கும். இலைகள் கிட்டத்தட்ட உரோமங்களற்றவை, எதிரெதிர் மற்றும் சாய்வானவை. மலர்கள் சிறிய அம்பல்களில் இருவடிவ மலர்கள். மஞ்சரி தண்டுகள் நீளமாகவும் முனையமாகவும் இருக்கும். பழங்கள் காப்ஸ்யூல், 5 வால்வுகளில் உள்ளுறையாக உரிந்துவிடும். விதைகள் முட்டை வடிவானது.</v>
      </c>
      <c r="R94" s="4" t="s">
        <v>1174</v>
      </c>
      <c r="S94" s="3" t="str">
        <f ca="1">IFERROR(__xludf.DUMMYFUNCTION("GOOGLETRANSLATE(T94,""en"",""ta"")"),"#VALUE!")</f>
        <v>#VALUE!</v>
      </c>
      <c r="T94" s="3"/>
      <c r="U94" s="3" t="str">
        <f ca="1">IFERROR(__xludf.DUMMYFUNCTION("GOOGLETRANSLATE(V94,""en"",""ta"")"),"#VALUE!")</f>
        <v>#VALUE!</v>
      </c>
      <c r="V94" s="3"/>
      <c r="W94" s="3" t="str">
        <f ca="1">IFERROR(__xludf.DUMMYFUNCTION("GOOGLETRANSLATE(X94,""en"",""ta"")"),"#VALUE!")</f>
        <v>#VALUE!</v>
      </c>
      <c r="X94" s="3"/>
      <c r="Y94" s="3" t="str">
        <f ca="1">IFERROR(__xludf.DUMMYFUNCTION("GOOGLETRANSLATE(Z94,""en"",""ta"")"),"#VALUE!")</f>
        <v>#VALUE!</v>
      </c>
      <c r="Z94" s="3"/>
      <c r="AA94" s="3" t="str">
        <f ca="1">IFERROR(__xludf.DUMMYFUNCTION("GOOGLETRANSLATE(AB94,""en"",""ta"")"),"#VALUE!")</f>
        <v>#VALUE!</v>
      </c>
      <c r="AB94" s="3"/>
      <c r="AC94" s="3" t="str">
        <f ca="1">IFERROR(__xludf.DUMMYFUNCTION("GOOGLETRANSLATE(AD94,""en"",""ta"")"),"#VALUE!")</f>
        <v>#VALUE!</v>
      </c>
      <c r="AD94" s="3"/>
      <c r="AE94" s="3" t="str">
        <f ca="1">IFERROR(__xludf.DUMMYFUNCTION("GOOGLETRANSLATE(AF94,""en"",""ta"")"),"#VALUE!")</f>
        <v>#VALUE!</v>
      </c>
      <c r="AF94" s="3"/>
      <c r="AG94" s="3" t="str">
        <f ca="1">IFERROR(__xludf.DUMMYFUNCTION("GOOGLETRANSLATE(AH94,""en"",""ta"")"),"#VALUE!")</f>
        <v>#VALUE!</v>
      </c>
      <c r="AH94" s="3"/>
      <c r="AI94" s="3" t="str">
        <f ca="1">IFERROR(__xludf.DUMMYFUNCTION("GOOGLETRANSLATE(AJ94,""en"",""ta"")"),"#VALUE!")</f>
        <v>#VALUE!</v>
      </c>
      <c r="AJ94" s="3"/>
      <c r="AK94" s="3" t="str">
        <f ca="1">IFERROR(__xludf.DUMMYFUNCTION("GOOGLETRANSLATE(AL94,""en"",""ta"")"),"#VALUE!")</f>
        <v>#VALUE!</v>
      </c>
      <c r="AL94" s="3"/>
      <c r="AM94" s="3" t="str">
        <f ca="1">IFERROR(__xludf.DUMMYFUNCTION("GOOGLETRANSLATE(AN94,""en"",""ta"")"),"#VALUE!")</f>
        <v>#VALUE!</v>
      </c>
      <c r="AN94" s="3"/>
      <c r="AO94" s="3" t="str">
        <f ca="1">IFERROR(__xludf.DUMMYFUNCTION("GOOGLETRANSLATE(AP94,""en"",""ta"")"),"#VALUE!")</f>
        <v>#VALUE!</v>
      </c>
      <c r="AP94" s="3"/>
      <c r="AQ94" s="3"/>
      <c r="AR94" s="3" t="str">
        <f ca="1">IFERROR(__xludf.DUMMYFUNCTION("GOOGLETRANSLATE(AS94,""en"",""ta"")"),"தூண்டுதல், டானிக், தெர்மோஜெனிக், டையூரிடிக், கிருமி நாசினி, துவர்ப்பு மருந்து மற்றும் சளி நீக்கி.")</f>
        <v>தூண்டுதல், டானிக், தெர்மோஜெனிக், டையூரிடிக், கிருமி நாசினி, துவர்ப்பு மருந்து மற்றும் சளி நீக்கி.</v>
      </c>
      <c r="AS94" s="4" t="s">
        <v>1175</v>
      </c>
      <c r="AT94" s="3" t="str">
        <f ca="1">IFERROR(__xludf.DUMMYFUNCTION("GOOGLETRANSLATE(AU94,""en"",""ta"")"),"அத்தியாவசிய எண்ணெய்கள், இன்சுலின் போன்ற கொள்கை.")</f>
        <v>அத்தியாவசிய எண்ணெய்கள், இன்சுலின் போன்ற கொள்கை.</v>
      </c>
      <c r="AU94" s="4" t="s">
        <v>1176</v>
      </c>
      <c r="AV94" s="3"/>
      <c r="AW94" s="3" t="str">
        <f ca="1">IFERROR(__xludf.DUMMYFUNCTION("GOOGLETRANSLATE(AX94,""en"",""ta"")"),"i) ii) முழு தாவரத்தின் புதிய சாறு கோனோரியாவுக்கு கொடுக்கப்படுகிறது. கருவுறுதலை அதிகரிக்க பெண்களுக்கு உட்புறமாக தாவரக் கஷாயம் கொடுக்கப்படுகிறது.")</f>
        <v>i) ii) முழு தாவரத்தின் புதிய சாறு கோனோரியாவுக்கு கொடுக்கப்படுகிறது. கருவுறுதலை அதிகரிக்க பெண்களுக்கு உட்புறமாக தாவரக் கஷாயம் கொடுக்கப்படுகிறது.</v>
      </c>
      <c r="AX94" s="4" t="s">
        <v>2484</v>
      </c>
      <c r="AY94" s="3"/>
      <c r="AZ94" s="3"/>
      <c r="BA94" s="3"/>
      <c r="BB94" s="3"/>
      <c r="BC94" s="3"/>
      <c r="BD94" s="3"/>
      <c r="BE94" s="3"/>
      <c r="BF94" s="3"/>
    </row>
    <row r="95" spans="1:58" ht="28" x14ac:dyDescent="0.15">
      <c r="A95" s="3">
        <v>94</v>
      </c>
      <c r="B95" s="3" t="str">
        <f ca="1">IFERROR(__xludf.DUMMYFUNCTION("GOOGLETRANSLATE(C95,""en"",""ta"")"),"பிளெஃபாரிஸ் போயர்ஹவிஃபோலியா")</f>
        <v>பிளெஃபாரிஸ் போயர்ஹவிஃபோலியா</v>
      </c>
      <c r="C95" s="4" t="s">
        <v>1178</v>
      </c>
      <c r="D95" s="3" t="str">
        <f ca="1">IFERROR(__xludf.DUMMYFUNCTION("GOOGLETRANSLATE(E95,""en"",""ta"")"),"பப்ரு")</f>
        <v>பப்ரு</v>
      </c>
      <c r="E95" s="4" t="s">
        <v>1179</v>
      </c>
      <c r="F95" s="3" t="str">
        <f ca="1">IFERROR(__xludf.DUMMYFUNCTION("GOOGLETRANSLATE(G95,""en"",""ta"")"),"நெத்திரா பூண்டு")</f>
        <v>நெத்திரா பூண்டு</v>
      </c>
      <c r="G95" s="4" t="s">
        <v>1180</v>
      </c>
      <c r="H95" s="3" t="str">
        <f ca="1">IFERROR(__xludf.DUMMYFUNCTION("GOOGLETRANSLATE(I95,""en"",""ta"")"),"#VALUE!")</f>
        <v>#VALUE!</v>
      </c>
      <c r="I95" s="3"/>
      <c r="J95" s="3" t="str">
        <f ca="1">IFERROR(__xludf.DUMMYFUNCTION("GOOGLETRANSLATE(K95,""en"",""ta"")"),"#VALUE!")</f>
        <v>#VALUE!</v>
      </c>
      <c r="K95" s="3"/>
      <c r="L95" s="3" t="str">
        <f ca="1">IFERROR(__xludf.DUMMYFUNCTION("GOOGLETRANSLATE(M95,""en"",""ta"")"),"#VALUE!")</f>
        <v>#VALUE!</v>
      </c>
      <c r="M95" s="3"/>
      <c r="N95" s="3" t="str">
        <f ca="1">IFERROR(__xludf.DUMMYFUNCTION("GOOGLETRANSLATE(O95,""en"",""ta"")"),"சௌபதியா")</f>
        <v>சௌபதியா</v>
      </c>
      <c r="O95" s="4" t="s">
        <v>1181</v>
      </c>
      <c r="P95" s="3"/>
      <c r="Q95" s="3" t="str">
        <f ca="1">IFERROR(__xludf.DUMMYFUNCTION("GOOGLETRANSLATE(R95,""en"",""ta"")"),"இருவகை கிளைகளைக் கொண்ட கீழ்ப் புதர். தண்டு குட்டையானது. முனைகளில் நான்கு இலைகளாக இலைகள் மேல் ஜோடி நீள்வட்டமாகவும் பெரியதாகவும், கீழ் ஜோடி சிறியதாகவும் ஒத்ததாகவும் இருக்கும். மஞ்சரி ஸ்ட்ரோபிலேட் ரோமமுள்ள கூர்முனைகளில் இருக்கும். மலர்கள் இருபால். பழங்கள் நீ"&amp;"ள்வட்ட வடிவ சுருக்கப்பட்ட மற்றும் பிரியும் காப்ஸ்யூல்கள். விதைகள் முட்டை வடிவானது, முடிகளால் அடர்த்தியாக மூடப்பட்டிருக்கும்.")</f>
        <v>இருவகை கிளைகளைக் கொண்ட கீழ்ப் புதர். தண்டு குட்டையானது. முனைகளில் நான்கு இலைகளாக இலைகள் மேல் ஜோடி நீள்வட்டமாகவும் பெரியதாகவும், கீழ் ஜோடி சிறியதாகவும் ஒத்ததாகவும் இருக்கும். மஞ்சரி ஸ்ட்ரோபிலேட் ரோமமுள்ள கூர்முனைகளில் இருக்கும். மலர்கள் இருபால். பழங்கள் நீள்வட்ட வடிவ சுருக்கப்பட்ட மற்றும் பிரியும் காப்ஸ்யூல்கள். விதைகள் முட்டை வடிவானது, முடிகளால் அடர்த்தியாக மூடப்பட்டிருக்கும்.</v>
      </c>
      <c r="R95" s="4" t="s">
        <v>1182</v>
      </c>
      <c r="S95" s="3" t="str">
        <f ca="1">IFERROR(__xludf.DUMMYFUNCTION("GOOGLETRANSLATE(T95,""en"",""ta"")"),"#VALUE!")</f>
        <v>#VALUE!</v>
      </c>
      <c r="T95" s="3"/>
      <c r="U95" s="3" t="str">
        <f ca="1">IFERROR(__xludf.DUMMYFUNCTION("GOOGLETRANSLATE(V95,""en"",""ta"")"),"#VALUE!")</f>
        <v>#VALUE!</v>
      </c>
      <c r="V95" s="3"/>
      <c r="W95" s="3" t="str">
        <f ca="1">IFERROR(__xludf.DUMMYFUNCTION("GOOGLETRANSLATE(X95,""en"",""ta"")"),"#VALUE!")</f>
        <v>#VALUE!</v>
      </c>
      <c r="X95" s="3"/>
      <c r="Y95" s="3" t="str">
        <f ca="1">IFERROR(__xludf.DUMMYFUNCTION("GOOGLETRANSLATE(Z95,""en"",""ta"")"),"#VALUE!")</f>
        <v>#VALUE!</v>
      </c>
      <c r="Z95" s="3"/>
      <c r="AA95" s="3" t="str">
        <f ca="1">IFERROR(__xludf.DUMMYFUNCTION("GOOGLETRANSLATE(AB95,""en"",""ta"")"),"#VALUE!")</f>
        <v>#VALUE!</v>
      </c>
      <c r="AB95" s="3"/>
      <c r="AC95" s="3" t="str">
        <f ca="1">IFERROR(__xludf.DUMMYFUNCTION("GOOGLETRANSLATE(AD95,""en"",""ta"")"),"#VALUE!")</f>
        <v>#VALUE!</v>
      </c>
      <c r="AD95" s="3"/>
      <c r="AE95" s="3" t="str">
        <f ca="1">IFERROR(__xludf.DUMMYFUNCTION("GOOGLETRANSLATE(AF95,""en"",""ta"")"),"#VALUE!")</f>
        <v>#VALUE!</v>
      </c>
      <c r="AF95" s="3"/>
      <c r="AG95" s="3" t="str">
        <f ca="1">IFERROR(__xludf.DUMMYFUNCTION("GOOGLETRANSLATE(AH95,""en"",""ta"")"),"#VALUE!")</f>
        <v>#VALUE!</v>
      </c>
      <c r="AH95" s="3"/>
      <c r="AI95" s="3" t="str">
        <f ca="1">IFERROR(__xludf.DUMMYFUNCTION("GOOGLETRANSLATE(AJ95,""en"",""ta"")"),"#VALUE!")</f>
        <v>#VALUE!</v>
      </c>
      <c r="AJ95" s="3"/>
      <c r="AK95" s="3" t="str">
        <f ca="1">IFERROR(__xludf.DUMMYFUNCTION("GOOGLETRANSLATE(AL95,""en"",""ta"")"),"#VALUE!")</f>
        <v>#VALUE!</v>
      </c>
      <c r="AL95" s="3"/>
      <c r="AM95" s="3" t="str">
        <f ca="1">IFERROR(__xludf.DUMMYFUNCTION("GOOGLETRANSLATE(AN95,""en"",""ta"")"),"#VALUE!")</f>
        <v>#VALUE!</v>
      </c>
      <c r="AN95" s="3"/>
      <c r="AO95" s="3" t="str">
        <f ca="1">IFERROR(__xludf.DUMMYFUNCTION("GOOGLETRANSLATE(AP95,""en"",""ta"")"),"#VALUE!")</f>
        <v>#VALUE!</v>
      </c>
      <c r="AP95" s="3"/>
      <c r="AQ95" s="3"/>
      <c r="AR95" s="3" t="str">
        <f ca="1">IFERROR(__xludf.DUMMYFUNCTION("GOOGLETRANSLATE(AS95,""en"",""ta"")"),"குளிர்ச்சி, பாலுணர்வூக்கி, அலெக்ஸிடெரிக் மற்றும் மாற்று மருந்து")</f>
        <v>குளிர்ச்சி, பாலுணர்வூக்கி, அலெக்ஸிடெரிக் மற்றும் மாற்று மருந்து</v>
      </c>
      <c r="AS95" s="4" t="s">
        <v>1183</v>
      </c>
      <c r="AT95" s="3" t="str">
        <f ca="1">IFERROR(__xludf.DUMMYFUNCTION("GOOGLETRANSLATE(AU95,""en"",""ta"")"),"பிளெபரின் மற்றும் பிளெபார்ஜினின்.")</f>
        <v>பிளெபரின் மற்றும் பிளெபார்ஜினின்.</v>
      </c>
      <c r="AU95" s="4" t="s">
        <v>1184</v>
      </c>
      <c r="AV95" s="3"/>
      <c r="AW95" s="3" t="str">
        <f ca="1">IFERROR(__xludf.DUMMYFUNCTION("GOOGLETRANSLATE(AX95,""en"",""ta"")"),"i) ii) இலை விழுதை கண்களில் தடவுவதால் எரிச்சல், கண்புரை மற்றும் பிற கண் கோளாறுகள் குணமாகும். விதைப் பொடியை சிறுநீர் வெளியேற்றம், நுரையீரல் மற்றும் கல்லீரல் அழற்சிக்கு உள்ளே கொடுக்கலாம்.")</f>
        <v>i) ii) இலை விழுதை கண்களில் தடவுவதால் எரிச்சல், கண்புரை மற்றும் பிற கண் கோளாறுகள் குணமாகும். விதைப் பொடியை சிறுநீர் வெளியேற்றம், நுரையீரல் மற்றும் கல்லீரல் அழற்சிக்கு உள்ளே கொடுக்கலாம்.</v>
      </c>
      <c r="AX95" s="4" t="s">
        <v>2485</v>
      </c>
      <c r="AY95" s="3"/>
      <c r="AZ95" s="3"/>
      <c r="BA95" s="3"/>
      <c r="BB95" s="3"/>
      <c r="BC95" s="3"/>
      <c r="BD95" s="3"/>
      <c r="BE95" s="3"/>
      <c r="BF95" s="3"/>
    </row>
    <row r="96" spans="1:58" ht="56" x14ac:dyDescent="0.15">
      <c r="A96" s="3">
        <v>95</v>
      </c>
      <c r="B96" s="3" t="str">
        <f ca="1">IFERROR(__xludf.DUMMYFUNCTION("GOOGLETRANSLATE(C96,""en"",""ta"")"),"போயர்ஹேவியா டிஃப்யூசா")</f>
        <v>போயர்ஹேவியா டிஃப்யூசா</v>
      </c>
      <c r="C96" s="4" t="s">
        <v>1186</v>
      </c>
      <c r="D96" s="3" t="str">
        <f ca="1">IFERROR(__xludf.DUMMYFUNCTION("GOOGLETRANSLATE(E96,""en"",""ta"")"),"மூக்கிரட்டை")</f>
        <v>மூக்கிரட்டை</v>
      </c>
      <c r="E96" s="4" t="s">
        <v>1187</v>
      </c>
      <c r="F96" s="3" t="str">
        <f ca="1">IFERROR(__xludf.DUMMYFUNCTION("GOOGLETRANSLATE(G96,""en"",""ta"")"),"மூக்கிரட்டை")</f>
        <v>மூக்கிரட்டை</v>
      </c>
      <c r="G96" s="4" t="s">
        <v>1188</v>
      </c>
      <c r="H96" s="3" t="str">
        <f ca="1">IFERROR(__xludf.DUMMYFUNCTION("GOOGLETRANSLATE(I96,""en"",""ta"")"),"பன்றி களை பரப்புதல்")</f>
        <v>பன்றி களை பரப்புதல்</v>
      </c>
      <c r="I96" s="4" t="s">
        <v>1189</v>
      </c>
      <c r="J96" s="3" t="str">
        <f ca="1">IFERROR(__xludf.DUMMYFUNCTION("GOOGLETRANSLATE(K96,""en"",""ta"")"),"அதிகமாமிடி")</f>
        <v>அதிகமாமிடி</v>
      </c>
      <c r="K96" s="4" t="s">
        <v>1190</v>
      </c>
      <c r="L96" s="3" t="str">
        <f ca="1">IFERROR(__xludf.DUMMYFUNCTION("GOOGLETRANSLATE(M96,""en"",""ta"")"),"டிடுடம்மா")</f>
        <v>டிடுடம்மா</v>
      </c>
      <c r="M96" s="4" t="s">
        <v>1191</v>
      </c>
      <c r="N96" s="3" t="str">
        <f ca="1">IFERROR(__xludf.DUMMYFUNCTION("GOOGLETRANSLATE(O96,""en"",""ta"")"),"பிஸ்காஃப்ரா")</f>
        <v>பிஸ்காஃப்ரா</v>
      </c>
      <c r="O96" s="4" t="s">
        <v>1192</v>
      </c>
      <c r="P96" s="3"/>
      <c r="Q96" s="3" t="str">
        <f ca="1">IFERROR(__xludf.DUMMYFUNCTION("GOOGLETRANSLATE(R96,""en"",""ta"")"),"பரவலாக கிளைத்த, முன்னோக்கிச் செல்லும் மூலிகை. இலைகள் நீளமான இலைக்காம்பு வடிவானது, முட்டை வடிவானது அல்லது நீள்வட்டமானது முதல் இதய வடிவமானது, முழுமையாகவோ அல்லது சைனுவேட் ஆகவோ இருக்கும், பொதுவாக கீழே வெண்மையாகவும் மென்மையாகவும் இருக்கும், மேல் மேற்பரப்பில் க"&amp;"ரடுமுரடான பச்சை நிறமாகவும் இருக்கும். மலர்கள் இளஞ்சிவப்பு நிறத்தில் சிறிய அம்பல்களில், இலைக்கோணங்களிலும் முனையப் பேனிக்கிள்களிலும் அமைக்கப்பட்டிருக்கும். பழங்கள் சுரப்பி ஆந்தோகார்ப்ஸ், முட்டை வடிவானது, நீள்வட்டமானது மற்றும் ஐந்து ரிப்பட்களைக் கொண்டது.")</f>
        <v>பரவலாக கிளைத்த, முன்னோக்கிச் செல்லும் மூலிகை. இலைகள் நீளமான இலைக்காம்பு வடிவானது, முட்டை வடிவானது அல்லது நீள்வட்டமானது முதல் இதய வடிவமானது, முழுமையாகவோ அல்லது சைனுவேட் ஆகவோ இருக்கும், பொதுவாக கீழே வெண்மையாகவும் மென்மையாகவும் இருக்கும், மேல் மேற்பரப்பில் கரடுமுரடான பச்சை நிறமாகவும் இருக்கும். மலர்கள் இளஞ்சிவப்பு நிறத்தில் சிறிய அம்பல்களில், இலைக்கோணங்களிலும் முனையப் பேனிக்கிள்களிலும் அமைக்கப்பட்டிருக்கும். பழங்கள் சுரப்பி ஆந்தோகார்ப்ஸ், முட்டை வடிவானது, நீள்வட்டமானது மற்றும் ஐந்து ரிப்பட்களைக் கொண்டது.</v>
      </c>
      <c r="R96" s="4" t="s">
        <v>1193</v>
      </c>
      <c r="S96" s="3" t="str">
        <f ca="1">IFERROR(__xludf.DUMMYFUNCTION("GOOGLETRANSLATE(T96,""en"",""ta"")"),"ஸ்ட்ராங்குரி, கோனோரியா, ஆஸ்துமா மற்றும் உள் அழற்சிகள்")</f>
        <v>ஸ்ட்ராங்குரி, கோனோரியா, ஆஸ்துமா மற்றும் உள் அழற்சிகள்</v>
      </c>
      <c r="T96" s="4" t="s">
        <v>1194</v>
      </c>
      <c r="U96" s="3" t="str">
        <f ca="1">IFERROR(__xludf.DUMMYFUNCTION("GOOGLETRANSLATE(V96,""en"",""ta"")"),"#VALUE!")</f>
        <v>#VALUE!</v>
      </c>
      <c r="V96" s="3"/>
      <c r="W96" s="3" t="str">
        <f ca="1">IFERROR(__xludf.DUMMYFUNCTION("GOOGLETRANSLATE(X96,""en"",""ta"")"),"#VALUE!")</f>
        <v>#VALUE!</v>
      </c>
      <c r="X96" s="3"/>
      <c r="Y96" s="3" t="str">
        <f ca="1">IFERROR(__xludf.DUMMYFUNCTION("GOOGLETRANSLATE(Z96,""en"",""ta"")"),"#VALUE!")</f>
        <v>#VALUE!</v>
      </c>
      <c r="Z96" s="3"/>
      <c r="AA96" s="3" t="str">
        <f ca="1">IFERROR(__xludf.DUMMYFUNCTION("GOOGLETRANSLATE(AB96,""en"",""ta"")"),"#VALUE!")</f>
        <v>#VALUE!</v>
      </c>
      <c r="AB96" s="3"/>
      <c r="AC96" s="3" t="str">
        <f ca="1">IFERROR(__xludf.DUMMYFUNCTION("GOOGLETRANSLATE(AD96,""en"",""ta"")"),"#VALUE!")</f>
        <v>#VALUE!</v>
      </c>
      <c r="AD96" s="3"/>
      <c r="AE96" s="3" t="str">
        <f ca="1">IFERROR(__xludf.DUMMYFUNCTION("GOOGLETRANSLATE(AF96,""en"",""ta"")"),"#VALUE!")</f>
        <v>#VALUE!</v>
      </c>
      <c r="AF96" s="3"/>
      <c r="AG96" s="3" t="str">
        <f ca="1">IFERROR(__xludf.DUMMYFUNCTION("GOOGLETRANSLATE(AH96,""en"",""ta"")"),"#VALUE!")</f>
        <v>#VALUE!</v>
      </c>
      <c r="AH96" s="3"/>
      <c r="AI96" s="3" t="str">
        <f ca="1">IFERROR(__xludf.DUMMYFUNCTION("GOOGLETRANSLATE(AJ96,""en"",""ta"")"),"#VALUE!")</f>
        <v>#VALUE!</v>
      </c>
      <c r="AJ96" s="3"/>
      <c r="AK96" s="3" t="str">
        <f ca="1">IFERROR(__xludf.DUMMYFUNCTION("GOOGLETRANSLATE(AL96,""en"",""ta"")"),"#VALUE!")</f>
        <v>#VALUE!</v>
      </c>
      <c r="AL96" s="3"/>
      <c r="AM96" s="3" t="str">
        <f ca="1">IFERROR(__xludf.DUMMYFUNCTION("GOOGLETRANSLATE(AN96,""en"",""ta"")"),"#VALUE!")</f>
        <v>#VALUE!</v>
      </c>
      <c r="AN96" s="3"/>
      <c r="AO96" s="3" t="str">
        <f ca="1">IFERROR(__xludf.DUMMYFUNCTION("GOOGLETRANSLATE(AP96,""en"",""ta"")"),"#VALUE!")</f>
        <v>#VALUE!</v>
      </c>
      <c r="AP96" s="3"/>
      <c r="AQ96" s="3"/>
      <c r="AR96" s="3" t="str">
        <f ca="1">IFERROR(__xludf.DUMMYFUNCTION("GOOGLETRANSLATE(AS96,""en"",""ta"")"),"புழுக்களிலிருந்து விடுபடும் மருந்து, சிறுநீர்ப் பெருக்கி, டானிக், பாலுணர்வூக்கி, ஊக்கி, டயாபோரெடிக், வாந்தி, சளி நீக்கி, அழற்சி எதிர்ப்பு, கார்டியோ டானிக் மற்றும் மலமிளக்கி.")</f>
        <v>புழுக்களிலிருந்து விடுபடும் மருந்து, சிறுநீர்ப் பெருக்கி, டானிக், பாலுணர்வூக்கி, ஊக்கி, டயாபோரெடிக், வாந்தி, சளி நீக்கி, அழற்சி எதிர்ப்பு, கார்டியோ டானிக் மற்றும் மலமிளக்கி.</v>
      </c>
      <c r="AS96" s="4" t="s">
        <v>1195</v>
      </c>
      <c r="AT96" s="3" t="str">
        <f ca="1">IFERROR(__xludf.DUMMYFUNCTION("GOOGLETRANSLATE(AU96,""en"",""ta"")"),"புனார்னவைன் 1 &amp; 2, புனார்னவோசைடு, பொட்டாசியம் உப்புகள், ஹென்ட்ரியாகோன்டேன், உர்சோலிக் அமிலம், பி-சிட்டோஸ்டெரால், பாலிசாக்கரைடுகள் கிளைகோபுரோட்டீன்,")</f>
        <v>புனார்னவைன் 1 &amp; 2, புனார்னவோசைடு, பொட்டாசியம் உப்புகள், ஹென்ட்ரியாகோன்டேன், உர்சோலிக் அமிலம், பி-சிட்டோஸ்டெரால், பாலிசாக்கரைடுகள் கிளைகோபுரோட்டீன்,</v>
      </c>
      <c r="AU96" s="4" t="s">
        <v>1196</v>
      </c>
      <c r="AV96" s="3"/>
      <c r="AW96" s="3" t="str">
        <f ca="1">IFERROR(__xludf.DUMMYFUNCTION("GOOGLETRANSLATE(AX96,""en"",""ta"")"),"i) செடியின் சாற்றை எள் எண்ணெயுடன் கொதிக்க வைத்து சைனசிடிஸுக்கு மூக்கு சொட்டு மருந்தாகப் பயன்படுத்தப்படுகிறது. ii) இலைச் சாறு இரத்த சுத்திகரிப்பானாகவும் தசை வலியைப் போக்கவும் உட்புறமாகக் கொடுக்கப்படுகிறது.")</f>
        <v>i) செடியின் சாற்றை எள் எண்ணெயுடன் கொதிக்க வைத்து சைனசிடிஸுக்கு மூக்கு சொட்டு மருந்தாகப் பயன்படுத்தப்படுகிறது. ii) இலைச் சாறு இரத்த சுத்திகரிப்பானாகவும் தசை வலியைப் போக்கவும் உட்புறமாகக் கொடுக்கப்படுகிறது.</v>
      </c>
      <c r="AX96" s="4" t="s">
        <v>2486</v>
      </c>
      <c r="AY96" s="3"/>
      <c r="AZ96" s="3"/>
      <c r="BA96" s="3"/>
      <c r="BB96" s="3"/>
      <c r="BC96" s="3"/>
      <c r="BD96" s="3"/>
      <c r="BE96" s="3"/>
      <c r="BF96" s="3"/>
    </row>
    <row r="97" spans="1:58" ht="56" x14ac:dyDescent="0.15">
      <c r="A97" s="3">
        <v>96</v>
      </c>
      <c r="B97" s="3" t="str">
        <f ca="1">IFERROR(__xludf.DUMMYFUNCTION("GOOGLETRANSLATE(C97,""en"",""ta"")"),"பாம்பாக்ஸ் சீபா")</f>
        <v>பாம்பாக்ஸ் சீபா</v>
      </c>
      <c r="C97" s="4" t="s">
        <v>1198</v>
      </c>
      <c r="D97" s="3" t="str">
        <f ca="1">IFERROR(__xludf.DUMMYFUNCTION("GOOGLETRANSLATE(E97,""en"",""ta"")"),"ஷால்மாலி")</f>
        <v>ஷால்மாலி</v>
      </c>
      <c r="E97" s="4" t="s">
        <v>1199</v>
      </c>
      <c r="F97" s="3" t="str">
        <f ca="1">IFERROR(__xludf.DUMMYFUNCTION("GOOGLETRANSLATE(G97,""en"",""ta"")"),"இலவம் பஞ்சு")</f>
        <v>இலவம் பஞ்சு</v>
      </c>
      <c r="G97" s="4" t="s">
        <v>1200</v>
      </c>
      <c r="H97" s="3" t="str">
        <f ca="1">IFERROR(__xludf.DUMMYFUNCTION("GOOGLETRANSLATE(I97,""en"",""ta"")"),"பட்டு பருத்தி மரம்")</f>
        <v>பட்டு பருத்தி மரம்</v>
      </c>
      <c r="I97" s="4" t="s">
        <v>1201</v>
      </c>
      <c r="J97" s="3" t="str">
        <f ca="1">IFERROR(__xludf.DUMMYFUNCTION("GOOGLETRANSLATE(K97,""en"",""ta"")"),"பூருகசெட்டு")</f>
        <v>பூருகசெட்டு</v>
      </c>
      <c r="K97" s="4" t="s">
        <v>1202</v>
      </c>
      <c r="L97" s="3" t="str">
        <f ca="1">IFERROR(__xludf.DUMMYFUNCTION("GOOGLETRANSLATE(M97,""en"",""ta"")"),"இலவு")</f>
        <v>இலவு</v>
      </c>
      <c r="M97" s="4" t="s">
        <v>1203</v>
      </c>
      <c r="N97" s="3" t="str">
        <f ca="1">IFERROR(__xludf.DUMMYFUNCTION("GOOGLETRANSLATE(O97,""en"",""ta"")"),"செமுல்")</f>
        <v>செமுல்</v>
      </c>
      <c r="O97" s="4" t="s">
        <v>1204</v>
      </c>
      <c r="P97" s="3"/>
      <c r="Q97" s="3" t="str">
        <f ca="1">IFERROR(__xludf.DUMMYFUNCTION("GOOGLETRANSLATE(R97,""en"",""ta"")"),"கருப்பு நிற கூம்பு வடிவ முட்களால் மூடப்பட்ட சாம்பல் நிற இலையுதிர் மரம். இலைகள் இலக்க வடிவ, இலைக்காம்பு வடிவ, உள்ளங்கை வடிவ கூட்டு மற்றும் கிளைகளின் முனைகளில் கூட்டமாக இருக்கும். மலர்கள் பிரகாசமான சிவப்பு நிறத்தில், புதிய இலைகளுக்கு முன் தோன்றும். பழங்கள் "&amp;"காப்ஸ்யூல் மற்றும் மரத்தாலானவை. வெள்ளை பட்டுப் போன்ற பருத்தி மற்றும் முட்டை வடிவ விதைகளில் பதிக்கப்பட்ட விதைகள்.")</f>
        <v>கருப்பு நிற கூம்பு வடிவ முட்களால் மூடப்பட்ட சாம்பல் நிற இலையுதிர் மரம். இலைகள் இலக்க வடிவ, இலைக்காம்பு வடிவ, உள்ளங்கை வடிவ கூட்டு மற்றும் கிளைகளின் முனைகளில் கூட்டமாக இருக்கும். மலர்கள் பிரகாசமான சிவப்பு நிறத்தில், புதிய இலைகளுக்கு முன் தோன்றும். பழங்கள் காப்ஸ்யூல் மற்றும் மரத்தாலானவை. வெள்ளை பட்டுப் போன்ற பருத்தி மற்றும் முட்டை வடிவ விதைகளில் பதிக்கப்பட்ட விதைகள்.</v>
      </c>
      <c r="R97" s="4" t="s">
        <v>1205</v>
      </c>
      <c r="S97" s="3" t="str">
        <f ca="1">IFERROR(__xludf.DUMMYFUNCTION("GOOGLETRANSLATE(T97,""en"",""ta"")"),"கோனோரியா, வயிற்றுப்போக்கு மற்றும் ஆண்மைக் குறைவு.")</f>
        <v>கோனோரியா, வயிற்றுப்போக்கு மற்றும் ஆண்மைக் குறைவு.</v>
      </c>
      <c r="T97" s="4" t="s">
        <v>1206</v>
      </c>
      <c r="U97" s="3" t="str">
        <f ca="1">IFERROR(__xludf.DUMMYFUNCTION("GOOGLETRANSLATE(V97,""en"",""ta"")"),"கோனோரியா, நுகர்வு, கால்குலஸ் பாசம்")</f>
        <v>கோனோரியா, நுகர்வு, கால்குலஸ் பாசம்</v>
      </c>
      <c r="V97" s="4" t="s">
        <v>1207</v>
      </c>
      <c r="W97" s="3" t="str">
        <f ca="1">IFERROR(__xludf.DUMMYFUNCTION("GOOGLETRANSLATE(X97,""en"",""ta"")"),"அரிப்பு மற்றும் தோல் வெடிப்புகள்.")</f>
        <v>அரிப்பு மற்றும் தோல் வெடிப்புகள்.</v>
      </c>
      <c r="X97" s="4" t="s">
        <v>1208</v>
      </c>
      <c r="Y97" s="3" t="str">
        <f ca="1">IFERROR(__xludf.DUMMYFUNCTION("GOOGLETRANSLATE(Z97,""en"",""ta"")"),"கண்சவ்வு அழற்சி, தோல் பிரச்சனைகள்.")</f>
        <v>கண்சவ்வு அழற்சி, தோல் பிரச்சனைகள்.</v>
      </c>
      <c r="Z97" s="4" t="s">
        <v>1209</v>
      </c>
      <c r="AA97" s="3" t="str">
        <f ca="1">IFERROR(__xludf.DUMMYFUNCTION("GOOGLETRANSLATE(AB97,""en"",""ta"")"),"#VALUE!")</f>
        <v>#VALUE!</v>
      </c>
      <c r="AB97" s="3"/>
      <c r="AC97" s="3" t="str">
        <f ca="1">IFERROR(__xludf.DUMMYFUNCTION("GOOGLETRANSLATE(AD97,""en"",""ta"")"),"#VALUE!")</f>
        <v>#VALUE!</v>
      </c>
      <c r="AD97" s="3"/>
      <c r="AE97" s="3" t="str">
        <f ca="1">IFERROR(__xludf.DUMMYFUNCTION("GOOGLETRANSLATE(AF97,""en"",""ta"")"),"#VALUE!")</f>
        <v>#VALUE!</v>
      </c>
      <c r="AF97" s="3"/>
      <c r="AG97" s="3" t="str">
        <f ca="1">IFERROR(__xludf.DUMMYFUNCTION("GOOGLETRANSLATE(AH97,""en"",""ta"")"),"#VALUE!")</f>
        <v>#VALUE!</v>
      </c>
      <c r="AH97" s="3"/>
      <c r="AI97" s="3" t="str">
        <f ca="1">IFERROR(__xludf.DUMMYFUNCTION("GOOGLETRANSLATE(AJ97,""en"",""ta"")"),"#VALUE!")</f>
        <v>#VALUE!</v>
      </c>
      <c r="AJ97" s="3"/>
      <c r="AK97" s="3" t="str">
        <f ca="1">IFERROR(__xludf.DUMMYFUNCTION("GOOGLETRANSLATE(AL97,""en"",""ta"")"),"#VALUE!")</f>
        <v>#VALUE!</v>
      </c>
      <c r="AL97" s="3"/>
      <c r="AM97" s="3" t="str">
        <f ca="1">IFERROR(__xludf.DUMMYFUNCTION("GOOGLETRANSLATE(AN97,""en"",""ta"")"),"நாள்பட்ட வீக்கம், சிறுநீர்ப்பை மற்றும் சிறுநீரகத்தின் கால்குலஸ் புண்.")</f>
        <v>நாள்பட்ட வீக்கம், சிறுநீர்ப்பை மற்றும் சிறுநீரகத்தின் கால்குலஸ் புண்.</v>
      </c>
      <c r="AN97" s="4" t="s">
        <v>1210</v>
      </c>
      <c r="AO97" s="3" t="str">
        <f ca="1">IFERROR(__xludf.DUMMYFUNCTION("GOOGLETRANSLATE(AP97,""en"",""ta"")"),"#VALUE!")</f>
        <v>#VALUE!</v>
      </c>
      <c r="AP97" s="3"/>
      <c r="AQ97" s="3"/>
      <c r="AR97" s="3" t="str">
        <f ca="1">IFERROR(__xludf.DUMMYFUNCTION("GOOGLETRANSLATE(AS97,""en"",""ta"")"),"துவர்ப்பு மருந்து, டானிக், பாலுணர்வூக்கி, ஸ்டைப்டிக், டீமல்சென்ட், டையூரிடிக் மற்றும் மலமிளக்கி")</f>
        <v>துவர்ப்பு மருந்து, டானிக், பாலுணர்வூக்கி, ஸ்டைப்டிக், டீமல்சென்ட், டையூரிடிக் மற்றும் மலமிளக்கி</v>
      </c>
      <c r="AS97" s="4" t="s">
        <v>1211</v>
      </c>
      <c r="AT97" s="3" t="str">
        <f ca="1">IFERROR(__xludf.DUMMYFUNCTION("GOOGLETRANSLATE(AU97,""en"",""ta"")"),"லூபியோல், நாப்தகுவினோன், ட்ரைகோன்டனால், நாப்தலீன் கார்பாக்சிலிக் அமிலம், காலிக் அமிலம், டோகோபெரோல்கள், அராச்சிடிக், லினோலிக், ஒலிக் அமிலம் மற்றும் சிமுல் கம்.")</f>
        <v>லூபியோல், நாப்தகுவினோன், ட்ரைகோன்டனால், நாப்தலீன் கார்பாக்சிலிக் அமிலம், காலிக் அமிலம், டோகோபெரோல்கள், அராச்சிடிக், லினோலிக், ஒலிக் அமிலம் மற்றும் சிமுல் கம்.</v>
      </c>
      <c r="AU97" s="4" t="s">
        <v>1212</v>
      </c>
      <c r="AV97" s="3"/>
      <c r="AW97" s="3" t="str">
        <f ca="1">IFERROR(__xludf.DUMMYFUNCTION("GOOGLETRANSLATE(AX97,""en"",""ta"")"),"i) ii) மலச்சிக்கல் மற்றும் எரியும் சிறுநீர் கழிப்பிற்கு பூக்களின் கஷாயம் பயன்படுத்தப்படுகிறது. வெள்ளைப்படுதல் மற்றும் வயிற்றுப்போக்கிற்கு வேர்களின் கஷாயம் உட்புறமாக கொடுக்கப்படுகிறது.")</f>
        <v>i) ii) மலச்சிக்கல் மற்றும் எரியும் சிறுநீர் கழிப்பிற்கு பூக்களின் கஷாயம் பயன்படுத்தப்படுகிறது. வெள்ளைப்படுதல் மற்றும் வயிற்றுப்போக்கிற்கு வேர்களின் கஷாயம் உட்புறமாக கொடுக்கப்படுகிறது.</v>
      </c>
      <c r="AX97" s="4" t="s">
        <v>2487</v>
      </c>
      <c r="AY97" s="3"/>
      <c r="AZ97" s="3"/>
      <c r="BA97" s="3"/>
      <c r="BB97" s="3"/>
      <c r="BC97" s="3"/>
      <c r="BD97" s="3"/>
      <c r="BE97" s="3"/>
      <c r="BF97" s="3"/>
    </row>
    <row r="98" spans="1:58" ht="56" x14ac:dyDescent="0.15">
      <c r="A98" s="3">
        <v>97</v>
      </c>
      <c r="B98" s="3" t="str">
        <f ca="1">IFERROR(__xludf.DUMMYFUNCTION("GOOGLETRANSLATE(C98,""en"",""ta"")"),"போரசஸ் ​​ஃபிளாபெல்லிஃபர்")</f>
        <v>போரசஸ் ​​ஃபிளாபெல்லிஃபர்</v>
      </c>
      <c r="C98" s="4" t="s">
        <v>1214</v>
      </c>
      <c r="D98" s="3" t="str">
        <f ca="1">IFERROR(__xludf.DUMMYFUNCTION("GOOGLETRANSLATE(E98,""en"",""ta"")"),"திரினராஜா")</f>
        <v>திரினராஜா</v>
      </c>
      <c r="E98" s="4" t="s">
        <v>1215</v>
      </c>
      <c r="F98" s="3" t="str">
        <f ca="1">IFERROR(__xludf.DUMMYFUNCTION("GOOGLETRANSLATE(G98,""en"",""ta"")"),"பனை மரம்")</f>
        <v>பனை மரம்</v>
      </c>
      <c r="G98" s="4" t="s">
        <v>1216</v>
      </c>
      <c r="H98" s="3" t="str">
        <f ca="1">IFERROR(__xludf.DUMMYFUNCTION("GOOGLETRANSLATE(I98,""en"",""ta"")"),"பனைமரம்")</f>
        <v>பனைமரம்</v>
      </c>
      <c r="I98" s="4" t="s">
        <v>1217</v>
      </c>
      <c r="J98" s="3" t="str">
        <f ca="1">IFERROR(__xludf.DUMMYFUNCTION("GOOGLETRANSLATE(K98,""en"",""ta"")"),"தடிச்செட்டு")</f>
        <v>தடிச்செட்டு</v>
      </c>
      <c r="K98" s="4" t="s">
        <v>1218</v>
      </c>
      <c r="L98" s="3" t="str">
        <f ca="1">IFERROR(__xludf.DUMMYFUNCTION("GOOGLETRANSLATE(M98,""en"",""ta"")"),"பனா")</f>
        <v>பனா</v>
      </c>
      <c r="M98" s="4" t="s">
        <v>1219</v>
      </c>
      <c r="N98" s="3" t="str">
        <f ca="1">IFERROR(__xludf.DUMMYFUNCTION("GOOGLETRANSLATE(O98,""en"",""ta"")"),"தால்")</f>
        <v>தால்</v>
      </c>
      <c r="O98" s="4" t="s">
        <v>1220</v>
      </c>
      <c r="P98" s="3"/>
      <c r="Q98" s="3" t="str">
        <f ca="1">IFERROR(__xludf.DUMMYFUNCTION("GOOGLETRANSLATE(R98,""en"",""ta"")"),"உயரமான மரம், தண்டு உயரமாகவும், தடிமனாகவும், உள்ளங்கை வடிவ இலைகள் விசிறி வடிவமாகவும், இலைக்காம்பு வடிவமாகவும், விளிம்பு பலதரப்பட்டதாகவும் இருக்கும். மஞ்சரி ஸ்பேடிக்ஸ். ஆண் ஸ்பேடிக்ஸ் எளிமையான கிளைத்த, பெண் எளிமையான, பெரிய மற்றும் கோள வடிவ பழம். ஒரு பெரிய த"&amp;"ுணை-குளோபோஸ் ட்ரூப் பெரிகார்ப் சதைப்பற்றுள்ள, மீசோகார்ப் நார்ச்சத்துள்ள, பழத்தின் கூழ் உண்ணக்கூடியது.")</f>
        <v>உயரமான மரம், தண்டு உயரமாகவும், தடிமனாகவும், உள்ளங்கை வடிவ இலைகள் விசிறி வடிவமாகவும், இலைக்காம்பு வடிவமாகவும், விளிம்பு பலதரப்பட்டதாகவும் இருக்கும். மஞ்சரி ஸ்பேடிக்ஸ். ஆண் ஸ்பேடிக்ஸ் எளிமையான கிளைத்த, பெண் எளிமையான, பெரிய மற்றும் கோள வடிவ பழம். ஒரு பெரிய துணை-குளோபோஸ் ட்ரூப் பெரிகார்ப் சதைப்பற்றுள்ள, மீசோகார்ப் நார்ச்சத்துள்ள, பழத்தின் கூழ் உண்ணக்கூடியது.</v>
      </c>
      <c r="R98" s="4" t="s">
        <v>1221</v>
      </c>
      <c r="S98" s="3" t="str">
        <f ca="1">IFERROR(__xludf.DUMMYFUNCTION("GOOGLETRANSLATE(T98,""en"",""ta"")"),"இரைப்பை அழற்சி, விக்கல்.")</f>
        <v>இரைப்பை அழற்சி, விக்கல்.</v>
      </c>
      <c r="T98" s="4" t="s">
        <v>1222</v>
      </c>
      <c r="U98" s="3" t="str">
        <f ca="1">IFERROR(__xludf.DUMMYFUNCTION("GOOGLETRANSLATE(V98,""en"",""ta"")"),"#VALUE!")</f>
        <v>#VALUE!</v>
      </c>
      <c r="V98" s="3"/>
      <c r="W98" s="3" t="str">
        <f ca="1">IFERROR(__xludf.DUMMYFUNCTION("GOOGLETRANSLATE(X98,""en"",""ta"")"),"#VALUE!")</f>
        <v>#VALUE!</v>
      </c>
      <c r="X98" s="3"/>
      <c r="Y98" s="3" t="str">
        <f ca="1">IFERROR(__xludf.DUMMYFUNCTION("GOOGLETRANSLATE(Z98,""en"",""ta"")"),"#VALUE!")</f>
        <v>#VALUE!</v>
      </c>
      <c r="Z98" s="3"/>
      <c r="AA98" s="3" t="str">
        <f ca="1">IFERROR(__xludf.DUMMYFUNCTION("GOOGLETRANSLATE(AB98,""en"",""ta"")"),"#VALUE!")</f>
        <v>#VALUE!</v>
      </c>
      <c r="AB98" s="3"/>
      <c r="AC98" s="3" t="str">
        <f ca="1">IFERROR(__xludf.DUMMYFUNCTION("GOOGLETRANSLATE(AD98,""en"",""ta"")"),"#VALUE!")</f>
        <v>#VALUE!</v>
      </c>
      <c r="AD98" s="3"/>
      <c r="AE98" s="3" t="str">
        <f ca="1">IFERROR(__xludf.DUMMYFUNCTION("GOOGLETRANSLATE(AF98,""en"",""ta"")"),"#VALUE!")</f>
        <v>#VALUE!</v>
      </c>
      <c r="AF98" s="3"/>
      <c r="AG98" s="3" t="str">
        <f ca="1">IFERROR(__xludf.DUMMYFUNCTION("GOOGLETRANSLATE(AH98,""en"",""ta"")"),"#VALUE!")</f>
        <v>#VALUE!</v>
      </c>
      <c r="AH98" s="3"/>
      <c r="AI98" s="3" t="str">
        <f ca="1">IFERROR(__xludf.DUMMYFUNCTION("GOOGLETRANSLATE(AJ98,""en"",""ta"")"),"#VALUE!")</f>
        <v>#VALUE!</v>
      </c>
      <c r="AJ98" s="3"/>
      <c r="AK98" s="3" t="str">
        <f ca="1">IFERROR(__xludf.DUMMYFUNCTION("GOOGLETRANSLATE(AL98,""en"",""ta"")"),"#VALUE!")</f>
        <v>#VALUE!</v>
      </c>
      <c r="AL98" s="3"/>
      <c r="AM98" s="3" t="str">
        <f ca="1">IFERROR(__xludf.DUMMYFUNCTION("GOOGLETRANSLATE(AN98,""en"",""ta"")"),"#VALUE!")</f>
        <v>#VALUE!</v>
      </c>
      <c r="AN98" s="3"/>
      <c r="AO98" s="3" t="str">
        <f ca="1">IFERROR(__xludf.DUMMYFUNCTION("GOOGLETRANSLATE(AP98,""en"",""ta"")"),"நீரிழிவு நோய்")</f>
        <v>நீரிழிவு நோய்</v>
      </c>
      <c r="AP98" s="4" t="s">
        <v>1223</v>
      </c>
      <c r="AQ98" s="3"/>
      <c r="AR98" s="3" t="str">
        <f ca="1">IFERROR(__xludf.DUMMYFUNCTION("GOOGLETRANSLATE(AS98,""en"",""ta"")"),"குளிர்விக்கும், புத்துணர்ச்சியூட்டும், சிறுநீர் பெருக்கி, தூண்டும், மயக்க மருந்து மற்றும் ஊட்டச்சத்து மருந்து")</f>
        <v>குளிர்விக்கும், புத்துணர்ச்சியூட்டும், சிறுநீர் பெருக்கி, தூண்டும், மயக்க மருந்து மற்றும் ஊட்டச்சத்து மருந்து</v>
      </c>
      <c r="AS98" s="4" t="s">
        <v>1224</v>
      </c>
      <c r="AT98" s="3" t="str">
        <f ca="1">IFERROR(__xludf.DUMMYFUNCTION("GOOGLETRANSLATE(AU98,""en"",""ta"")"),"புரதங்கள், நிகோடினிக் அமிலம், கார்போஹைட்ரேட்டுகள், இரும்புச்சத்து, வைட்டமின் பி, தியாமின், ரிபோஃப்ளேவின், ஆல்புமினாய்டுகள்")</f>
        <v>புரதங்கள், நிகோடினிக் அமிலம், கார்போஹைட்ரேட்டுகள், இரும்புச்சத்து, வைட்டமின் பி, தியாமின், ரிபோஃப்ளேவின், ஆல்புமினாய்டுகள்</v>
      </c>
      <c r="AU98" s="4" t="s">
        <v>1225</v>
      </c>
      <c r="AV98" s="3"/>
      <c r="AW98" s="3" t="str">
        <f ca="1">IFERROR(__xludf.DUMMYFUNCTION("GOOGLETRANSLATE(AX98,""en"",""ta"")"),"i) டைபாய்டு நோயாளிகளுக்கு ஜவ்வரிசி கரைசல் ஒரு சிறந்த உணவாக வழங்கப்படுகிறது. ii) பட்டையின் கஷாயத்தை சிறிது உப்பு சேர்த்து கலந்து, ஈறுகள் மற்றும் பற்களை வலுப்படுத்த வாய் கொப்பளிக்க பயன்படுத்தலாம்.")</f>
        <v>i) டைபாய்டு நோயாளிகளுக்கு ஜவ்வரிசி கரைசல் ஒரு சிறந்த உணவாக வழங்கப்படுகிறது. ii) பட்டையின் கஷாயத்தை சிறிது உப்பு சேர்த்து கலந்து, ஈறுகள் மற்றும் பற்களை வலுப்படுத்த வாய் கொப்பளிக்க பயன்படுத்தலாம்.</v>
      </c>
      <c r="AX98" s="4" t="s">
        <v>2488</v>
      </c>
      <c r="AY98" s="3"/>
      <c r="AZ98" s="3"/>
      <c r="BA98" s="3"/>
      <c r="BB98" s="3"/>
      <c r="BC98" s="3"/>
      <c r="BD98" s="3"/>
      <c r="BE98" s="3"/>
      <c r="BF98" s="3"/>
    </row>
    <row r="99" spans="1:58" ht="140" x14ac:dyDescent="0.15">
      <c r="A99" s="3">
        <v>98</v>
      </c>
      <c r="B99" s="3" t="str">
        <f ca="1">IFERROR(__xludf.DUMMYFUNCTION("GOOGLETRANSLATE(C99,""en"",""ta"")"),"போஸ்வெல்லியா செராட்டா")</f>
        <v>போஸ்வெல்லியா செராட்டா</v>
      </c>
      <c r="C99" s="4" t="s">
        <v>1227</v>
      </c>
      <c r="D99" s="3" t="str">
        <f ca="1">IFERROR(__xludf.DUMMYFUNCTION("GOOGLETRANSLATE(E99,""en"",""ta"")"),"ஷல்லாகி")</f>
        <v>ஷல்லாகி</v>
      </c>
      <c r="E99" s="4" t="s">
        <v>1228</v>
      </c>
      <c r="F99" s="3" t="str">
        <f ca="1">IFERROR(__xludf.DUMMYFUNCTION("GOOGLETRANSLATE(G99,""en"",""ta"")"),"பரங்கி சாம்பிராணி")</f>
        <v>பரங்கி சாம்பிராணி</v>
      </c>
      <c r="G99" s="4" t="s">
        <v>1229</v>
      </c>
      <c r="H99" s="3" t="str">
        <f ca="1">IFERROR(__xludf.DUMMYFUNCTION("GOOGLETRANSLATE(I99,""en"",""ta"")"),"இந்திய எண்ணெய் வேப்பிலை மரம்")</f>
        <v>இந்திய எண்ணெய் வேப்பிலை மரம்</v>
      </c>
      <c r="I99" s="4" t="s">
        <v>1230</v>
      </c>
      <c r="J99" s="3" t="str">
        <f ca="1">IFERROR(__xludf.DUMMYFUNCTION("GOOGLETRANSLATE(K99,""en"",""ta"")"),"பிராங்கி சாம்பிராணி")</f>
        <v>பிராங்கி சாம்பிராணி</v>
      </c>
      <c r="K99" s="4" t="s">
        <v>1231</v>
      </c>
      <c r="L99" s="3" t="str">
        <f ca="1">IFERROR(__xludf.DUMMYFUNCTION("GOOGLETRANSLATE(M99,""en"",""ta"")"),"பரங்கி சாம்பிராணி")</f>
        <v>பரங்கி சாம்பிராணி</v>
      </c>
      <c r="M99" s="4" t="s">
        <v>1232</v>
      </c>
      <c r="N99" s="3" t="str">
        <f ca="1">IFERROR(__xludf.DUMMYFUNCTION("GOOGLETRANSLATE(O99,""en"",""ta"")"),"சாலை")</f>
        <v>சாலை</v>
      </c>
      <c r="O99" s="4" t="s">
        <v>1233</v>
      </c>
      <c r="Q99" s="3" t="str">
        <f ca="1">IFERROR(__xludf.DUMMYFUNCTION("GOOGLETRANSLATE(R99,""en"",""ta"")"),"காகிதப் பட்டையுடன் கூடிய ஒரு பெரிய மரம். இலைகள் இலையுதிர், மாற்று வடிவ, ஒற்றை சிறகு வடிவ, கிளைகளின் முனைகளில் கூட்டமாக, சிற்றிலைகள் ஆழமாக, அகன்ற பற்களுடைய, நீள்வட்ட, ஈட்டி வடிவ மற்றும் உரோமங்களுடையவை. மலர் ஹெர்மோஃப்ரோடைட் சிறியது மற்றும் பேனிக்கிள்களில் க"&amp;"ாணப்படும். பழங்கள் ட்ரூப் முட்டை வடிவானது, முக்கோணமானது. விதைகள் சுருக்கப்பட்ட கடினமான மற்றும் இறக்கைகள் கொண்டவை.")</f>
        <v>காகிதப் பட்டையுடன் கூடிய ஒரு பெரிய மரம். இலைகள் இலையுதிர், மாற்று வடிவ, ஒற்றை சிறகு வடிவ, கிளைகளின் முனைகளில் கூட்டமாக, சிற்றிலைகள் ஆழமாக, அகன்ற பற்களுடைய, நீள்வட்ட, ஈட்டி வடிவ மற்றும் உரோமங்களுடையவை. மலர் ஹெர்மோஃப்ரோடைட் சிறியது மற்றும் பேனிக்கிள்களில் காணப்படும். பழங்கள் ட்ரூப் முட்டை வடிவானது, முக்கோணமானது. விதைகள் சுருக்கப்பட்ட கடினமான மற்றும் இறக்கைகள் கொண்டவை.</v>
      </c>
      <c r="R99" s="4" t="s">
        <v>1234</v>
      </c>
      <c r="S99" s="3" t="str">
        <f ca="1">IFERROR(__xludf.DUMMYFUNCTION("GOOGLETRANSLATE(T99,""en"",""ta"")"),"#VALUE!")</f>
        <v>#VALUE!</v>
      </c>
      <c r="T99" s="3"/>
      <c r="U99" s="3" t="str">
        <f ca="1">IFERROR(__xludf.DUMMYFUNCTION("GOOGLETRANSLATE(V99,""en"",""ta"")"),"#VALUE!")</f>
        <v>#VALUE!</v>
      </c>
      <c r="V99" s="3"/>
      <c r="W99" s="3" t="str">
        <f ca="1">IFERROR(__xludf.DUMMYFUNCTION("GOOGLETRANSLATE(X99,""en"",""ta"")"),"#VALUE!")</f>
        <v>#VALUE!</v>
      </c>
      <c r="X99" s="3"/>
      <c r="Y99" s="3" t="str">
        <f ca="1">IFERROR(__xludf.DUMMYFUNCTION("GOOGLETRANSLATE(Z99,""en"",""ta"")"),"#VALUE!")</f>
        <v>#VALUE!</v>
      </c>
      <c r="Z99" s="3"/>
      <c r="AA99" s="3" t="str">
        <f ca="1">IFERROR(__xludf.DUMMYFUNCTION("GOOGLETRANSLATE(AB99,""en"",""ta"")"),"ஆஸ்துமா, வயிற்றுப்போக்கு, மூல நோய் மற்றும் தோல் நோய்கள்.")</f>
        <v>ஆஸ்துமா, வயிற்றுப்போக்கு, மூல நோய் மற்றும் தோல் நோய்கள்.</v>
      </c>
      <c r="AB99" s="4" t="s">
        <v>1235</v>
      </c>
      <c r="AC99" s="3" t="str">
        <f ca="1">IFERROR(__xludf.DUMMYFUNCTION("GOOGLETRANSLATE(AD99,""en"",""ta"")"),"காய்ச்சல், வலிப்பு, வயிற்றுப்போக்கு, வயிற்றுப்போக்கு, மூல நோய், சிறுநீர்க்குழாய் அழற்சி, மூச்சுக்குழாய் அழற்சி, ஸ்டோமாடிடிஸ், மூட்டுவலி, மஞ்சள் காமாலை மற்றும் தோல் நோய்கள்.")</f>
        <v>காய்ச்சல், வலிப்பு, வயிற்றுப்போக்கு, வயிற்றுப்போக்கு, மூல நோய், சிறுநீர்க்குழாய் அழற்சி, மூச்சுக்குழாய் அழற்சி, ஸ்டோமாடிடிஸ், மூட்டுவலி, மஞ்சள் காமாலை மற்றும் தோல் நோய்கள்.</v>
      </c>
      <c r="AD99" s="4" t="s">
        <v>1236</v>
      </c>
      <c r="AE99" s="3" t="str">
        <f ca="1">IFERROR(__xludf.DUMMYFUNCTION("GOOGLETRANSLATE(AF99,""en"",""ta"")"),"#VALUE!")</f>
        <v>#VALUE!</v>
      </c>
      <c r="AF99" s="3"/>
      <c r="AG99" s="3" t="str">
        <f ca="1">IFERROR(__xludf.DUMMYFUNCTION("GOOGLETRANSLATE(AH99,""en"",""ta"")"),"#VALUE!")</f>
        <v>#VALUE!</v>
      </c>
      <c r="AH99" s="3"/>
      <c r="AI99" s="3" t="str">
        <f ca="1">IFERROR(__xludf.DUMMYFUNCTION("GOOGLETRANSLATE(AJ99,""en"",""ta"")"),"#VALUE!")</f>
        <v>#VALUE!</v>
      </c>
      <c r="AJ99" s="3"/>
      <c r="AK99" s="3" t="str">
        <f ca="1">IFERROR(__xludf.DUMMYFUNCTION("GOOGLETRANSLATE(AL99,""en"",""ta"")"),"#VALUE!")</f>
        <v>#VALUE!</v>
      </c>
      <c r="AL99" s="3"/>
      <c r="AM99" s="3" t="str">
        <f ca="1">IFERROR(__xludf.DUMMYFUNCTION("GOOGLETRANSLATE(AN99,""en"",""ta"")"),"#VALUE!")</f>
        <v>#VALUE!</v>
      </c>
      <c r="AN99" s="3"/>
      <c r="AO99" s="3" t="str">
        <f ca="1">IFERROR(__xludf.DUMMYFUNCTION("GOOGLETRANSLATE(AP99,""en"",""ta"")"),"#VALUE!")</f>
        <v>#VALUE!</v>
      </c>
      <c r="AP99" s="3"/>
      <c r="AQ99" s="3"/>
      <c r="AR99" s="3" t="str">
        <f ca="1">IFERROR(__xludf.DUMMYFUNCTION("GOOGLETRANSLATE(AS99,""en"",""ta"")"),"டயாஃபோரெடிக், டையூரிடிக், டானிக், எக்ஸ்பெக்டரண்ட், ஆன்டிபிரைடிக், ஆன்டிடிஸ்சென்ட்ரிக், ஆண்டிசெப்டிக் மற்றும் எம்மெனாகோக்.")</f>
        <v>டயாஃபோரெடிக், டையூரிடிக், டானிக், எக்ஸ்பெக்டரண்ட், ஆன்டிபிரைடிக், ஆன்டிடிஸ்சென்ட்ரிக், ஆண்டிசெப்டிக் மற்றும் எம்மெனாகோக்.</v>
      </c>
      <c r="AS99" s="4" t="s">
        <v>1237</v>
      </c>
      <c r="AT99" s="3" t="str">
        <f ca="1">IFERROR(__xludf.DUMMYFUNCTION("GOOGLETRANSLATE(AU99,""en"",""ta"")"),"பி-போஸ்வெலிக் அமிலம், செரட்டால், மெத்தில் சாவிகால், டைட்டர்பீன் ஆல்கஹால், போர்னைல் அசிடேட் மற்றும் பி-டெர்பெனால்.")</f>
        <v>பி-போஸ்வெலிக் அமிலம், செரட்டால், மெத்தில் சாவிகால், டைட்டர்பீன் ஆல்கஹால், போர்னைல் அசிடேட் மற்றும் பி-டெர்பெனால்.</v>
      </c>
      <c r="AU99" s="4" t="s">
        <v>1238</v>
      </c>
      <c r="AV99" s="3"/>
      <c r="AW99" s="3" t="str">
        <f ca="1">IFERROR(__xludf.DUMMYFUNCTION("GOOGLETRANSLATE(AX99,""en"",""ta"")"),"i) கோந்து பிசினை தேங்காய் எண்ணெயுடன் கொதிக்க வைத்து நாள்பட்ட புண்களுக்குப் பயன்படுத்தப்படுகிறது. ii) ஆண் மலட்டுத்தன்மைக்கு கோந்து பிசின் தூள் வழங்கப்படுகிறது.")</f>
        <v>i) கோந்து பிசினை தேங்காய் எண்ணெயுடன் கொதிக்க வைத்து நாள்பட்ட புண்களுக்குப் பயன்படுத்தப்படுகிறது. ii) ஆண் மலட்டுத்தன்மைக்கு கோந்து பிசின் தூள் வழங்கப்படுகிறது.</v>
      </c>
      <c r="AX99" s="4" t="s">
        <v>2489</v>
      </c>
      <c r="AY99" s="3"/>
      <c r="AZ99" s="3"/>
      <c r="BA99" s="3"/>
      <c r="BB99" s="3"/>
      <c r="BC99" s="3"/>
      <c r="BD99" s="3"/>
      <c r="BE99" s="3"/>
      <c r="BF99" s="3"/>
    </row>
    <row r="100" spans="1:58" ht="42" x14ac:dyDescent="0.15">
      <c r="A100" s="3">
        <v>99</v>
      </c>
      <c r="B100" s="3" t="str">
        <f ca="1">IFERROR(__xludf.DUMMYFUNCTION("GOOGLETRANSLATE(C100,""en"",""ta"")"),"பிராசிகா ஆல்பா")</f>
        <v>பிராசிகா ஆல்பா</v>
      </c>
      <c r="C100" s="4" t="s">
        <v>1240</v>
      </c>
      <c r="D100" s="3" t="str">
        <f ca="1">IFERROR(__xludf.DUMMYFUNCTION("GOOGLETRANSLATE(E100,""en"",""ta"")"),"ஸ்வேதா சரிஷா")</f>
        <v>ஸ்வேதா சரிஷா</v>
      </c>
      <c r="E100" s="4" t="s">
        <v>1241</v>
      </c>
      <c r="F100" s="3" t="str">
        <f ca="1">IFERROR(__xludf.DUMMYFUNCTION("GOOGLETRANSLATE(G100,""en"",""ta"")"),"வெள்ளை கடுகு")</f>
        <v>வெள்ளை கடுகு</v>
      </c>
      <c r="G100" s="4" t="s">
        <v>1242</v>
      </c>
      <c r="H100" s="3" t="str">
        <f ca="1">IFERROR(__xludf.DUMMYFUNCTION("GOOGLETRANSLATE(I100,""en"",""ta"")"),"வெள்ளை கடுகு")</f>
        <v>வெள்ளை கடுகு</v>
      </c>
      <c r="I100" s="4" t="s">
        <v>1243</v>
      </c>
      <c r="J100" s="3" t="str">
        <f ca="1">IFERROR(__xludf.DUMMYFUNCTION("GOOGLETRANSLATE(K100,""en"",""ta"")"),"அவலு")</f>
        <v>அவலு</v>
      </c>
      <c r="K100" s="4" t="s">
        <v>1244</v>
      </c>
      <c r="L100" s="3" t="str">
        <f ca="1">IFERROR(__xludf.DUMMYFUNCTION("GOOGLETRANSLATE(M100,""en"",""ta"")"),"வெல்ல கடுகு")</f>
        <v>வெல்ல கடுகு</v>
      </c>
      <c r="M100" s="4" t="s">
        <v>1245</v>
      </c>
      <c r="N100" s="3" t="str">
        <f ca="1">IFERROR(__xludf.DUMMYFUNCTION("GOOGLETRANSLATE(O100,""en"",""ta"")"),"சுஃபெட்ராய்")</f>
        <v>சுஃபெட்ராய்</v>
      </c>
      <c r="O100" s="4" t="s">
        <v>1246</v>
      </c>
      <c r="P100" s="3"/>
      <c r="Q100" s="3" t="str">
        <f ca="1">IFERROR(__xludf.DUMMYFUNCTION("GOOGLETRANSLATE(R100,""en"",""ta"")"),"மூலிகைகள், அடிப்பகுதியில் மரத்தாலானவை, காரமான சாறுடன். இலைகள் மாறி மாறி, இலைக்காம்புகள் மற்றும் மடல்கள் கொண்டவை. மஞ்சரி ஒரு ரெசீம், முனை அல்லது இலைக்கோணங்களில் அமைந்திருக்கும். பூக்கள் மஞ்சள் நிறத்தில் இருக்கும். பழங்கள் சிறிய, வெள்ளை நிற விதைகளுடன் கூடிய"&amp;" காய்கள்.")</f>
        <v>மூலிகைகள், அடிப்பகுதியில் மரத்தாலானவை, காரமான சாறுடன். இலைகள் மாறி மாறி, இலைக்காம்புகள் மற்றும் மடல்கள் கொண்டவை. மஞ்சரி ஒரு ரெசீம், முனை அல்லது இலைக்கோணங்களில் அமைந்திருக்கும். பூக்கள் மஞ்சள் நிறத்தில் இருக்கும். பழங்கள் சிறிய, வெள்ளை நிற விதைகளுடன் கூடிய காய்கள்.</v>
      </c>
      <c r="R100" s="4" t="s">
        <v>1247</v>
      </c>
      <c r="S100" s="3" t="str">
        <f ca="1">IFERROR(__xludf.DUMMYFUNCTION("GOOGLETRANSLATE(T100,""en"",""ta"")"),"#VALUE!")</f>
        <v>#VALUE!</v>
      </c>
      <c r="T100" s="3"/>
      <c r="U100" s="3" t="str">
        <f ca="1">IFERROR(__xludf.DUMMYFUNCTION("GOOGLETRANSLATE(V100,""en"",""ta"")"),"#VALUE!")</f>
        <v>#VALUE!</v>
      </c>
      <c r="V100" s="3"/>
      <c r="W100" s="3" t="str">
        <f ca="1">IFERROR(__xludf.DUMMYFUNCTION("GOOGLETRANSLATE(X100,""en"",""ta"")"),"#VALUE!")</f>
        <v>#VALUE!</v>
      </c>
      <c r="X100" s="3"/>
      <c r="Y100" s="3" t="str">
        <f ca="1">IFERROR(__xludf.DUMMYFUNCTION("GOOGLETRANSLATE(Z100,""en"",""ta"")"),"#VALUE!")</f>
        <v>#VALUE!</v>
      </c>
      <c r="Z100" s="3"/>
      <c r="AA100" s="3" t="str">
        <f ca="1">IFERROR(__xludf.DUMMYFUNCTION("GOOGLETRANSLATE(AB100,""en"",""ta"")"),"#VALUE!")</f>
        <v>#VALUE!</v>
      </c>
      <c r="AB100" s="3"/>
      <c r="AC100" s="3" t="str">
        <f ca="1">IFERROR(__xludf.DUMMYFUNCTION("GOOGLETRANSLATE(AD100,""en"",""ta"")"),"#VALUE!")</f>
        <v>#VALUE!</v>
      </c>
      <c r="AD100" s="3"/>
      <c r="AE100" s="3" t="str">
        <f ca="1">IFERROR(__xludf.DUMMYFUNCTION("GOOGLETRANSLATE(AF100,""en"",""ta"")"),"#VALUE!")</f>
        <v>#VALUE!</v>
      </c>
      <c r="AF100" s="3"/>
      <c r="AG100" s="3" t="str">
        <f ca="1">IFERROR(__xludf.DUMMYFUNCTION("GOOGLETRANSLATE(AH100,""en"",""ta"")"),"#VALUE!")</f>
        <v>#VALUE!</v>
      </c>
      <c r="AH100" s="3"/>
      <c r="AI100" s="3" t="str">
        <f ca="1">IFERROR(__xludf.DUMMYFUNCTION("GOOGLETRANSLATE(AJ100,""en"",""ta"")"),"#VALUE!")</f>
        <v>#VALUE!</v>
      </c>
      <c r="AJ100" s="3"/>
      <c r="AK100" s="3" t="str">
        <f ca="1">IFERROR(__xludf.DUMMYFUNCTION("GOOGLETRANSLATE(AL100,""en"",""ta"")"),"#VALUE!")</f>
        <v>#VALUE!</v>
      </c>
      <c r="AL100" s="3"/>
      <c r="AM100" s="3" t="str">
        <f ca="1">IFERROR(__xludf.DUMMYFUNCTION("GOOGLETRANSLATE(AN100,""en"",""ta"")"),"#VALUE!")</f>
        <v>#VALUE!</v>
      </c>
      <c r="AN100" s="3"/>
      <c r="AO100" s="3" t="str">
        <f ca="1">IFERROR(__xludf.DUMMYFUNCTION("GOOGLETRANSLATE(AP100,""en"",""ta"")"),"#VALUE!")</f>
        <v>#VALUE!</v>
      </c>
      <c r="AP100" s="3"/>
      <c r="AQ100" s="3"/>
      <c r="AR100" s="3" t="str">
        <f ca="1">IFERROR(__xludf.DUMMYFUNCTION("GOOGLETRANSLATE(AS100,""en"",""ta"")"),"வாந்தி நிவாரணி, நரம்பு டானிக், தூண்டுதல் மற்றும் சிறுநீர் பெருக்கி.")</f>
        <v>வாந்தி நிவாரணி, நரம்பு டானிக், தூண்டுதல் மற்றும் சிறுநீர் பெருக்கி.</v>
      </c>
      <c r="AS100" s="4" t="s">
        <v>1248</v>
      </c>
      <c r="AT100" s="3" t="str">
        <f ca="1">IFERROR(__xludf.DUMMYFUNCTION("GOOGLETRANSLATE(AU100,""en"",""ta"")"),"சினால்பின், சினால்பைன், லெசித்தின், மைரோசின், பொட்டாசியம், மெக்னீசியம் மற்றும் கால்சியம்.")</f>
        <v>சினால்பின், சினால்பைன், லெசித்தின், மைரோசின், பொட்டாசியம், மெக்னீசியம் மற்றும் கால்சியம்.</v>
      </c>
      <c r="AU100" s="4" t="s">
        <v>1249</v>
      </c>
      <c r="AV100" s="3"/>
      <c r="AW100" s="3" t="str">
        <f ca="1">IFERROR(__xludf.DUMMYFUNCTION("GOOGLETRANSLATE(AX100,""en"",""ta"")"),"i) கால்-கை வலிப்பு மற்றும் ஹிஸ்டீரியாவுக்கு விதைகளை உட்புறமாக செலுத்துவது நன்மை பயக்கும். ii) விதைகளிலிருந்து தயாரிக்கப்பட்ட லைனிமென்ட் 
வீங்கிய மூட்டுகளில் பயன்படுத்தப்படுகிறது.")</f>
        <v>i) கால்-கை வலிப்பு மற்றும் ஹிஸ்டீரியாவுக்கு விதைகளை உட்புறமாக செலுத்துவது நன்மை பயக்கும். ii) விதைகளிலிருந்து தயாரிக்கப்பட்ட லைனிமென்ட் 
வீங்கிய மூட்டுகளில் பயன்படுத்தப்படுகிறது.</v>
      </c>
      <c r="AX100" s="4" t="s">
        <v>2490</v>
      </c>
      <c r="AY100" s="3"/>
      <c r="AZ100" s="3"/>
      <c r="BA100" s="3"/>
      <c r="BB100" s="3"/>
      <c r="BC100" s="3"/>
      <c r="BD100" s="3"/>
      <c r="BE100" s="3"/>
      <c r="BF100" s="3"/>
    </row>
    <row r="101" spans="1:58" ht="56" x14ac:dyDescent="0.15">
      <c r="A101" s="3">
        <v>100</v>
      </c>
      <c r="B101" s="3" t="str">
        <f ca="1">IFERROR(__xludf.DUMMYFUNCTION("GOOGLETRANSLATE(C101,""en"",""ta"")"),"பிராசிகா ஜுன்சியா")</f>
        <v>பிராசிகா ஜுன்சியா</v>
      </c>
      <c r="C101" s="4" t="s">
        <v>1251</v>
      </c>
      <c r="D101" s="3" t="str">
        <f ca="1">IFERROR(__xludf.DUMMYFUNCTION("GOOGLETRANSLATE(E101,""en"",""ta"")"),"ராஜிகா")</f>
        <v>ராஜிகா</v>
      </c>
      <c r="E101" s="4" t="s">
        <v>1252</v>
      </c>
      <c r="F101" s="3" t="str">
        <f ca="1">IFERROR(__xludf.DUMMYFUNCTION("GOOGLETRANSLATE(G101,""en"",""ta"")"),"கடுகு")</f>
        <v>கடுகு</v>
      </c>
      <c r="G101" s="4" t="s">
        <v>1253</v>
      </c>
      <c r="H101" s="3" t="str">
        <f ca="1">IFERROR(__xludf.DUMMYFUNCTION("GOOGLETRANSLATE(I101,""en"",""ta"")"),"பழுப்பு கடுகு")</f>
        <v>பழுப்பு கடுகு</v>
      </c>
      <c r="I101" s="4" t="s">
        <v>1254</v>
      </c>
      <c r="J101" s="3" t="str">
        <f ca="1">IFERROR(__xludf.DUMMYFUNCTION("GOOGLETRANSLATE(K101,""en"",""ta"")"),"அவலு")</f>
        <v>அவலு</v>
      </c>
      <c r="K101" s="4" t="s">
        <v>1244</v>
      </c>
      <c r="L101" s="3" t="str">
        <f ca="1">IFERROR(__xludf.DUMMYFUNCTION("GOOGLETRANSLATE(M101,""en"",""ta"")"),"கடுக")</f>
        <v>கடுக</v>
      </c>
      <c r="M101" s="4" t="s">
        <v>1255</v>
      </c>
      <c r="N101" s="3" t="str">
        <f ca="1">IFERROR(__xludf.DUMMYFUNCTION("GOOGLETRANSLATE(O101,""en"",""ta"")"),"அசல் ராய்")</f>
        <v>அசல் ராய்</v>
      </c>
      <c r="O101" s="4" t="s">
        <v>1256</v>
      </c>
      <c r="P101" s="3"/>
      <c r="Q101" s="3" t="str">
        <f ca="1">IFERROR(__xludf.DUMMYFUNCTION("GOOGLETRANSLATE(R101,""en"",""ta"")"),"மூலிகைகள், தண்டு கீழே மரத்தாலானதாகவும், மேலே மூலிகையாகவும், காரமான சாறுடன் காணப்படும். இலைகள் மாறி மாறி, தீவிரமானதாகவும், துளிர்விடும் தன்மையுடனும் இருக்கும். பூக்கள் பொதுவாக ரேசீம் மஞ்சரியில் காணப்படும் மற்றும் மஞ்சள் நிறத்தில் இருக்கும். பழங்கள் சிறிய ப"&amp;"ழுப்பு நிற விதைகளுடன் கூடிய காய்களுடன் இருக்கும்.")</f>
        <v>மூலிகைகள், தண்டு கீழே மரத்தாலானதாகவும், மேலே மூலிகையாகவும், காரமான சாறுடன் காணப்படும். இலைகள் மாறி மாறி, தீவிரமானதாகவும், துளிர்விடும் தன்மையுடனும் இருக்கும். பூக்கள் பொதுவாக ரேசீம் மஞ்சரியில் காணப்படும் மற்றும் மஞ்சள் நிறத்தில் இருக்கும். பழங்கள் சிறிய பழுப்பு நிற விதைகளுடன் கூடிய காய்களுடன் இருக்கும்.</v>
      </c>
      <c r="R101" s="4" t="s">
        <v>1257</v>
      </c>
      <c r="S101" s="3" t="str">
        <f ca="1">IFERROR(__xludf.DUMMYFUNCTION("GOOGLETRANSLATE(T101,""en"",""ta"")"),"#VALUE!")</f>
        <v>#VALUE!</v>
      </c>
      <c r="T101" s="3"/>
      <c r="U101" s="3" t="str">
        <f ca="1">IFERROR(__xludf.DUMMYFUNCTION("GOOGLETRANSLATE(V101,""en"",""ta"")"),"அழற்சி நரம்புத் தளர்ச்சி, வயிற்றுப் பெருங்குடல், பிடிவாதமான வாந்தி.")</f>
        <v>அழற்சி நரம்புத் தளர்ச்சி, வயிற்றுப் பெருங்குடல், பிடிவாதமான வாந்தி.</v>
      </c>
      <c r="V101" s="4" t="s">
        <v>1258</v>
      </c>
      <c r="W101" s="3" t="str">
        <f ca="1">IFERROR(__xludf.DUMMYFUNCTION("GOOGLETRANSLATE(X101,""en"",""ta"")"),"#VALUE!")</f>
        <v>#VALUE!</v>
      </c>
      <c r="X101" s="3"/>
      <c r="Y101" s="3" t="str">
        <f ca="1">IFERROR(__xludf.DUMMYFUNCTION("GOOGLETRANSLATE(Z101,""en"",""ta"")"),"#VALUE!")</f>
        <v>#VALUE!</v>
      </c>
      <c r="Z101" s="3"/>
      <c r="AA101" s="3" t="str">
        <f ca="1">IFERROR(__xludf.DUMMYFUNCTION("GOOGLETRANSLATE(AB101,""en"",""ta"")"),"#VALUE!")</f>
        <v>#VALUE!</v>
      </c>
      <c r="AB101" s="3"/>
      <c r="AC101" s="3" t="str">
        <f ca="1">IFERROR(__xludf.DUMMYFUNCTION("GOOGLETRANSLATE(AD101,""en"",""ta"")"),"#VALUE!")</f>
        <v>#VALUE!</v>
      </c>
      <c r="AD101" s="3"/>
      <c r="AE101" s="3" t="str">
        <f ca="1">IFERROR(__xludf.DUMMYFUNCTION("GOOGLETRANSLATE(AF101,""en"",""ta"")"),"#VALUE!")</f>
        <v>#VALUE!</v>
      </c>
      <c r="AF101" s="3"/>
      <c r="AG101" s="3" t="str">
        <f ca="1">IFERROR(__xludf.DUMMYFUNCTION("GOOGLETRANSLATE(AH101,""en"",""ta"")"),"#VALUE!")</f>
        <v>#VALUE!</v>
      </c>
      <c r="AH101" s="3"/>
      <c r="AI101" s="3" t="str">
        <f ca="1">IFERROR(__xludf.DUMMYFUNCTION("GOOGLETRANSLATE(AJ101,""en"",""ta"")"),"#VALUE!")</f>
        <v>#VALUE!</v>
      </c>
      <c r="AJ101" s="3"/>
      <c r="AK101" s="3" t="str">
        <f ca="1">IFERROR(__xludf.DUMMYFUNCTION("GOOGLETRANSLATE(AL101,""en"",""ta"")"),"குழந்தைகளுக்கு மார்பு வலி, தசை வாத நோய், கழுத்து விறைப்பு.")</f>
        <v>குழந்தைகளுக்கு மார்பு வலி, தசை வாத நோய், கழுத்து விறைப்பு.</v>
      </c>
      <c r="AL101" s="4" t="s">
        <v>1259</v>
      </c>
      <c r="AM101" s="3" t="str">
        <f ca="1">IFERROR(__xludf.DUMMYFUNCTION("GOOGLETRANSLATE(AN101,""en"",""ta"")"),"#VALUE!")</f>
        <v>#VALUE!</v>
      </c>
      <c r="AN101" s="3"/>
      <c r="AO101" s="3" t="str">
        <f ca="1">IFERROR(__xludf.DUMMYFUNCTION("GOOGLETRANSLATE(AP101,""en"",""ta"")"),"#VALUE!")</f>
        <v>#VALUE!</v>
      </c>
      <c r="AP101" s="3"/>
      <c r="AQ101" s="3"/>
      <c r="AR101" s="3" t="str">
        <f ca="1">IFERROR(__xludf.DUMMYFUNCTION("GOOGLETRANSLATE(AS101,""en"",""ta"")"),"டானிக், தூண்டுதல், எதிர்ப்பு-எரிச்சல் மற்றும் எம்மெனாகோக்.")</f>
        <v>டானிக், தூண்டுதல், எதிர்ப்பு-எரிச்சல் மற்றும் எம்மெனாகோக்.</v>
      </c>
      <c r="AS101" s="4" t="s">
        <v>1260</v>
      </c>
      <c r="AT101" s="3" t="str">
        <f ca="1">IFERROR(__xludf.DUMMYFUNCTION("GOOGLETRANSLATE(AU101,""en"",""ta"")"),"சினிகிரின், சினாபைன், குளுக்கோனாபைன், ஐசோதியோ சயனேட், மெத்தில், ஐசோபுரோபைல், அல்லைல், தியோபுரோபைல் மற்றும் பென்சைல் கலவைகள்.")</f>
        <v>சினிகிரின், சினாபைன், குளுக்கோனாபைன், ஐசோதியோ சயனேட், மெத்தில், ஐசோபுரோபைல், அல்லைல், தியோபுரோபைல் மற்றும் பென்சைல் கலவைகள்.</v>
      </c>
      <c r="AU101" s="4" t="s">
        <v>1261</v>
      </c>
      <c r="AV101" s="3"/>
      <c r="AW101" s="3" t="str">
        <f ca="1">IFERROR(__xludf.DUMMYFUNCTION("GOOGLETRANSLATE(AX101,""en"",""ta"")"),"i) கற்பூர எண்ணெயுடன் சேர்த்துப் பயன்படுத்துவது தசை வாத நோய் மற்றும் கழுத்து விறைப்பு ஆகியவற்றில் ஒரு சிறந்த தசைப்பிடிப்பை ஏற்படுத்துகிறது. ii) விதைகளிலிருந்து வரும் எண்ணெய் மார்பு நோய்களில் வெளிப்புற தூண்டுதலாகப் பயன்படுத்தப்படுகிறது.")</f>
        <v>i) கற்பூர எண்ணெயுடன் சேர்த்துப் பயன்படுத்துவது தசை வாத நோய் மற்றும் கழுத்து விறைப்பு ஆகியவற்றில் ஒரு சிறந்த தசைப்பிடிப்பை ஏற்படுத்துகிறது. ii) விதைகளிலிருந்து வரும் எண்ணெய் மார்பு நோய்களில் வெளிப்புற தூண்டுதலாகப் பயன்படுத்தப்படுகிறது.</v>
      </c>
      <c r="AX101" s="4" t="s">
        <v>2491</v>
      </c>
      <c r="AY101" s="3"/>
      <c r="AZ101" s="3"/>
      <c r="BA101" s="3"/>
      <c r="BB101" s="3"/>
      <c r="BC101" s="3"/>
      <c r="BD101" s="3"/>
      <c r="BE101" s="3"/>
      <c r="BF101" s="3"/>
    </row>
    <row r="102" spans="1:58" ht="112" x14ac:dyDescent="0.15">
      <c r="A102" s="3">
        <v>101</v>
      </c>
      <c r="B102" s="3" t="str">
        <f ca="1">IFERROR(__xludf.DUMMYFUNCTION("GOOGLETRANSLATE(C102,""en"",""ta"")"),"பிராசிகா நிக்ரா")</f>
        <v>பிராசிகா நிக்ரா</v>
      </c>
      <c r="C102" s="3" t="s">
        <v>1263</v>
      </c>
      <c r="D102" s="3" t="str">
        <f ca="1">IFERROR(__xludf.DUMMYFUNCTION("GOOGLETRANSLATE(E102,""en"",""ta"")"),"சர்ஷபாஹ்")</f>
        <v>சர்ஷபாஹ்</v>
      </c>
      <c r="E102" s="3" t="s">
        <v>1264</v>
      </c>
      <c r="F102" s="3" t="str">
        <f ca="1">IFERROR(__xludf.DUMMYFUNCTION("GOOGLETRANSLATE(G102,""en"",""ta"")"),"கருப்பு கடுகு")</f>
        <v>கருப்பு கடுகு</v>
      </c>
      <c r="G102" s="3" t="s">
        <v>1265</v>
      </c>
      <c r="H102" s="3" t="str">
        <f ca="1">IFERROR(__xludf.DUMMYFUNCTION("GOOGLETRANSLATE(I102,""en"",""ta"")"),"கருப்பு கடுகு")</f>
        <v>கருப்பு கடுகு</v>
      </c>
      <c r="I102" s="3" t="s">
        <v>1266</v>
      </c>
      <c r="J102" s="3" t="str">
        <f ca="1">IFERROR(__xludf.DUMMYFUNCTION("GOOGLETRANSLATE(K102,""en"",""ta"")"),"நல்லாவலு")</f>
        <v>நல்லாவலு</v>
      </c>
      <c r="K102" s="3" t="s">
        <v>1267</v>
      </c>
      <c r="L102" s="3" t="str">
        <f ca="1">IFERROR(__xludf.DUMMYFUNCTION("GOOGLETRANSLATE(M102,""en"",""ta"")"),"கடுக")</f>
        <v>கடுக</v>
      </c>
      <c r="M102" s="3" t="s">
        <v>1255</v>
      </c>
      <c r="N102" s="3" t="str">
        <f ca="1">IFERROR(__xludf.DUMMYFUNCTION("GOOGLETRANSLATE(O102,""en"",""ta"")"),"பனாரசி ரே")</f>
        <v>பனாரசி ரே</v>
      </c>
      <c r="O102" s="3" t="s">
        <v>1268</v>
      </c>
      <c r="P102" s="3"/>
      <c r="Q102" s="3" t="str">
        <f ca="1">IFERROR(__xludf.DUMMYFUNCTION("GOOGLETRANSLATE(R102,""en"",""ta"")"),"மூலிகைகள், தண்டுகள் கீழே மரத்தாலானவை மற்றும் மேலே மூலிகைச் செடிகள் காரமான சாறுடன் இருக்கும். 
இலைகள் மாறி மாறி, மடல் அல்லது பின்னாடிஃபிட், இலைக்காம்புகளுடன் இருக்கும். மஞ்சரி இலைக்கோணங்களில் அல்லது முனையத்தில் இருக்கும். பழங்கள் கொண்ட காய்கள். விதைகள் இர"&amp;"ுக்கும்.")</f>
        <v>மூலிகைகள், தண்டுகள் கீழே மரத்தாலானவை மற்றும் மேலே மூலிகைச் செடிகள் காரமான சாறுடன் இருக்கும். 
இலைகள் மாறி மாறி, மடல் அல்லது பின்னாடிஃபிட், இலைக்காம்புகளுடன் இருக்கும். மஞ்சரி இலைக்கோணங்களில் அல்லது முனையத்தில் இருக்கும். பழங்கள் கொண்ட காய்கள். விதைகள் இருக்கும்.</v>
      </c>
      <c r="R102" s="3" t="s">
        <v>1269</v>
      </c>
      <c r="S102" s="3" t="str">
        <f ca="1">IFERROR(__xludf.DUMMYFUNCTION("GOOGLETRANSLATE(T102,""en"",""ta"")"),"#VALUE!")</f>
        <v>#VALUE!</v>
      </c>
      <c r="T102" s="3"/>
      <c r="U102" s="3" t="str">
        <f ca="1">IFERROR(__xludf.DUMMYFUNCTION("GOOGLETRANSLATE(V102,""en"",""ta"")"),"கீல்வாதம், யூர்டிகேரியா, அழற்சி வீக்கம், 
பிளூரிசி, நிமோனியா, வாத நோய்.")</f>
        <v>கீல்வாதம், யூர்டிகேரியா, அழற்சி வீக்கம், 
பிளூரிசி, நிமோனியா, வாத நோய்.</v>
      </c>
      <c r="V102" s="3" t="s">
        <v>1270</v>
      </c>
      <c r="W102" s="3" t="str">
        <f ca="1">IFERROR(__xludf.DUMMYFUNCTION("GOOGLETRANSLATE(X102,""en"",""ta"")"),"#VALUE!")</f>
        <v>#VALUE!</v>
      </c>
      <c r="X102" s="3"/>
      <c r="Y102" s="3" t="str">
        <f ca="1">IFERROR(__xludf.DUMMYFUNCTION("GOOGLETRANSLATE(Z102,""en"",""ta"")"),"#VALUE!")</f>
        <v>#VALUE!</v>
      </c>
      <c r="Z102" s="3"/>
      <c r="AA102" s="3" t="str">
        <f ca="1">IFERROR(__xludf.DUMMYFUNCTION("GOOGLETRANSLATE(AB102,""en"",""ta"")"),"#VALUE!")</f>
        <v>#VALUE!</v>
      </c>
      <c r="AB102" s="3"/>
      <c r="AC102" s="3" t="str">
        <f ca="1">IFERROR(__xludf.DUMMYFUNCTION("GOOGLETRANSLATE(AD102,""en"",""ta"")"),"#VALUE!")</f>
        <v>#VALUE!</v>
      </c>
      <c r="AD102" s="3"/>
      <c r="AE102" s="3" t="str">
        <f ca="1">IFERROR(__xludf.DUMMYFUNCTION("GOOGLETRANSLATE(AF102,""en"",""ta"")"),"#VALUE!")</f>
        <v>#VALUE!</v>
      </c>
      <c r="AF102" s="3"/>
      <c r="AG102" s="3" t="str">
        <f ca="1">IFERROR(__xludf.DUMMYFUNCTION("GOOGLETRANSLATE(AH102,""en"",""ta"")"),"#VALUE!")</f>
        <v>#VALUE!</v>
      </c>
      <c r="AH102" s="3"/>
      <c r="AI102" s="3" t="str">
        <f ca="1">IFERROR(__xludf.DUMMYFUNCTION("GOOGLETRANSLATE(AJ102,""en"",""ta"")"),"#VALUE!")</f>
        <v>#VALUE!</v>
      </c>
      <c r="AJ102" s="3"/>
      <c r="AK102" s="3" t="str">
        <f ca="1">IFERROR(__xludf.DUMMYFUNCTION("GOOGLETRANSLATE(AL102,""en"",""ta"")"),"தொண்டை வலி, கடுமையான கொரைசா, தொண்டை அழற்சி, 
தசை நெரிசல், நாள்பட்ட தசை வாத நோய்")</f>
        <v>தொண்டை வலி, கடுமையான கொரைசா, தொண்டை அழற்சி, 
தசை நெரிசல், நாள்பட்ட தசை வாத நோய்</v>
      </c>
      <c r="AL102" s="3" t="s">
        <v>1271</v>
      </c>
      <c r="AM102" s="3" t="str">
        <f ca="1">IFERROR(__xludf.DUMMYFUNCTION("GOOGLETRANSLATE(AN102,""en"",""ta"")"),"#VALUE!")</f>
        <v>#VALUE!</v>
      </c>
      <c r="AN102" s="3"/>
      <c r="AO102" s="3" t="str">
        <f ca="1">IFERROR(__xludf.DUMMYFUNCTION("GOOGLETRANSLATE(AP102,""en"",""ta"")"),"#VALUE!")</f>
        <v>#VALUE!</v>
      </c>
      <c r="AP102" s="3"/>
      <c r="AQ102" s="3"/>
      <c r="AR102" s="3" t="str">
        <f ca="1">IFERROR(__xludf.DUMMYFUNCTION("GOOGLETRANSLATE(AS102,""en"",""ta"")"),"தூண்டுதல், லேசான எரிச்சலை எதிர்க்கும், வாந்தி, செரிமான, மலமிளக்கி, ருபேஃபேசியன்ட், வெசிகண்ட் மற்றும் கருவுறுதல் எதிர்ப்பு")</f>
        <v>தூண்டுதல், லேசான எரிச்சலை எதிர்க்கும், வாந்தி, செரிமான, மலமிளக்கி, ருபேஃபேசியன்ட், வெசிகண்ட் மற்றும் கருவுறுதல் எதிர்ப்பு</v>
      </c>
      <c r="AS102" s="4" t="s">
        <v>1272</v>
      </c>
      <c r="AT102" s="3" t="str">
        <f ca="1">IFERROR(__xludf.DUMMYFUNCTION("GOOGLETRANSLATE(AU102,""en"",""ta"")"),"சினிகிரின், சினாபைன், குளுக்கோசினோலேட்டுகள், 
குளுக்கோபிராசிசின், டோகோபெரோல்கள், லெசித்தின், 
பிராசிகாஸ்டெரால், கோலின், அல்லில்-ஐசோதியோசயனேட்டுகள், 
பென்சாயில் &amp; சின்னமோயில் கோலின் வழித்தோன்றல்கள்.")</f>
        <v>சினிகிரின், சினாபைன், குளுக்கோசினோலேட்டுகள், 
குளுக்கோபிராசிசின், டோகோபெரோல்கள், லெசித்தின், 
பிராசிகாஸ்டெரால், கோலின், அல்லில்-ஐசோதியோசயனேட்டுகள், 
பென்சாயில் &amp; சின்னமோயில் கோலின் வழித்தோன்றல்கள்.</v>
      </c>
      <c r="AU102" s="3" t="s">
        <v>1273</v>
      </c>
      <c r="AV102" s="3"/>
      <c r="AW102" s="3" t="str">
        <f ca="1">IFERROR(__xludf.DUMMYFUNCTION("GOOGLETRANSLATE(AX102,""en"",""ta"")"),"கீல்வாதம், 
சியாட்டிகா மற்றும் யூர்டிகேரியா ஆகியவற்றில் கடுகு பிளாஸ்டர்கள் பயன்படுத்தப்படுகின்றன. 2. குளிர்ந்த நீரில் தயாரிக்கப்பட்ட விதைகளின் ஒரு பூல்டிஸை 
நரம்பு மண்டலத்தின் புகார்களில் எரிச்சலை எதிர்க்கும் மருந்தாகப் பயன்படுத்தப்படுகிறது.")</f>
        <v>கீல்வாதம், 
சியாட்டிகா மற்றும் யூர்டிகேரியா ஆகியவற்றில் கடுகு பிளாஸ்டர்கள் பயன்படுத்தப்படுகின்றன. 2. குளிர்ந்த நீரில் தயாரிக்கப்பட்ட விதைகளின் ஒரு பூல்டிஸை 
நரம்பு மண்டலத்தின் புகார்களில் எரிச்சலை எதிர்க்கும் மருந்தாகப் பயன்படுத்தப்படுகிறது.</v>
      </c>
      <c r="AX102" s="3" t="s">
        <v>2492</v>
      </c>
      <c r="AY102" s="3"/>
      <c r="AZ102" s="3"/>
      <c r="BA102" s="3"/>
      <c r="BB102" s="3"/>
      <c r="BC102" s="3"/>
      <c r="BD102" s="3"/>
      <c r="BE102" s="3"/>
      <c r="BF102" s="3"/>
    </row>
    <row r="103" spans="1:58" ht="70" x14ac:dyDescent="0.15">
      <c r="A103" s="3">
        <v>102</v>
      </c>
      <c r="B103" s="3" t="str">
        <f ca="1">IFERROR(__xludf.DUMMYFUNCTION("GOOGLETRANSLATE(C103,""en"",""ta"")"),"பிராசிகா ஒலரேசியா")</f>
        <v>பிராசிகா ஒலரேசியா</v>
      </c>
      <c r="C103" s="3" t="s">
        <v>1275</v>
      </c>
      <c r="D103" s="3" t="str">
        <f ca="1">IFERROR(__xludf.DUMMYFUNCTION("GOOGLETRANSLATE(E103,""en"",""ta"")"),"கெம்புகா")</f>
        <v>கெம்புகா</v>
      </c>
      <c r="E103" s="3" t="s">
        <v>1276</v>
      </c>
      <c r="F103" s="3" t="str">
        <f ca="1">IFERROR(__xludf.DUMMYFUNCTION("GOOGLETRANSLATE(G103,""en"",""ta"")"),"முட்டை கோசே")</f>
        <v>முட்டை கோசே</v>
      </c>
      <c r="G103" s="3" t="s">
        <v>1277</v>
      </c>
      <c r="H103" s="3" t="str">
        <f ca="1">IFERROR(__xludf.DUMMYFUNCTION("GOOGLETRANSLATE(I103,""en"",""ta"")"),"முட்டைக்கோஸ்")</f>
        <v>முட்டைக்கோஸ்</v>
      </c>
      <c r="I103" s="4" t="s">
        <v>1278</v>
      </c>
      <c r="J103" s="3" t="str">
        <f ca="1">IFERROR(__xludf.DUMMYFUNCTION("GOOGLETRANSLATE(K103,""en"",""ta"")"),"கோசுகுடே")</f>
        <v>கோசுகுடே</v>
      </c>
      <c r="K103" s="3" t="s">
        <v>1279</v>
      </c>
      <c r="L103" s="3" t="str">
        <f ca="1">IFERROR(__xludf.DUMMYFUNCTION("GOOGLETRANSLATE(M103,""en"",""ta"")"),"முட்டை கோசே")</f>
        <v>முட்டை கோசே</v>
      </c>
      <c r="M103" s="3" t="s">
        <v>1280</v>
      </c>
      <c r="N103" s="3" t="str">
        <f ca="1">IFERROR(__xludf.DUMMYFUNCTION("GOOGLETRANSLATE(O103,""en"",""ta"")"),"
பேண்ட்-கோபி")</f>
        <v xml:space="preserve">
பேண்ட்-கோபி</v>
      </c>
      <c r="O103" s="3" t="s">
        <v>1281</v>
      </c>
      <c r="P103" s="3"/>
      <c r="Q103" s="3" t="str">
        <f ca="1">IFERROR(__xludf.DUMMYFUNCTION("GOOGLETRANSLATE(R103,""en"",""ta"")"),"ஆழமற்ற வேரூன்றிய இரண்டு ஆண்டுகளுக்கு ஒருமுறை வளரும் மூலிகை, மேலே மூலிகையின் கீழே மரத்தாலானது. இலைகள் 
பளபளப்பான, தீவிர இலைகள் உதிர்ந்து, பெரிய, மென்மையான அல்லது சுருக்கப்பட்ட 
அடர்த்தியான கோள வடிவ, தட்டையான அல்லது கூம்பு வடிவ, பச்சை வெள்ளை அல்லது அரிதாக "&amp;"சிவப்பு நிற தலை கொண்டவை.")</f>
        <v>ஆழமற்ற வேரூன்றிய இரண்டு ஆண்டுகளுக்கு ஒருமுறை வளரும் மூலிகை, மேலே மூலிகையின் கீழே மரத்தாலானது. இலைகள் 
பளபளப்பான, தீவிர இலைகள் உதிர்ந்து, பெரிய, மென்மையான அல்லது சுருக்கப்பட்ட 
அடர்த்தியான கோள வடிவ, தட்டையான அல்லது கூம்பு வடிவ, பச்சை வெள்ளை அல்லது அரிதாக சிவப்பு நிற தலை கொண்டவை.</v>
      </c>
      <c r="R103" s="3" t="s">
        <v>1282</v>
      </c>
      <c r="S103" s="3" t="str">
        <f ca="1">IFERROR(__xludf.DUMMYFUNCTION("GOOGLETRANSLATE(T103,""en"",""ta"")"),"#VALUE!")</f>
        <v>#VALUE!</v>
      </c>
      <c r="T103" s="3"/>
      <c r="U103" s="3" t="str">
        <f ca="1">IFERROR(__xludf.DUMMYFUNCTION("GOOGLETRANSLATE(V103,""en"",""ta"")"),"#VALUE!")</f>
        <v>#VALUE!</v>
      </c>
      <c r="V103" s="3"/>
      <c r="W103" s="3" t="str">
        <f ca="1">IFERROR(__xludf.DUMMYFUNCTION("GOOGLETRANSLATE(X103,""en"",""ta"")"),"#VALUE!")</f>
        <v>#VALUE!</v>
      </c>
      <c r="X103" s="3"/>
      <c r="Y103" s="3" t="str">
        <f ca="1">IFERROR(__xludf.DUMMYFUNCTION("GOOGLETRANSLATE(Z103,""en"",""ta"")"),"#VALUE!")</f>
        <v>#VALUE!</v>
      </c>
      <c r="Z103" s="3"/>
      <c r="AA103" s="3" t="str">
        <f ca="1">IFERROR(__xludf.DUMMYFUNCTION("GOOGLETRANSLATE(AB103,""en"",""ta"")"),"#VALUE!")</f>
        <v>#VALUE!</v>
      </c>
      <c r="AB103" s="3"/>
      <c r="AC103" s="3" t="str">
        <f ca="1">IFERROR(__xludf.DUMMYFUNCTION("GOOGLETRANSLATE(AD103,""en"",""ta"")"),"#VALUE!")</f>
        <v>#VALUE!</v>
      </c>
      <c r="AD103" s="3"/>
      <c r="AE103" s="3" t="str">
        <f ca="1">IFERROR(__xludf.DUMMYFUNCTION("GOOGLETRANSLATE(AF103,""en"",""ta"")"),"#VALUE!")</f>
        <v>#VALUE!</v>
      </c>
      <c r="AF103" s="3"/>
      <c r="AG103" s="3" t="str">
        <f ca="1">IFERROR(__xludf.DUMMYFUNCTION("GOOGLETRANSLATE(AH103,""en"",""ta"")"),"#VALUE!")</f>
        <v>#VALUE!</v>
      </c>
      <c r="AH103" s="3"/>
      <c r="AI103" s="3" t="str">
        <f ca="1">IFERROR(__xludf.DUMMYFUNCTION("GOOGLETRANSLATE(AJ103,""en"",""ta"")"),"#VALUE!")</f>
        <v>#VALUE!</v>
      </c>
      <c r="AJ103" s="3"/>
      <c r="AK103" s="3" t="str">
        <f ca="1">IFERROR(__xludf.DUMMYFUNCTION("GOOGLETRANSLATE(AL103,""en"",""ta"")"),"#VALUE!")</f>
        <v>#VALUE!</v>
      </c>
      <c r="AL103" s="3"/>
      <c r="AM103" s="3" t="str">
        <f ca="1">IFERROR(__xludf.DUMMYFUNCTION("GOOGLETRANSLATE(AN103,""en"",""ta"")"),"#VALUE!")</f>
        <v>#VALUE!</v>
      </c>
      <c r="AN103" s="3"/>
      <c r="AO103" s="3" t="str">
        <f ca="1">IFERROR(__xludf.DUMMYFUNCTION("GOOGLETRANSLATE(AP103,""en"",""ta"")"),"#VALUE!")</f>
        <v>#VALUE!</v>
      </c>
      <c r="AP103" s="3"/>
      <c r="AQ103" s="3"/>
      <c r="AR103" s="3" t="str">
        <f ca="1">IFERROR(__xludf.DUMMYFUNCTION("GOOGLETRANSLATE(AS103,""en"",""ta"")"),"அழற்சி எதிர்ப்பு, இதய டானிக், ஃபெப்ரிஃபியூஜ், 
ஆக்ஸிஜனேற்ற எதிர்ப்பு, டையூரிடிக் மற்றும் மலமிளக்கி.")</f>
        <v>அழற்சி எதிர்ப்பு, இதய டானிக், ஃபெப்ரிஃபியூஜ், 
ஆக்ஸிஜனேற்ற எதிர்ப்பு, டையூரிடிக் மற்றும் மலமிளக்கி.</v>
      </c>
      <c r="AS103" s="3" t="s">
        <v>1283</v>
      </c>
      <c r="AT103" s="3" t="str">
        <f ca="1">IFERROR(__xludf.DUMMYFUNCTION("GOOGLETRANSLATE(AU103,""en"",""ta"")"),"ஐசோதியோசயனேட்டுகள், சினிகிரின், குளுக்கோப்ராசிசின், 
குவெர்செடின், கேம்ப்ஃபெரால், குளுட்டமைன், வைட்டமின் சி, கே, 
ஐசோர்ஹாமெடின் மற்றும் புரோகோயிட்ரின்.")</f>
        <v>ஐசோதியோசயனேட்டுகள், சினிகிரின், குளுக்கோப்ராசிசின், 
குவெர்செடின், கேம்ப்ஃபெரால், குளுட்டமைன், வைட்டமின் சி, கே, 
ஐசோர்ஹாமெடின் மற்றும் புரோகோயிட்ரின்.</v>
      </c>
      <c r="AU103" s="3" t="s">
        <v>1284</v>
      </c>
      <c r="AV103" s="3"/>
      <c r="AW103" s="3" t="str">
        <f ca="1">IFERROR(__xludf.DUMMYFUNCTION("GOOGLETRANSLATE(AX103,""en"",""ta"")"),"இலைகளை நசுக்கி 
கொப்புளங்கள் மீது தடவ வேண்டும். 2. முட்டைக்கோஸ் சாறு வயிற்றுப் புண்களைக் குணப்படுத்துகிறது 
மற்றும் இரத்தப்போக்கை நிறுத்துகிறது.")</f>
        <v>இலைகளை நசுக்கி 
கொப்புளங்கள் மீது தடவ வேண்டும். 2. முட்டைக்கோஸ் சாறு வயிற்றுப் புண்களைக் குணப்படுத்துகிறது 
மற்றும் இரத்தப்போக்கை நிறுத்துகிறது.</v>
      </c>
      <c r="AX103" s="3" t="s">
        <v>1285</v>
      </c>
      <c r="AY103" s="3"/>
      <c r="AZ103" s="3"/>
      <c r="BA103" s="3"/>
      <c r="BB103" s="3"/>
      <c r="BC103" s="3"/>
      <c r="BD103" s="3"/>
      <c r="BE103" s="3"/>
      <c r="BF103" s="3"/>
    </row>
    <row r="104" spans="1:58" ht="84" x14ac:dyDescent="0.15">
      <c r="A104" s="3">
        <v>103</v>
      </c>
      <c r="B104" s="3" t="str">
        <f ca="1">IFERROR(__xludf.DUMMYFUNCTION("GOOGLETRANSLATE(C104,""en"",""ta"")"),"புக்கனானியா லான்சான்")</f>
        <v>புக்கனானியா லான்சான்</v>
      </c>
      <c r="C104" s="3" t="s">
        <v>1286</v>
      </c>
      <c r="D104" s="3" t="str">
        <f ca="1">IFERROR(__xludf.DUMMYFUNCTION("GOOGLETRANSLATE(E104,""en"",""ta"")"),"தப்ஸ்யா")</f>
        <v>தப்ஸ்யா</v>
      </c>
      <c r="E104" s="4" t="s">
        <v>1287</v>
      </c>
      <c r="F104" s="3" t="str">
        <f ca="1">IFERROR(__xludf.DUMMYFUNCTION("GOOGLETRANSLATE(G104,""en"",""ta"")")," சரபருப்பு")</f>
        <v xml:space="preserve"> சரபருப்பு</v>
      </c>
      <c r="G104" s="3" t="s">
        <v>1288</v>
      </c>
      <c r="H104" s="3" t="str">
        <f ca="1">IFERROR(__xludf.DUMMYFUNCTION("GOOGLETRANSLATE(I104,""en"",""ta"")"),"பாதாம் மரம்")</f>
        <v>பாதாம் மரம்</v>
      </c>
      <c r="I104" s="3" t="s">
        <v>1289</v>
      </c>
      <c r="J104" s="3" t="str">
        <f ca="1">IFERROR(__xludf.DUMMYFUNCTION("GOOGLETRANSLATE(K104,""en"",""ta"")"),"சரபாப்பு")</f>
        <v>சரபாப்பு</v>
      </c>
      <c r="K104" s="3" t="s">
        <v>1290</v>
      </c>
      <c r="L104" s="3" t="str">
        <f ca="1">IFERROR(__xludf.DUMMYFUNCTION("GOOGLETRANSLATE(M104,""en"",""ta"")"),"முங்கா பேரா")</f>
        <v>முங்கா பேரா</v>
      </c>
      <c r="M104" s="4" t="s">
        <v>1291</v>
      </c>
      <c r="N104" s="3" t="str">
        <f ca="1">IFERROR(__xludf.DUMMYFUNCTION("GOOGLETRANSLATE(O104,""en"",""ta"")"),"பியார்")</f>
        <v>பியார்</v>
      </c>
      <c r="O104" s="4" t="s">
        <v>1292</v>
      </c>
      <c r="P104" s="3"/>
      <c r="Q104" s="3" t="str">
        <f ca="1">IFERROR(__xludf.DUMMYFUNCTION("GOOGLETRANSLATE(R104,""en"",""ta"")"),"மரங்கள், இலைகள் எளிமையானவை, மாற்று வடிவானது, இலைக்காம்பு வடிவானது, பொதுவாக கோரியேசியஸ் மற்றும் முழுமையானது. இலைக்காம்பு தடிமனான, முக்கிய நரம்புகள் நேராகவும் இணையாகவும் இருக்கும். மஞ்சரி நுனி மற்றும் இலைக்கோணங்களில் கிளைத்த பேனிக்கிள்கள், உரோமங்களுடையது. ம"&amp;"லர்கள் சிறியவை, வெள்ளை ஹெர்மோஃப்ரோடைட். பழங்கள் லெண்டிகுலர் ட்ரூப். விதைகள் கிப்பஸ், ஒரு முனையில் கூரியவை.")</f>
        <v>மரங்கள், இலைகள் எளிமையானவை, மாற்று வடிவானது, இலைக்காம்பு வடிவானது, பொதுவாக கோரியேசியஸ் மற்றும் முழுமையானது. இலைக்காம்பு தடிமனான, முக்கிய நரம்புகள் நேராகவும் இணையாகவும் இருக்கும். மஞ்சரி நுனி மற்றும் இலைக்கோணங்களில் கிளைத்த பேனிக்கிள்கள், உரோமங்களுடையது. மலர்கள் சிறியவை, வெள்ளை ஹெர்மோஃப்ரோடைட். பழங்கள் லெண்டிகுலர் ட்ரூப். விதைகள் கிப்பஸ், ஒரு முனையில் கூரியவை.</v>
      </c>
      <c r="R104" s="4" t="s">
        <v>1293</v>
      </c>
      <c r="S104" s="3" t="str">
        <f ca="1">IFERROR(__xludf.DUMMYFUNCTION("GOOGLETRANSLATE(T104,""en"",""ta"")"),"தொழுநோய், தோல் நோய்கள், வயிற்றுப்போக்கு.")</f>
        <v>தொழுநோய், தோல் நோய்கள், வயிற்றுப்போக்கு.</v>
      </c>
      <c r="T104" s="3" t="s">
        <v>1294</v>
      </c>
      <c r="U104" s="3" t="str">
        <f ca="1">IFERROR(__xludf.DUMMYFUNCTION("GOOGLETRANSLATE(V104,""en"",""ta"")"),"#VALUE!")</f>
        <v>#VALUE!</v>
      </c>
      <c r="V104" s="3"/>
      <c r="W104" s="3" t="str">
        <f ca="1">IFERROR(__xludf.DUMMYFUNCTION("GOOGLETRANSLATE(X104,""en"",""ta"")"),"ஹைப்பர்டிப்சியா, எரியும் உணர்வு, மூச்சுக்குழாய் அழற்சி, 
டிஸ்பெப்சியா, வாய்வு மற்றும் தோல் நோய்கள்.")</f>
        <v>ஹைப்பர்டிப்சியா, எரியும் உணர்வு, மூச்சுக்குழாய் அழற்சி, 
டிஸ்பெப்சியா, வாய்வு மற்றும் தோல் நோய்கள்.</v>
      </c>
      <c r="X104" s="3" t="s">
        <v>1295</v>
      </c>
      <c r="Y104" s="3" t="str">
        <f ca="1">IFERROR(__xludf.DUMMYFUNCTION("GOOGLETRANSLATE(Z104,""en"",""ta"")"),"#VALUE!")</f>
        <v>#VALUE!</v>
      </c>
      <c r="Z104" s="3"/>
      <c r="AA104" s="3" t="str">
        <f ca="1">IFERROR(__xludf.DUMMYFUNCTION("GOOGLETRANSLATE(AB104,""en"",""ta"")"),"#VALUE!")</f>
        <v>#VALUE!</v>
      </c>
      <c r="AB104" s="3"/>
      <c r="AC104" s="3" t="str">
        <f ca="1">IFERROR(__xludf.DUMMYFUNCTION("GOOGLETRANSLATE(AD104,""en"",""ta"")"),"வயிற்றுப்போக்கு.")</f>
        <v>வயிற்றுப்போக்கு.</v>
      </c>
      <c r="AD104" s="4" t="s">
        <v>1296</v>
      </c>
      <c r="AE104" s="3" t="str">
        <f ca="1">IFERROR(__xludf.DUMMYFUNCTION("GOOGLETRANSLATE(AF104,""en"",""ta"")"),"#VALUE!")</f>
        <v>#VALUE!</v>
      </c>
      <c r="AF104" s="3"/>
      <c r="AG104" s="3" t="str">
        <f ca="1">IFERROR(__xludf.DUMMYFUNCTION("GOOGLETRANSLATE(AH104,""en"",""ta"")"),"#VALUE!")</f>
        <v>#VALUE!</v>
      </c>
      <c r="AH104" s="3"/>
      <c r="AI104" s="3" t="str">
        <f ca="1">IFERROR(__xludf.DUMMYFUNCTION("GOOGLETRANSLATE(AJ104,""en"",""ta"")"),"#VALUE!")</f>
        <v>#VALUE!</v>
      </c>
      <c r="AJ104" s="3"/>
      <c r="AK104" s="3" t="str">
        <f ca="1">IFERROR(__xludf.DUMMYFUNCTION("GOOGLETRANSLATE(AL104,""en"",""ta"")"),"#VALUE!")</f>
        <v>#VALUE!</v>
      </c>
      <c r="AL104" s="3"/>
      <c r="AM104" s="3" t="str">
        <f ca="1">IFERROR(__xludf.DUMMYFUNCTION("GOOGLETRANSLATE(AN104,""en"",""ta"")"),"சிறுநீர் கால்குலஸ், ஆஸ்துமா, விந்து 
பலவீனம் மற்றும் காய்ச்சல்.")</f>
        <v>சிறுநீர் கால்குலஸ், ஆஸ்துமா, விந்து 
பலவீனம் மற்றும் காய்ச்சல்.</v>
      </c>
      <c r="AN104" s="3" t="s">
        <v>1297</v>
      </c>
      <c r="AO104" s="3" t="str">
        <f ca="1">IFERROR(__xludf.DUMMYFUNCTION("GOOGLETRANSLATE(AP104,""en"",""ta"")"),"#VALUE!")</f>
        <v>#VALUE!</v>
      </c>
      <c r="AP104" s="3"/>
      <c r="AQ104" s="3"/>
      <c r="AR104" s="3" t="str">
        <f ca="1">IFERROR(__xludf.DUMMYFUNCTION("GOOGLETRANSLATE(AS104,""en"",""ta"")"),"#VALUE!")</f>
        <v>#VALUE!</v>
      </c>
      <c r="AS104" s="3"/>
      <c r="AT104" s="3" t="str">
        <f ca="1">IFERROR(__xludf.DUMMYFUNCTION("GOOGLETRANSLATE(AU104,""en"",""ta"")"),"ஆல்புமினாய்டுகள், சிரோஞ்சி எண்ணெய், தியாமின், 
ரிபோஃப்ளேவின், நியாசின், டானின்கள், ட்ரைடர்பெனாய்டுகள், 
சபோனின்கள், பால்மிடிக், லினோலிக் மற்றும் ஒலிக் அமிலம்.")</f>
        <v>ஆல்புமினாய்டுகள், சிரோஞ்சி எண்ணெய், தியாமின், 
ரிபோஃப்ளேவின், நியாசின், டானின்கள், ட்ரைடர்பெனாய்டுகள், 
சபோனின்கள், பால்மிடிக், லினோலிக் மற்றும் ஒலிக் அமிலம்.</v>
      </c>
      <c r="AU104" s="3" t="s">
        <v>1298</v>
      </c>
      <c r="AV104" s="3"/>
      <c r="AW104" s="3" t="str">
        <f ca="1">IFERROR(__xludf.DUMMYFUNCTION("GOOGLETRANSLATE(AX104,""en"",""ta"")"),"i) தோலில் ஏற்படும் அரிப்புகளை குணப்படுத்தவும், முகத்தில் உள்ள தழும்புகளை நீக்கவும் 
முக்கிய விதைகளிலிருந்து தயாரிக்கப்படும் களிம்பு பயன்படுத்தப்படுகிறது. 
Ii) 
கருவிலிருந்து எடுக்கப்படும் எண்ணெய் 
கழுத்தில் உள்ள சுரப்பி வீக்கங்களுக்குப் பயன்படுத்தப்படுகிற"&amp;"து. 
")</f>
        <v xml:space="preserve">i) தோலில் ஏற்படும் அரிப்புகளை குணப்படுத்தவும், முகத்தில் உள்ள தழும்புகளை நீக்கவும் 
முக்கிய விதைகளிலிருந்து தயாரிக்கப்படும் களிம்பு பயன்படுத்தப்படுகிறது. 
Ii) 
கருவிலிருந்து எடுக்கப்படும் எண்ணெய் 
கழுத்தில் உள்ள சுரப்பி வீக்கங்களுக்குப் பயன்படுத்தப்படுகிறது. 
</v>
      </c>
      <c r="AX104" s="3" t="s">
        <v>2493</v>
      </c>
      <c r="AY104" s="3"/>
      <c r="AZ104" s="3"/>
      <c r="BA104" s="3"/>
      <c r="BB104" s="3"/>
      <c r="BC104" s="3"/>
      <c r="BD104" s="3"/>
      <c r="BE104" s="3"/>
      <c r="BF104" s="3"/>
    </row>
    <row r="105" spans="1:58" ht="70" x14ac:dyDescent="0.15">
      <c r="A105" s="3">
        <v>104</v>
      </c>
      <c r="B105" s="3" t="str">
        <f ca="1">IFERROR(__xludf.DUMMYFUNCTION("GOOGLETRANSLATE(C105,""en"",""ta"")"),"பியூட்டியா மோனோஸ்பெர்மா")</f>
        <v>பியூட்டியா மோனோஸ்பெர்மா</v>
      </c>
      <c r="C105" s="4" t="s">
        <v>1300</v>
      </c>
      <c r="D105" s="3" t="str">
        <f ca="1">IFERROR(__xludf.DUMMYFUNCTION("GOOGLETRANSLATE(E105,""en"",""ta"")"),"பலாசா")</f>
        <v>பலாசா</v>
      </c>
      <c r="E105" s="4" t="s">
        <v>1301</v>
      </c>
      <c r="F105" s="3" t="str">
        <f ca="1">IFERROR(__xludf.DUMMYFUNCTION("GOOGLETRANSLATE(G105,""en"",""ta"")"),"பலாசு")</f>
        <v>பலாசு</v>
      </c>
      <c r="G105" s="4" t="s">
        <v>1302</v>
      </c>
      <c r="H105" s="3" t="str">
        <f ca="1">IFERROR(__xludf.DUMMYFUNCTION("GOOGLETRANSLATE(I105,""en"",""ta"")"),"காட்டின் சுடர்")</f>
        <v>காட்டின் சுடர்</v>
      </c>
      <c r="I105" s="4" t="s">
        <v>1303</v>
      </c>
      <c r="J105" s="3" t="str">
        <f ca="1">IFERROR(__xludf.DUMMYFUNCTION("GOOGLETRANSLATE(K105,""en"",""ta"")"),"மொடுகா")</f>
        <v>மொடுகா</v>
      </c>
      <c r="K105" s="4" t="s">
        <v>1304</v>
      </c>
      <c r="L105" s="3" t="str">
        <f ca="1">IFERROR(__xludf.DUMMYFUNCTION("GOOGLETRANSLATE(M105,""en"",""ta"")"),"பலாஷா")</f>
        <v>பலாஷா</v>
      </c>
      <c r="M105" s="4" t="s">
        <v>1305</v>
      </c>
      <c r="N105" s="3" t="str">
        <f ca="1">IFERROR(__xludf.DUMMYFUNCTION("GOOGLETRANSLATE(O105,""en"",""ta"")"),"பலாஸ்")</f>
        <v>பலாஸ்</v>
      </c>
      <c r="O105" s="3" t="s">
        <v>1306</v>
      </c>
      <c r="P105" s="3"/>
      <c r="Q105" s="3" t="str">
        <f ca="1">IFERROR(__xludf.DUMMYFUNCTION("GOOGLETRANSLATE(R105,""en"",""ta"")"),"ஒரு இலையுதிர் மரம், இலைகள் நீண்ட இலைக்காம்புகளைக் கொண்டவை, சிற்றிலைகள் அகன்ற முட்டை வடிவானது, 
டெல்டாய்டு அடிப்பகுதியுடன், கோரியேசியஸ், மழுங்கியவை, மேலே உரோமங்களற்றவை, வயதானபோது மெல்லிய பட்டுப் போன்றதாகவும், கீழே தெளிவாக வலைப்பின்னல் நரம்புகளுடனும் இருக்க"&amp;"ும். மலர்கள் 
பெரிய, உறுதியான ரேசீமில் பிரகாசமான ஆரஞ்சு-சிவப்பு நிறத்தில் இருக்கும். பழங்கள் காய், பட்டுப் போன்ற உரோமங்களுடையவை, தொங்கும் தன்மை கொண்டவை. விதைகள் தட்டையானவை மற்றும் 
மடி வடிவிலானவை.")</f>
        <v>ஒரு இலையுதிர் மரம், இலைகள் நீண்ட இலைக்காம்புகளைக் கொண்டவை, சிற்றிலைகள் அகன்ற முட்டை வடிவானது, 
டெல்டாய்டு அடிப்பகுதியுடன், கோரியேசியஸ், மழுங்கியவை, மேலே உரோமங்களற்றவை, வயதானபோது மெல்லிய பட்டுப் போன்றதாகவும், கீழே தெளிவாக வலைப்பின்னல் நரம்புகளுடனும் இருக்கும். மலர்கள் 
பெரிய, உறுதியான ரேசீமில் பிரகாசமான ஆரஞ்சு-சிவப்பு நிறத்தில் இருக்கும். பழங்கள் காய், பட்டுப் போன்ற உரோமங்களுடையவை, தொங்கும் தன்மை கொண்டவை. விதைகள் தட்டையானவை மற்றும் 
மடி வடிவிலானவை.</v>
      </c>
      <c r="R105" s="3" t="s">
        <v>1307</v>
      </c>
      <c r="S105" s="3" t="str">
        <f ca="1">IFERROR(__xludf.DUMMYFUNCTION("GOOGLETRANSLATE(T105,""en"",""ta"")"),"#VALUE!")</f>
        <v>#VALUE!</v>
      </c>
      <c r="T105" s="3"/>
      <c r="U105" s="3" t="str">
        <f ca="1">IFERROR(__xludf.DUMMYFUNCTION("GOOGLETRANSLATE(V105,""en"",""ta"")"),"கால்-கை வலிப்பு, வட்டப்புழு.")</f>
        <v>கால்-கை வலிப்பு, வட்டப்புழு.</v>
      </c>
      <c r="V105" s="4" t="s">
        <v>1308</v>
      </c>
      <c r="W105" s="3" t="str">
        <f ca="1">IFERROR(__xludf.DUMMYFUNCTION("GOOGLETRANSLATE(X105,""en"",""ta"")"),"புழு தொல்லை, கட்டி மூல நோய்.")</f>
        <v>புழு தொல்லை, கட்டி மூல நோய்.</v>
      </c>
      <c r="X105" s="4" t="s">
        <v>1309</v>
      </c>
      <c r="Y105" s="3" t="str">
        <f ca="1">IFERROR(__xludf.DUMMYFUNCTION("GOOGLETRANSLATE(Z105,""en"",""ta"")"),"வயிற்றுப்போக்கு, மூல நோய், காய்ச்சல், ஆர்க்கிடிஸ், 
தொழுநோய், கீல்வாதம் மற்றும் இரத்தக்கசிவு")</f>
        <v>வயிற்றுப்போக்கு, மூல நோய், காய்ச்சல், ஆர்க்கிடிஸ், 
தொழுநோய், கீல்வாதம் மற்றும் இரத்தக்கசிவு</v>
      </c>
      <c r="Z105" s="3" t="s">
        <v>1310</v>
      </c>
      <c r="AA105" s="3" t="str">
        <f ca="1">IFERROR(__xludf.DUMMYFUNCTION("GOOGLETRANSLATE(AB105,""en"",""ta"")"),"#VALUE!")</f>
        <v>#VALUE!</v>
      </c>
      <c r="AB105" s="3"/>
      <c r="AC105" s="3" t="str">
        <f ca="1">IFERROR(__xludf.DUMMYFUNCTION("GOOGLETRANSLATE(AD105,""en"",""ta"")"),"தோல் நோய்கள், புண்கள், வயிற்றுப்போக்கு, ரிங்வோர்ம்")</f>
        <v>தோல் நோய்கள், புண்கள், வயிற்றுப்போக்கு, ரிங்வோர்ம்</v>
      </c>
      <c r="AD105" s="4" t="s">
        <v>1311</v>
      </c>
      <c r="AE105" s="3" t="str">
        <f ca="1">IFERROR(__xludf.DUMMYFUNCTION("GOOGLETRANSLATE(AF105,""en"",""ta"")"),"#VALUE!")</f>
        <v>#VALUE!</v>
      </c>
      <c r="AF105" s="3"/>
      <c r="AG105" s="3" t="str">
        <f ca="1">IFERROR(__xludf.DUMMYFUNCTION("GOOGLETRANSLATE(AH105,""en"",""ta"")"),"#VALUE!")</f>
        <v>#VALUE!</v>
      </c>
      <c r="AH105" s="3"/>
      <c r="AI105" s="3" t="str">
        <f ca="1">IFERROR(__xludf.DUMMYFUNCTION("GOOGLETRANSLATE(AJ105,""en"",""ta"")"),"#VALUE!")</f>
        <v>#VALUE!</v>
      </c>
      <c r="AJ105" s="3"/>
      <c r="AK105" s="3" t="str">
        <f ca="1">IFERROR(__xludf.DUMMYFUNCTION("GOOGLETRANSLATE(AL105,""en"",""ta"")"),"#VALUE!")</f>
        <v>#VALUE!</v>
      </c>
      <c r="AL105" s="3"/>
      <c r="AM105" s="3" t="str">
        <f ca="1">IFERROR(__xludf.DUMMYFUNCTION("GOOGLETRANSLATE(AN105,""en"",""ta"")"),"#VALUE!")</f>
        <v>#VALUE!</v>
      </c>
      <c r="AN105" s="3"/>
      <c r="AO105" s="3" t="str">
        <f ca="1">IFERROR(__xludf.DUMMYFUNCTION("GOOGLETRANSLATE(AP105,""en"",""ta"")"),"#VALUE!")</f>
        <v>#VALUE!</v>
      </c>
      <c r="AP105" s="3"/>
      <c r="AQ105" s="3"/>
      <c r="AR105" s="3" t="str">
        <f ca="1">IFERROR(__xludf.DUMMYFUNCTION("GOOGLETRANSLATE(AS105,""en"",""ta"")"),"#VALUE!")</f>
        <v>#VALUE!</v>
      </c>
      <c r="AS105" s="3"/>
      <c r="AT105" s="3" t="str">
        <f ca="1">IFERROR(__xludf.DUMMYFUNCTION("GOOGLETRANSLATE(AU105,""en"",""ta"")"),"பட்ரின், ஐசோபுட்ரின், மோனோஸ்பெர்மின், கோரியோப்சின், 
ஐசோகோரியோப்சின், பலசோனின், கினோ டானிக் அமிலம், 
கேலிக் அமிலம், பால்மிடிக் மற்றும் லிக்னோசெரிக் அமிலங்கள்.")</f>
        <v>பட்ரின், ஐசோபுட்ரின், மோனோஸ்பெர்மின், கோரியோப்சின், 
ஐசோகோரியோப்சின், பலசோனின், கினோ டானிக் அமிலம், 
கேலிக் அமிலம், பால்மிடிக் மற்றும் லிக்னோசெரிக் அமிலங்கள்.</v>
      </c>
      <c r="AU105" s="3" t="s">
        <v>1312</v>
      </c>
      <c r="AV105" s="3"/>
      <c r="AW105" s="3" t="str">
        <f ca="1">IFERROR(__xludf.DUMMYFUNCTION("GOOGLETRANSLATE(AX105,""en"",""ta"")"),"i) புதிதாகப் பொடித்த விதைகள் 
அஸ்காரியாசிஸ் (வட்டப்புழு) நோய்க்கு பயனுள்ளதாக இருக்கும் 
ii) பொடித்த விதைகளை எலுமிச்சை சாறுடன் சேர்த்து பேஸ்ட் செய்து வெளிப்புறமாகப் பயன்படுத்தலாம்")</f>
        <v>i) புதிதாகப் பொடித்த விதைகள் 
அஸ்காரியாசிஸ் (வட்டப்புழு) நோய்க்கு பயனுள்ளதாக இருக்கும் 
ii) பொடித்த விதைகளை எலுமிச்சை சாறுடன் சேர்த்து பேஸ்ட் செய்து வெளிப்புறமாகப் பயன்படுத்தலாம்</v>
      </c>
      <c r="AX105" s="3" t="s">
        <v>2494</v>
      </c>
      <c r="AY105" s="3"/>
      <c r="AZ105" s="3"/>
      <c r="BA105" s="3"/>
      <c r="BB105" s="3"/>
      <c r="BC105" s="3"/>
      <c r="BD105" s="3"/>
      <c r="BE105" s="3"/>
      <c r="BF105" s="3"/>
    </row>
    <row r="106" spans="1:58" ht="56" x14ac:dyDescent="0.15">
      <c r="A106" s="3">
        <v>105</v>
      </c>
      <c r="B106" s="3" t="str">
        <f ca="1">IFERROR(__xludf.DUMMYFUNCTION("GOOGLETRANSLATE(C106,""en"",""ta"")"),"கடபா ஃப்ருடிகோசா")</f>
        <v>கடபா ஃப்ருடிகோசா</v>
      </c>
      <c r="C106" s="4" t="s">
        <v>1314</v>
      </c>
      <c r="D106" s="3" t="str">
        <f ca="1">IFERROR(__xludf.DUMMYFUNCTION("GOOGLETRANSLATE(E106,""en"",""ta"")"),"பாலயா")</f>
        <v>பாலயா</v>
      </c>
      <c r="E106" s="4" t="s">
        <v>1315</v>
      </c>
      <c r="F106" s="3" t="str">
        <f ca="1">IFERROR(__xludf.DUMMYFUNCTION("GOOGLETRANSLATE(G106,""en"",""ta"")"),"விழுதி")</f>
        <v>விழுதி</v>
      </c>
      <c r="G106" s="4" t="s">
        <v>1316</v>
      </c>
      <c r="H106" s="3" t="str">
        <f ca="1">IFERROR(__xludf.DUMMYFUNCTION("GOOGLETRANSLATE(I106,""en"",""ta"")"),"இந்தியக் கல்விக்கூடம்")</f>
        <v>இந்தியக் கல்விக்கூடம்</v>
      </c>
      <c r="I106" s="4" t="s">
        <v>1317</v>
      </c>
      <c r="J106" s="3" t="str">
        <f ca="1">IFERROR(__xludf.DUMMYFUNCTION("GOOGLETRANSLATE(K106,""en"",""ta"")"),"செமூர்டா")</f>
        <v>செமூர்டா</v>
      </c>
      <c r="K106" s="4" t="s">
        <v>1318</v>
      </c>
      <c r="L106" s="3" t="str">
        <f ca="1">IFERROR(__xludf.DUMMYFUNCTION("GOOGLETRANSLATE(M106,""en"",""ta"")"),"கட்டகட்டி")</f>
        <v>கட்டகட்டி</v>
      </c>
      <c r="M106" s="4" t="s">
        <v>1319</v>
      </c>
      <c r="N106" s="3" t="str">
        <f ca="1">IFERROR(__xludf.DUMMYFUNCTION("GOOGLETRANSLATE(O106,""en"",""ta"")"),"டாபி")</f>
        <v>டாபி</v>
      </c>
      <c r="O106" s="4" t="s">
        <v>1320</v>
      </c>
      <c r="P106" s="3"/>
      <c r="Q106" s="3" t="str">
        <f ca="1">IFERROR(__xludf.DUMMYFUNCTION("GOOGLETRANSLATE(R106,""en"",""ta"")"),"ஒரு பெரிய, நீண்டு, கிளைத்த புதர். இலைகள் முட்டை வடிவானது முதல் நீள்வட்டமானது, இலைகள் மிக குறுகிய தண்டு, ஈட்டி வடிவமானது முதல் கூரியது. பூக்கள் குட்டையானவை, முனையத்தில், கோரிம்ப்ஸ். பழங்கள் நேரியல், உருளை, மழுங்கியவை, பொதுவாக வளைந்திருக்கும். விதைகள் சிறுந"&amp;"ீரக வடிவமானது.")</f>
        <v>ஒரு பெரிய, நீண்டு, கிளைத்த புதர். இலைகள் முட்டை வடிவானது முதல் நீள்வட்டமானது, இலைகள் மிக குறுகிய தண்டு, ஈட்டி வடிவமானது முதல் கூரியது. பூக்கள் குட்டையானவை, முனையத்தில், கோரிம்ப்ஸ். பழங்கள் நேரியல், உருளை, மழுங்கியவை, பொதுவாக வளைந்திருக்கும். விதைகள் சிறுநீரக வடிவமானது.</v>
      </c>
      <c r="R106" s="4" t="s">
        <v>1321</v>
      </c>
      <c r="S106" s="3" t="str">
        <f ca="1">IFERROR(__xludf.DUMMYFUNCTION("GOOGLETRANSLATE(T106,""en"",""ta"")"),"#VALUE!")</f>
        <v>#VALUE!</v>
      </c>
      <c r="T106" s="3"/>
      <c r="U106" s="3" t="str">
        <f ca="1">IFERROR(__xludf.DUMMYFUNCTION("GOOGLETRANSLATE(V106,""en"",""ta"")"),"#VALUE!")</f>
        <v>#VALUE!</v>
      </c>
      <c r="V106" s="3"/>
      <c r="W106" s="3" t="str">
        <f ca="1">IFERROR(__xludf.DUMMYFUNCTION("GOOGLETRANSLATE(X106,""en"",""ta"")"),"#VALUE!")</f>
        <v>#VALUE!</v>
      </c>
      <c r="X106" s="3"/>
      <c r="Y106" s="3" t="str">
        <f ca="1">IFERROR(__xludf.DUMMYFUNCTION("GOOGLETRANSLATE(Z106,""en"",""ta"")"),"#VALUE!")</f>
        <v>#VALUE!</v>
      </c>
      <c r="Z106" s="3"/>
      <c r="AA106" s="3" t="str">
        <f ca="1">IFERROR(__xludf.DUMMYFUNCTION("GOOGLETRANSLATE(AB106,""en"",""ta"")"),"#VALUE!")</f>
        <v>#VALUE!</v>
      </c>
      <c r="AB106" s="3"/>
      <c r="AC106" s="3" t="str">
        <f ca="1">IFERROR(__xludf.DUMMYFUNCTION("GOOGLETRANSLATE(AD106,""en"",""ta"")"),"#VALUE!")</f>
        <v>#VALUE!</v>
      </c>
      <c r="AD106" s="3"/>
      <c r="AE106" s="3" t="str">
        <f ca="1">IFERROR(__xludf.DUMMYFUNCTION("GOOGLETRANSLATE(AF106,""en"",""ta"")"),"#VALUE!")</f>
        <v>#VALUE!</v>
      </c>
      <c r="AF106" s="3"/>
      <c r="AG106" s="3" t="str">
        <f ca="1">IFERROR(__xludf.DUMMYFUNCTION("GOOGLETRANSLATE(AH106,""en"",""ta"")"),"#VALUE!")</f>
        <v>#VALUE!</v>
      </c>
      <c r="AH106" s="3"/>
      <c r="AI106" s="3" t="str">
        <f ca="1">IFERROR(__xludf.DUMMYFUNCTION("GOOGLETRANSLATE(AJ106,""en"",""ta"")"),"#VALUE!")</f>
        <v>#VALUE!</v>
      </c>
      <c r="AJ106" s="3"/>
      <c r="AK106" s="3" t="str">
        <f ca="1">IFERROR(__xludf.DUMMYFUNCTION("GOOGLETRANSLATE(AL106,""en"",""ta"")"),"#VALUE!")</f>
        <v>#VALUE!</v>
      </c>
      <c r="AL106" s="3"/>
      <c r="AM106" s="3" t="str">
        <f ca="1">IFERROR(__xludf.DUMMYFUNCTION("GOOGLETRANSLATE(AN106,""en"",""ta"")"),"#VALUE!")</f>
        <v>#VALUE!</v>
      </c>
      <c r="AN106" s="3"/>
      <c r="AO106" s="3" t="str">
        <f ca="1">IFERROR(__xludf.DUMMYFUNCTION("GOOGLETRANSLATE(AP106,""en"",""ta"")"),"#VALUE!")</f>
        <v>#VALUE!</v>
      </c>
      <c r="AP106" s="3"/>
      <c r="AQ106" s="3"/>
      <c r="AR106" s="3" t="str">
        <f ca="1">IFERROR(__xludf.DUMMYFUNCTION("GOOGLETRANSLATE(AS106,""en"",""ta"")"),"#VALUE!")</f>
        <v>#VALUE!</v>
      </c>
      <c r="AS106" s="3"/>
      <c r="AT106" s="3" t="str">
        <f ca="1">IFERROR(__xludf.DUMMYFUNCTION("GOOGLETRANSLATE(AU106,""en"",""ta"")"),"காடபைன், காடபைசின், காடபைசிலோன், குயர்செடின், கேம்ப்ஃபெரால், ஐசோரியண்டின், ஸ்டாக்ஹைட்ரின், வெண்ணிலிக் அமிலம், சிரிஞ்சிக் அமிலம், சல்பேட்டுகள் மற்றும் கரிம அமிலங்கள்")</f>
        <v>காடபைன், காடபைசின், காடபைசிலோன், குயர்செடின், கேம்ப்ஃபெரால், ஐசோரியண்டின், ஸ்டாக்ஹைட்ரின், வெண்ணிலிக் அமிலம், சிரிஞ்சிக் அமிலம், சல்பேட்டுகள் மற்றும் கரிம அமிலங்கள்</v>
      </c>
      <c r="AU106" s="3" t="s">
        <v>1322</v>
      </c>
      <c r="AV106" s="3"/>
      <c r="AW106" s="3" t="str">
        <f ca="1">IFERROR(__xludf.DUMMYFUNCTION("GOOGLETRANSLATE(AX106,""en"",""ta"")"),"i) ii) மாதவிடாய் சுழற்சியில் ஆமணக்கு எண்ணெயுடன் இலைகளை கஷாயம் செய்வது பயனுள்ளதாக இருக்கும். இலை பேஸ்ட் வாத வலி மற்றும் புண்களுக்கு வெளிப்புறமாகப் பயன்படுத்தப்படுகிறது, இது சப்பை ஊக்குவிக்கிறது.")</f>
        <v>i) ii) மாதவிடாய் சுழற்சியில் ஆமணக்கு எண்ணெயுடன் இலைகளை கஷாயம் செய்வது பயனுள்ளதாக இருக்கும். இலை பேஸ்ட் வாத வலி மற்றும் புண்களுக்கு வெளிப்புறமாகப் பயன்படுத்தப்படுகிறது, இது சப்பை ஊக்குவிக்கிறது.</v>
      </c>
      <c r="AX106" s="3" t="s">
        <v>2495</v>
      </c>
      <c r="AY106" s="3"/>
      <c r="AZ106" s="3"/>
      <c r="BA106" s="3"/>
      <c r="BB106" s="3"/>
      <c r="BC106" s="3"/>
      <c r="BD106" s="3"/>
      <c r="BE106" s="3"/>
      <c r="BF106" s="3"/>
    </row>
    <row r="107" spans="1:58" ht="42" x14ac:dyDescent="0.15">
      <c r="A107" s="3">
        <v>106</v>
      </c>
      <c r="B107" s="3" t="str">
        <f ca="1">IFERROR(__xludf.DUMMYFUNCTION("GOOGLETRANSLATE(C107,""en"",""ta"")"),"சீசல்பினியா பாண்டக்")</f>
        <v>சீசல்பினியா பாண்டக்</v>
      </c>
      <c r="C107" s="4" t="s">
        <v>1324</v>
      </c>
      <c r="D107" s="3" t="str">
        <f ca="1">IFERROR(__xludf.DUMMYFUNCTION("GOOGLETRANSLATE(E107,""en"",""ta"")"),"லதா கரஞ்சா")</f>
        <v>லதா கரஞ்சா</v>
      </c>
      <c r="E107" s="4" t="s">
        <v>1325</v>
      </c>
      <c r="F107" s="3" t="str">
        <f ca="1">IFERROR(__xludf.DUMMYFUNCTION("GOOGLETRANSLATE(G107,""en"",""ta"")"),"கஜர்ச்சி கை")</f>
        <v>கஜர்ச்சி கை</v>
      </c>
      <c r="G107" s="4" t="s">
        <v>1326</v>
      </c>
      <c r="H107" s="3" t="str">
        <f ca="1">IFERROR(__xludf.DUMMYFUNCTION("GOOGLETRANSLATE(I107,""en"",""ta"")"),"காய்ச்சல் நட்")</f>
        <v>காய்ச்சல் நட்</v>
      </c>
      <c r="I107" s="4" t="s">
        <v>1327</v>
      </c>
      <c r="J107" s="3" t="str">
        <f ca="1">IFERROR(__xludf.DUMMYFUNCTION("GOOGLETRANSLATE(K107,""en"",""ta"")"),"முள்ளுதிகே")</f>
        <v>முள்ளுதிகே</v>
      </c>
      <c r="K107" s="4" t="s">
        <v>1328</v>
      </c>
      <c r="L107" s="3" t="str">
        <f ca="1">IFERROR(__xludf.DUMMYFUNCTION("GOOGLETRANSLATE(M107,""en"",""ta"")"),"காகமுல்லு")</f>
        <v>காகமுல்லு</v>
      </c>
      <c r="M107" s="4" t="s">
        <v>1329</v>
      </c>
      <c r="N107" s="3" t="str">
        <f ca="1">IFERROR(__xludf.DUMMYFUNCTION("GOOGLETRANSLATE(O107,""en"",""ta"")"),"கட்கரஞ்சி")</f>
        <v>கட்கரஞ்சி</v>
      </c>
      <c r="O107" s="4" t="s">
        <v>1330</v>
      </c>
      <c r="P107" s="3"/>
      <c r="Q107" s="3" t="str">
        <f ca="1">IFERROR(__xludf.DUMMYFUNCTION("GOOGLETRANSLATE(R107,""en"",""ta"")"),"மஞ்சள் நிற பூக்களுடன், அலைந்து திரியும் ஒரு பெரிய, மிகவும் முட்கள் நிறைந்த புதர். இலைகள் பெரிய இலை வடிவ பின்னேட் இலையடிச்செதில்களுடன். இலைகள் நீள்வட்ட வடிவானது, நீள்வட்டமானது, மழுங்கியவை, சளிச்சவ்வு போன்றது. மலர்கள் பெரும்பாலும் பகட்டானவை, மஞ்சள் நிறத்தில"&amp;"் இலைக்கோணங்களில் அல்லது முனைய ரேசீம்களில் இருக்கும். பழங்கள் காய்கள். விதைகள் குறுக்காக, முட்டை வடிவத்திலிருந்து வட்ட வடிவமாக இருக்கும்.")</f>
        <v>மஞ்சள் நிற பூக்களுடன், அலைந்து திரியும் ஒரு பெரிய, மிகவும் முட்கள் நிறைந்த புதர். இலைகள் பெரிய இலை வடிவ பின்னேட் இலையடிச்செதில்களுடன். இலைகள் நீள்வட்ட வடிவானது, நீள்வட்டமானது, மழுங்கியவை, சளிச்சவ்வு போன்றது. மலர்கள் பெரும்பாலும் பகட்டானவை, மஞ்சள் நிறத்தில் இலைக்கோணங்களில் அல்லது முனைய ரேசீம்களில் இருக்கும். பழங்கள் காய்கள். விதைகள் குறுக்காக, முட்டை வடிவத்திலிருந்து வட்ட வடிவமாக இருக்கும்.</v>
      </c>
      <c r="R107" s="4" t="s">
        <v>1331</v>
      </c>
      <c r="S107" s="3" t="str">
        <f ca="1">IFERROR(__xludf.DUMMYFUNCTION("GOOGLETRANSLATE(T107,""en"",""ta"")"),"#VALUE!")</f>
        <v>#VALUE!</v>
      </c>
      <c r="T107" s="3"/>
      <c r="U107" s="3" t="str">
        <f ca="1">IFERROR(__xludf.DUMMYFUNCTION("GOOGLETRANSLATE(V107,""en"",""ta"")"),"யானைக்கால் நோய், ஹைட்ரோசெல், கடுமையான ஆர்க்கிடிஸ், சுரப்பி வீக்கம், காய்ச்சல், தோல் நோய்கள்.")</f>
        <v>யானைக்கால் நோய், ஹைட்ரோசெல், கடுமையான ஆர்க்கிடிஸ், சுரப்பி வீக்கம், காய்ச்சல், தோல் நோய்கள்.</v>
      </c>
      <c r="V107" s="4" t="s">
        <v>1332</v>
      </c>
      <c r="W107" s="3" t="str">
        <f ca="1">IFERROR(__xludf.DUMMYFUNCTION("GOOGLETRANSLATE(X107,""en"",""ta"")"),"சிறுநீர் கோளாறுகள், வலிப்பு, பக்கவாதம், நரம்பு கோளாறுகள், ஆஸ்துமா மற்றும் இருமல்.")</f>
        <v>சிறுநீர் கோளாறுகள், வலிப்பு, பக்கவாதம், நரம்பு கோளாறுகள், ஆஸ்துமா மற்றும் இருமல்.</v>
      </c>
      <c r="X107" s="4" t="s">
        <v>1333</v>
      </c>
      <c r="Y107" s="3" t="str">
        <f ca="1">IFERROR(__xludf.DUMMYFUNCTION("GOOGLETRANSLATE(Z107,""en"",""ta"")"),"#VALUE!")</f>
        <v>#VALUE!</v>
      </c>
      <c r="Z107" s="3"/>
      <c r="AA107" s="3" t="str">
        <f ca="1">IFERROR(__xludf.DUMMYFUNCTION("GOOGLETRANSLATE(AB107,""en"",""ta"")"),"இடைவிடாத காய்ச்சல், ஆஸ்துமா மற்றும் பெருங்குடல் அழற்சி.")</f>
        <v>இடைவிடாத காய்ச்சல், ஆஸ்துமா மற்றும் பெருங்குடல் அழற்சி.</v>
      </c>
      <c r="AB107" s="4" t="s">
        <v>1334</v>
      </c>
      <c r="AC107" s="3" t="str">
        <f ca="1">IFERROR(__xludf.DUMMYFUNCTION("GOOGLETRANSLATE(AD107,""en"",""ta"")"),"#VALUE!")</f>
        <v>#VALUE!</v>
      </c>
      <c r="AD107" s="3"/>
      <c r="AE107" s="3" t="str">
        <f ca="1">IFERROR(__xludf.DUMMYFUNCTION("GOOGLETRANSLATE(AF107,""en"",""ta"")"),"#VALUE!")</f>
        <v>#VALUE!</v>
      </c>
      <c r="AF107" s="3"/>
      <c r="AG107" s="3" t="str">
        <f ca="1">IFERROR(__xludf.DUMMYFUNCTION("GOOGLETRANSLATE(AH107,""en"",""ta"")"),"#VALUE!")</f>
        <v>#VALUE!</v>
      </c>
      <c r="AH107" s="3"/>
      <c r="AI107" s="3" t="str">
        <f ca="1">IFERROR(__xludf.DUMMYFUNCTION("GOOGLETRANSLATE(AJ107,""en"",""ta"")"),"#VALUE!")</f>
        <v>#VALUE!</v>
      </c>
      <c r="AJ107" s="3"/>
      <c r="AK107" s="3" t="str">
        <f ca="1">IFERROR(__xludf.DUMMYFUNCTION("GOOGLETRANSLATE(AL107,""en"",""ta"")"),"#VALUE!")</f>
        <v>#VALUE!</v>
      </c>
      <c r="AL107" s="3"/>
      <c r="AM107" s="3" t="str">
        <f ca="1">IFERROR(__xludf.DUMMYFUNCTION("GOOGLETRANSLATE(AN107,""en"",""ta"")"),"#VALUE!")</f>
        <v>#VALUE!</v>
      </c>
      <c r="AN107" s="3"/>
      <c r="AO107" s="3" t="str">
        <f ca="1">IFERROR(__xludf.DUMMYFUNCTION("GOOGLETRANSLATE(AP107,""en"",""ta"")"),"#VALUE!")</f>
        <v>#VALUE!</v>
      </c>
      <c r="AP107" s="3"/>
      <c r="AQ107" s="3"/>
      <c r="AR107" s="3" t="str">
        <f ca="1">IFERROR(__xludf.DUMMYFUNCTION("GOOGLETRANSLATE(AS107,""en"",""ta"")"),"#VALUE!")</f>
        <v>#VALUE!</v>
      </c>
      <c r="AS107" s="3"/>
      <c r="AT107" s="3" t="str">
        <f ca="1">IFERROR(__xludf.DUMMYFUNCTION("GOOGLETRANSLATE(AU107,""en"",""ta"")"),"பாண்டுசின், சீசல்பின், பைப்கோலிக் அமிலம், டானின் சபோனின், பைட்டோஸ்டெரினின் மற்றும் காலிக் அமிலம்.")</f>
        <v>பாண்டுசின், சீசல்பின், பைப்கோலிக் அமிலம், டானின் சபோனின், பைட்டோஸ்டெரினின் மற்றும் காலிக் அமிலம்.</v>
      </c>
      <c r="AU107" s="4" t="s">
        <v>1335</v>
      </c>
      <c r="AV107" s="3"/>
      <c r="AW107" s="3" t="str">
        <f ca="1">IFERROR(__xludf.DUMMYFUNCTION("GOOGLETRANSLATE(AX107,""en"",""ta"")"),"விதைப் பொடியுடன் முட்டையின் வெள்ளைக்கருவும் ஹைட்ரோசிலுக்கு வெளிப்புறமாகப் பயன்படுத்தப்படுகிறது. 2. இலைகள் மற்றும் தேங்காய் முளையை ஆமணக்கு எண்ணெயில் வறுத்து, எந்த வகையான வீக்கங்களிலும் தடவ வேண்டும்.")</f>
        <v>விதைப் பொடியுடன் முட்டையின் வெள்ளைக்கருவும் ஹைட்ரோசிலுக்கு வெளிப்புறமாகப் பயன்படுத்தப்படுகிறது. 2. இலைகள் மற்றும் தேங்காய் முளையை ஆமணக்கு எண்ணெயில் வறுத்து, எந்த வகையான வீக்கங்களிலும் தடவ வேண்டும்.</v>
      </c>
      <c r="AX107" s="4" t="s">
        <v>2496</v>
      </c>
      <c r="AY107" s="3"/>
      <c r="AZ107" s="3"/>
      <c r="BA107" s="3"/>
      <c r="BB107" s="3"/>
      <c r="BC107" s="3"/>
      <c r="BD107" s="3"/>
      <c r="BE107" s="3"/>
      <c r="BF107" s="3"/>
    </row>
    <row r="108" spans="1:58" ht="42" x14ac:dyDescent="0.15">
      <c r="A108" s="3">
        <v>107</v>
      </c>
      <c r="B108" s="3" t="str">
        <f ca="1">IFERROR(__xludf.DUMMYFUNCTION("GOOGLETRANSLATE(C108,""en"",""ta"")"),"சீசல்பினியா சப்பான்")</f>
        <v>சீசல்பினியா சப்பான்</v>
      </c>
      <c r="C108" s="4" t="s">
        <v>1337</v>
      </c>
      <c r="D108" s="3" t="str">
        <f ca="1">IFERROR(__xludf.DUMMYFUNCTION("GOOGLETRANSLATE(E108,""en"",""ta"")"),"பர்ய விருக்ஷம்")</f>
        <v>பர்ய விருக்ஷம்</v>
      </c>
      <c r="E108" s="4" t="s">
        <v>1338</v>
      </c>
      <c r="F108" s="3" t="str">
        <f ca="1">IFERROR(__xludf.DUMMYFUNCTION("GOOGLETRANSLATE(G108,""en"",""ta"")"),"பார் தாங்கி")</f>
        <v>பார் தாங்கி</v>
      </c>
      <c r="G108" s="4" t="s">
        <v>1339</v>
      </c>
      <c r="H108" s="3" t="str">
        <f ca="1">IFERROR(__xludf.DUMMYFUNCTION("GOOGLETRANSLATE(I108,""en"",""ta"")"),"சப்பான் மரம்")</f>
        <v>சப்பான் மரம்</v>
      </c>
      <c r="I108" s="4" t="s">
        <v>1340</v>
      </c>
      <c r="J108" s="3" t="str">
        <f ca="1">IFERROR(__xludf.DUMMYFUNCTION("GOOGLETRANSLATE(K108,""en"",""ta"")"),"பக்காமு")</f>
        <v>பக்காமு</v>
      </c>
      <c r="K108" s="4" t="s">
        <v>1341</v>
      </c>
      <c r="L108" s="3" t="str">
        <f ca="1">IFERROR(__xludf.DUMMYFUNCTION("GOOGLETRANSLATE(M108,""en"",""ta"")"),"சப்பனம்")</f>
        <v>சப்பனம்</v>
      </c>
      <c r="M108" s="4" t="s">
        <v>1342</v>
      </c>
      <c r="N108" s="3" t="str">
        <f ca="1">IFERROR(__xludf.DUMMYFUNCTION("GOOGLETRANSLATE(O108,""en"",""ta"")"),"பக்காம்")</f>
        <v>பக்காம்</v>
      </c>
      <c r="O108" s="4" t="s">
        <v>1343</v>
      </c>
      <c r="P108" s="3"/>
      <c r="Q108" s="3" t="str">
        <f ca="1">IFERROR(__xludf.DUMMYFUNCTION("GOOGLETRANSLATE(R108,""en"",""ta"")"),"ஆரஞ்சு, சிவப்பு நிற கடினமான இதய மரத்தைக் கொண்ட முள் மரம், பதனிடுவதற்குப் பயனுள்ளதாக இருப்பதோடு மட்டுமல்லாமல் சிவப்பு சாயத்தையும் தருகிறது. இலைகள் கூம்பு வடிவ கலவை. மஞ்சரி ரேசீம்களின் பேனிக்கிள்களில், சில முட்கள் கொண்ட தண்டு. பழங்கள் காய்கள், சாய்வாக நீள்வ"&amp;"ட்டமாக, நுனியில் துண்டிக்கப்பட்டிருக்கும்.")</f>
        <v>ஆரஞ்சு, சிவப்பு நிற கடினமான இதய மரத்தைக் கொண்ட முள் மரம், பதனிடுவதற்குப் பயனுள்ளதாக இருப்பதோடு மட்டுமல்லாமல் சிவப்பு சாயத்தையும் தருகிறது. இலைகள் கூம்பு வடிவ கலவை. மஞ்சரி ரேசீம்களின் பேனிக்கிள்களில், சில முட்கள் கொண்ட தண்டு. பழங்கள் காய்கள், சாய்வாக நீள்வட்டமாக, நுனியில் துண்டிக்கப்பட்டிருக்கும்.</v>
      </c>
      <c r="R108" s="4" t="s">
        <v>1344</v>
      </c>
      <c r="S108" s="3" t="str">
        <f ca="1">IFERROR(__xludf.DUMMYFUNCTION("GOOGLETRANSLATE(T108,""en"",""ta"")"),"#VALUE!")</f>
        <v>#VALUE!</v>
      </c>
      <c r="T108" s="3"/>
      <c r="U108" s="3" t="str">
        <f ca="1">IFERROR(__xludf.DUMMYFUNCTION("GOOGLETRANSLATE(V108,""en"",""ta"")"),"#VALUE!")</f>
        <v>#VALUE!</v>
      </c>
      <c r="V108" s="3"/>
      <c r="W108" s="3" t="str">
        <f ca="1">IFERROR(__xludf.DUMMYFUNCTION("GOOGLETRANSLATE(X108,""en"",""ta"")"),"#VALUE!")</f>
        <v>#VALUE!</v>
      </c>
      <c r="X108" s="3"/>
      <c r="Y108" s="3" t="str">
        <f ca="1">IFERROR(__xludf.DUMMYFUNCTION("GOOGLETRANSLATE(Z108,""en"",""ta"")"),"#VALUE!")</f>
        <v>#VALUE!</v>
      </c>
      <c r="Z108" s="3"/>
      <c r="AA108" s="3" t="str">
        <f ca="1">IFERROR(__xludf.DUMMYFUNCTION("GOOGLETRANSLATE(AB108,""en"",""ta"")"),"#VALUE!")</f>
        <v>#VALUE!</v>
      </c>
      <c r="AB108" s="3"/>
      <c r="AC108" s="3" t="str">
        <f ca="1">IFERROR(__xludf.DUMMYFUNCTION("GOOGLETRANSLATE(AD108,""en"",""ta"")"),"#VALUE!")</f>
        <v>#VALUE!</v>
      </c>
      <c r="AD108" s="3"/>
      <c r="AE108" s="3" t="str">
        <f ca="1">IFERROR(__xludf.DUMMYFUNCTION("GOOGLETRANSLATE(AF108,""en"",""ta"")"),"#VALUE!")</f>
        <v>#VALUE!</v>
      </c>
      <c r="AF108" s="3"/>
      <c r="AG108" s="3" t="str">
        <f ca="1">IFERROR(__xludf.DUMMYFUNCTION("GOOGLETRANSLATE(AH108,""en"",""ta"")"),"#VALUE!")</f>
        <v>#VALUE!</v>
      </c>
      <c r="AH108" s="3"/>
      <c r="AI108" s="3" t="str">
        <f ca="1">IFERROR(__xludf.DUMMYFUNCTION("GOOGLETRANSLATE(AJ108,""en"",""ta"")"),"#VALUE!")</f>
        <v>#VALUE!</v>
      </c>
      <c r="AJ108" s="3"/>
      <c r="AK108" s="3" t="str">
        <f ca="1">IFERROR(__xludf.DUMMYFUNCTION("GOOGLETRANSLATE(AL108,""en"",""ta"")"),"#VALUE!")</f>
        <v>#VALUE!</v>
      </c>
      <c r="AL108" s="3"/>
      <c r="AM108" s="3" t="str">
        <f ca="1">IFERROR(__xludf.DUMMYFUNCTION("GOOGLETRANSLATE(AN108,""en"",""ta"")"),"#VALUE!")</f>
        <v>#VALUE!</v>
      </c>
      <c r="AN108" s="3"/>
      <c r="AO108" s="3" t="str">
        <f ca="1">IFERROR(__xludf.DUMMYFUNCTION("GOOGLETRANSLATE(AP108,""en"",""ta"")"),"#VALUE!")</f>
        <v>#VALUE!</v>
      </c>
      <c r="AP108" s="3"/>
      <c r="AQ108" s="3"/>
      <c r="AR108" s="3" t="str">
        <f ca="1">IFERROR(__xludf.DUMMYFUNCTION("GOOGLETRANSLATE(AS108,""en"",""ta"")"),"#VALUE!")</f>
        <v>#VALUE!</v>
      </c>
      <c r="AS108" s="3"/>
      <c r="AT108" s="3" t="str">
        <f ca="1">IFERROR(__xludf.DUMMYFUNCTION("GOOGLETRANSLATE(AU108,""en"",""ta"")"),"வேலின், கேலக்டோஸ், டைமெதில் கேலக்டோஸ், பி-அமிரின், குளுக்கோஸ், கொழுப்பு அமிலங்கள், காலிக் மற்றும் டானிக் அமிலங்கள்.")</f>
        <v>வேலின், கேலக்டோஸ், டைமெதில் கேலக்டோஸ், பி-அமிரின், குளுக்கோஸ், கொழுப்பு அமிலங்கள், காலிக் மற்றும் டானிக் அமிலங்கள்.</v>
      </c>
      <c r="AU108" s="4" t="s">
        <v>1345</v>
      </c>
      <c r="AV108" s="3"/>
      <c r="AW108" s="3" t="str">
        <f ca="1">IFERROR(__xludf.DUMMYFUNCTION("GOOGLETRANSLATE(AX108,""en"",""ta"")"),"மரத்தின் கஷாயம் ஒரு சக்திவாய்ந்த கருப்பை டானிக் ஆகும். 2. மரத்தின் கஷாயம் தோல் நோய்களுக்கு, குறிப்பாக பூஞ்சை தொற்றுகளுக்கு பயனுள்ளதாக இருக்கும்.")</f>
        <v>மரத்தின் கஷாயம் ஒரு சக்திவாய்ந்த கருப்பை டானிக் ஆகும். 2. மரத்தின் கஷாயம் தோல் நோய்களுக்கு, குறிப்பாக பூஞ்சை தொற்றுகளுக்கு பயனுள்ளதாக இருக்கும்.</v>
      </c>
      <c r="AX108" s="3" t="s">
        <v>2497</v>
      </c>
      <c r="AY108" s="3"/>
      <c r="AZ108" s="3"/>
      <c r="BA108" s="3"/>
      <c r="BB108" s="3"/>
      <c r="BC108" s="3"/>
      <c r="BD108" s="3"/>
      <c r="BE108" s="3"/>
      <c r="BF108" s="3"/>
    </row>
    <row r="109" spans="1:58" ht="70" x14ac:dyDescent="0.15">
      <c r="A109" s="3">
        <v>108</v>
      </c>
      <c r="B109" s="3" t="str">
        <f ca="1">IFERROR(__xludf.DUMMYFUNCTION("GOOGLETRANSLATE(C109,""en"",""ta"")"),"கஜனஸ் கஜன்")</f>
        <v>கஜனஸ் கஜன்</v>
      </c>
      <c r="C109" s="4" t="s">
        <v>1347</v>
      </c>
      <c r="D109" s="3" t="str">
        <f ca="1">IFERROR(__xludf.DUMMYFUNCTION("GOOGLETRANSLATE(E109,""en"",""ta"")"),"துவாரி")</f>
        <v>துவாரி</v>
      </c>
      <c r="E109" s="4" t="s">
        <v>1348</v>
      </c>
      <c r="F109" s="3" t="str">
        <f ca="1">IFERROR(__xludf.DUMMYFUNCTION("GOOGLETRANSLATE(G109,""en"",""ta"")"),"துவரை")</f>
        <v>துவரை</v>
      </c>
      <c r="G109" s="4" t="s">
        <v>1349</v>
      </c>
      <c r="H109" s="3" t="str">
        <f ca="1">IFERROR(__xludf.DUMMYFUNCTION("GOOGLETRANSLATE(I109,""en"",""ta"")"),"சிவப்பு பயறு")</f>
        <v>சிவப்பு பயறு</v>
      </c>
      <c r="I109" s="4" t="s">
        <v>1350</v>
      </c>
      <c r="J109" s="3" t="str">
        <f ca="1">IFERROR(__xludf.DUMMYFUNCTION("GOOGLETRANSLATE(K109,""en"",""ta"")"),"கண்டி பப்பு")</f>
        <v>கண்டி பப்பு</v>
      </c>
      <c r="K109" s="4" t="s">
        <v>1351</v>
      </c>
      <c r="L109" s="3" t="str">
        <f ca="1">IFERROR(__xludf.DUMMYFUNCTION("GOOGLETRANSLATE(M109,""en"",""ta"")"),"துவாரா")</f>
        <v>துவாரா</v>
      </c>
      <c r="M109" s="4" t="s">
        <v>1352</v>
      </c>
      <c r="N109" s="3" t="str">
        <f ca="1">IFERROR(__xludf.DUMMYFUNCTION("GOOGLETRANSLATE(O109,""en"",""ta"")"),"அர்ஹார் துர்")</f>
        <v>அர்ஹார் துர்</v>
      </c>
      <c r="O109" s="4" t="s">
        <v>1353</v>
      </c>
      <c r="P109" s="3"/>
      <c r="Q109" s="3" t="str">
        <f ca="1">IFERROR(__xludf.DUMMYFUNCTION("GOOGLETRANSLATE(R109,""en"",""ta"")"),"நிமிர்ந்த வருடாந்திர ரோம புதர். இலைகள் மாறி மாறி, ஈட்டி வடிவ, கூரிய மற்றும் இறகு போன்ற கூட்டு இலைகளைக் கொண்டிருக்கும். மலர்கள் ஒழுங்கற்றவை, ஜிகோமார்பிக் ஹெர்மோஃப்ரோடைட் மற்றும் மஞ்சள் நிறத்தில், அடர்த்தியான ரோமங்கள், கோரிம்போஸ் ரேசீம்கள் அல்லது முனை பேனிக"&amp;"ல்கள். பழங்கள் காய்கள், இரண்டு கோட்டிலிடன்கள் கொண்ட விதைகள்.")</f>
        <v>நிமிர்ந்த வருடாந்திர ரோம புதர். இலைகள் மாறி மாறி, ஈட்டி வடிவ, கூரிய மற்றும் இறகு போன்ற கூட்டு இலைகளைக் கொண்டிருக்கும். மலர்கள் ஒழுங்கற்றவை, ஜிகோமார்பிக் ஹெர்மோஃப்ரோடைட் மற்றும் மஞ்சள் நிறத்தில், அடர்த்தியான ரோமங்கள், கோரிம்போஸ் ரேசீம்கள் அல்லது முனை பேனிகல்கள். பழங்கள் காய்கள், இரண்டு கோட்டிலிடன்கள் கொண்ட விதைகள்.</v>
      </c>
      <c r="R109" s="4" t="s">
        <v>1354</v>
      </c>
      <c r="S109" s="3" t="str">
        <f ca="1">IFERROR(__xludf.DUMMYFUNCTION("GOOGLETRANSLATE(T109,""en"",""ta"")"),"#VALUE!")</f>
        <v>#VALUE!</v>
      </c>
      <c r="T109" s="3"/>
      <c r="U109" s="3" t="str">
        <f ca="1">IFERROR(__xludf.DUMMYFUNCTION("GOOGLETRANSLATE(V109,""en"",""ta"")"),"#VALUE!")</f>
        <v>#VALUE!</v>
      </c>
      <c r="V109" s="3"/>
      <c r="W109" s="3" t="str">
        <f ca="1">IFERROR(__xludf.DUMMYFUNCTION("GOOGLETRANSLATE(X109,""en"",""ta"")"),"#VALUE!")</f>
        <v>#VALUE!</v>
      </c>
      <c r="X109" s="3"/>
      <c r="Y109" s="3" t="str">
        <f ca="1">IFERROR(__xludf.DUMMYFUNCTION("GOOGLETRANSLATE(Z109,""en"",""ta"")"),"#VALUE!")</f>
        <v>#VALUE!</v>
      </c>
      <c r="Z109" s="3"/>
      <c r="AA109" s="3" t="str">
        <f ca="1">IFERROR(__xludf.DUMMYFUNCTION("GOOGLETRANSLATE(AB109,""en"",""ta"")"),"#VALUE!")</f>
        <v>#VALUE!</v>
      </c>
      <c r="AB109" s="3"/>
      <c r="AC109" s="3" t="str">
        <f ca="1">IFERROR(__xludf.DUMMYFUNCTION("GOOGLETRANSLATE(AD109,""en"",""ta"")"),"#VALUE!")</f>
        <v>#VALUE!</v>
      </c>
      <c r="AD109" s="3"/>
      <c r="AE109" s="3" t="str">
        <f ca="1">IFERROR(__xludf.DUMMYFUNCTION("GOOGLETRANSLATE(AF109,""en"",""ta"")"),"#VALUE!")</f>
        <v>#VALUE!</v>
      </c>
      <c r="AF109" s="3"/>
      <c r="AG109" s="3" t="str">
        <f ca="1">IFERROR(__xludf.DUMMYFUNCTION("GOOGLETRANSLATE(AH109,""en"",""ta"")"),"#VALUE!")</f>
        <v>#VALUE!</v>
      </c>
      <c r="AH109" s="3"/>
      <c r="AI109" s="3" t="str">
        <f ca="1">IFERROR(__xludf.DUMMYFUNCTION("GOOGLETRANSLATE(AJ109,""en"",""ta"")"),"#VALUE!")</f>
        <v>#VALUE!</v>
      </c>
      <c r="AJ109" s="3"/>
      <c r="AK109" s="3" t="str">
        <f ca="1">IFERROR(__xludf.DUMMYFUNCTION("GOOGLETRANSLATE(AL109,""en"",""ta"")"),"#VALUE!")</f>
        <v>#VALUE!</v>
      </c>
      <c r="AL109" s="3"/>
      <c r="AM109" s="3" t="str">
        <f ca="1">IFERROR(__xludf.DUMMYFUNCTION("GOOGLETRANSLATE(AN109,""en"",""ta"")"),"#VALUE!")</f>
        <v>#VALUE!</v>
      </c>
      <c r="AN109" s="3"/>
      <c r="AO109" s="3" t="str">
        <f ca="1">IFERROR(__xludf.DUMMYFUNCTION("GOOGLETRANSLATE(AP109,""en"",""ta"")"),"#VALUE!")</f>
        <v>#VALUE!</v>
      </c>
      <c r="AP109" s="3"/>
      <c r="AQ109" s="3"/>
      <c r="AR109" s="3" t="str">
        <f ca="1">IFERROR(__xludf.DUMMYFUNCTION("GOOGLETRANSLATE(AS109,""en"",""ta"")"),"அழற்சி எதிர்ப்பு.")</f>
        <v>அழற்சி எதிர்ப்பு.</v>
      </c>
      <c r="AS109" s="4" t="s">
        <v>1355</v>
      </c>
      <c r="AT109" s="3" t="str">
        <f ca="1">IFERROR(__xludf.DUMMYFUNCTION("GOOGLETRANSLATE(AU109,""en"",""ta"")"),"கஜாஃப்ளேவனோன், கஜனால், ஆந்த்ராகுவினோன், கஜனாகுயினோன், ஸ்டிக்மாஸ்டரோல், கேம்பஸ்டெரால், லூபியோல், ஃபிளாவனோன், தியோலிக்னின், எஸ்டர்கள் மற்றும் ஸ்டார்ச்")</f>
        <v>கஜாஃப்ளேவனோன், கஜனால், ஆந்த்ராகுவினோன், கஜனாகுயினோன், ஸ்டிக்மாஸ்டரோல், கேம்பஸ்டெரால், லூபியோல், ஃபிளாவனோன், தியோலிக்னின், எஸ்டர்கள் மற்றும் ஸ்டார்ச்</v>
      </c>
      <c r="AU109" s="4" t="s">
        <v>1356</v>
      </c>
      <c r="AV109" s="3"/>
      <c r="AW109" s="3" t="str">
        <f ca="1">IFERROR(__xludf.DUMMYFUNCTION("GOOGLETRANSLATE(AX109,""en"",""ta"")"),"ஸ்டோமாடிடிஸுக்கு இளம் இலைகளை மெல்ல வேண்டும். 2. பழுக்காத பழம் மற்றும் இலைகளை பேஸ்டாக உருவாக்கி, பால் சுரப்பைக் குறைக்க மார்பகத்தின் மீது தடவ வேண்டும்.")</f>
        <v>ஸ்டோமாடிடிஸுக்கு இளம் இலைகளை மெல்ல வேண்டும். 2. பழுக்காத பழம் மற்றும் இலைகளை பேஸ்டாக உருவாக்கி, பால் சுரப்பைக் குறைக்க மார்பகத்தின் மீது தடவ வேண்டும்.</v>
      </c>
      <c r="AX109" s="3" t="s">
        <v>2498</v>
      </c>
      <c r="AY109" s="3"/>
      <c r="AZ109" s="3"/>
      <c r="BA109" s="3"/>
      <c r="BB109" s="3"/>
      <c r="BC109" s="3"/>
      <c r="BD109" s="3"/>
      <c r="BE109" s="3"/>
      <c r="BF109" s="3"/>
    </row>
    <row r="110" spans="1:58" ht="98" x14ac:dyDescent="0.15">
      <c r="A110" s="3">
        <v>109</v>
      </c>
      <c r="B110" s="3" t="str">
        <f ca="1">IFERROR(__xludf.DUMMYFUNCTION("GOOGLETRANSLATE(C110,""en"",""ta"")"),"காலமஸ் ரோட்டாங்")</f>
        <v>காலமஸ் ரோட்டாங்</v>
      </c>
      <c r="C110" s="4" t="s">
        <v>1358</v>
      </c>
      <c r="D110" s="3" t="str">
        <f ca="1">IFERROR(__xludf.DUMMYFUNCTION("GOOGLETRANSLATE(E110,""en"",""ta"")"),"வெடாசா")</f>
        <v>வெடாசா</v>
      </c>
      <c r="E110" s="4" t="s">
        <v>1359</v>
      </c>
      <c r="F110" s="3" t="str">
        <f ca="1">IFERROR(__xludf.DUMMYFUNCTION("GOOGLETRANSLATE(G110,""en"",""ta"")"),"பிரப்பன் கிழங்கு")</f>
        <v>பிரப்பன் கிழங்கு</v>
      </c>
      <c r="G110" s="3" t="s">
        <v>1360</v>
      </c>
      <c r="H110" s="3" t="str">
        <f ca="1">IFERROR(__xludf.DUMMYFUNCTION("GOOGLETRANSLATE(I110,""en"",""ta"")"),"நாற்காலி அடிப்பகுதி கரும்பு")</f>
        <v>நாற்காலி அடிப்பகுதி கரும்பு</v>
      </c>
      <c r="I110" s="4" t="s">
        <v>1361</v>
      </c>
      <c r="J110" s="3" t="str">
        <f ca="1">IFERROR(__xludf.DUMMYFUNCTION("GOOGLETRANSLATE(K110,""en"",""ta"")"),"சன்னாப் எட்டமு")</f>
        <v>சன்னாப் எட்டமு</v>
      </c>
      <c r="K110" s="4" t="s">
        <v>1362</v>
      </c>
      <c r="L110" s="3" t="str">
        <f ca="1">IFERROR(__xludf.DUMMYFUNCTION("GOOGLETRANSLATE(M110,""en"",""ta"")"),"பாடல் வரிகள்")</f>
        <v>பாடல் வரிகள்</v>
      </c>
      <c r="M110" s="4" t="s">
        <v>1363</v>
      </c>
      <c r="N110" s="3" t="str">
        <f ca="1">IFERROR(__xludf.DUMMYFUNCTION("GOOGLETRANSLATE(O110,""en"",""ta"")"),"சாச்சி வௌவால்")</f>
        <v>சாச்சி வௌவால்</v>
      </c>
      <c r="O110" s="4" t="s">
        <v>1364</v>
      </c>
      <c r="P110" s="3"/>
      <c r="Q110" s="3" t="str">
        <f ca="1">IFERROR(__xludf.DUMMYFUNCTION("GOOGLETRANSLATE(R110,""en"",""ta"")"),"உயரமான, மெல்லிய ஏறும் புதர். இலைகள் உறை போன்ற இலை அடிப்பகுதியுடன் இருக்கும். இலை உறை முட்களைக் கொண்டிருக்கும். இலைக்காம்பு மிகவும் குறுகிய இலைகள் ஏராளமானவை மற்றும் ஈட்டி வடிவானது, நுனி கூர்மையானது மற்றும் தனித்துவமான முதன்மை நரம்பு கொண்டது. மஞ்சரி ஒரு ஸ்ப"&amp;"ேடிக்ஸ். பழங்கள் கோள வடிவமானது.")</f>
        <v>உயரமான, மெல்லிய ஏறும் புதர். இலைகள் உறை போன்ற இலை அடிப்பகுதியுடன் இருக்கும். இலை உறை முட்களைக் கொண்டிருக்கும். இலைக்காம்பு மிகவும் குறுகிய இலைகள் ஏராளமானவை மற்றும் ஈட்டி வடிவானது, நுனி கூர்மையானது மற்றும் தனித்துவமான முதன்மை நரம்பு கொண்டது. மஞ்சரி ஒரு ஸ்பேடிக்ஸ். பழங்கள் கோள வடிவமானது.</v>
      </c>
      <c r="R110" s="4" t="s">
        <v>1365</v>
      </c>
      <c r="S110" s="3" t="str">
        <f ca="1">IFERROR(__xludf.DUMMYFUNCTION("GOOGLETRANSLATE(T110,""en"",""ta"")"),"#VALUE!")</f>
        <v>#VALUE!</v>
      </c>
      <c r="T110" s="3"/>
      <c r="U110" s="3" t="str">
        <f ca="1">IFERROR(__xludf.DUMMYFUNCTION("GOOGLETRANSLATE(V110,""en"",""ta"")"),"பாம்பு கடி, எரிசிபெலாஸ்")</f>
        <v>பாம்பு கடி, எரிசிபெலாஸ்</v>
      </c>
      <c r="V110" s="4" t="s">
        <v>1366</v>
      </c>
      <c r="W110" s="3" t="str">
        <f ca="1">IFERROR(__xludf.DUMMYFUNCTION("GOOGLETRANSLATE(X110,""en"",""ta"")"),"இருமல், மூச்சுக்குழாய் அழற்சி, வயிற்றுப்போக்கு, தொழுநோய், தோல் நோய்கள், வெசிகல் கால்குலி, பொது பலவீனம் மற்றும் அரிப்பு.")</f>
        <v>இருமல், மூச்சுக்குழாய் அழற்சி, வயிற்றுப்போக்கு, தொழுநோய், தோல் நோய்கள், வெசிகல் கால்குலி, பொது பலவீனம் மற்றும் அரிப்பு.</v>
      </c>
      <c r="X110" s="4" t="s">
        <v>1367</v>
      </c>
      <c r="Y110" s="3" t="str">
        <f ca="1">IFERROR(__xludf.DUMMYFUNCTION("GOOGLETRANSLATE(Z110,""en"",""ta"")"),"#VALUE!")</f>
        <v>#VALUE!</v>
      </c>
      <c r="Z110" s="3"/>
      <c r="AA110" s="3" t="str">
        <f ca="1">IFERROR(__xludf.DUMMYFUNCTION("GOOGLETRANSLATE(AB110,""en"",""ta"")"),"#VALUE!")</f>
        <v>#VALUE!</v>
      </c>
      <c r="AB110" s="3"/>
      <c r="AC110" s="3" t="str">
        <f ca="1">IFERROR(__xludf.DUMMYFUNCTION("GOOGLETRANSLATE(AD110,""en"",""ta"")"),"#VALUE!")</f>
        <v>#VALUE!</v>
      </c>
      <c r="AD110" s="3"/>
      <c r="AE110" s="3" t="str">
        <f ca="1">IFERROR(__xludf.DUMMYFUNCTION("GOOGLETRANSLATE(AF110,""en"",""ta"")"),"#VALUE!")</f>
        <v>#VALUE!</v>
      </c>
      <c r="AF110" s="3"/>
      <c r="AG110" s="3" t="str">
        <f ca="1">IFERROR(__xludf.DUMMYFUNCTION("GOOGLETRANSLATE(AH110,""en"",""ta"")"),"#VALUE!")</f>
        <v>#VALUE!</v>
      </c>
      <c r="AH110" s="3"/>
      <c r="AI110" s="3" t="str">
        <f ca="1">IFERROR(__xludf.DUMMYFUNCTION("GOOGLETRANSLATE(AJ110,""en"",""ta"")"),"#VALUE!")</f>
        <v>#VALUE!</v>
      </c>
      <c r="AJ110" s="3"/>
      <c r="AK110" s="3" t="str">
        <f ca="1">IFERROR(__xludf.DUMMYFUNCTION("GOOGLETRANSLATE(AL110,""en"",""ta"")"),"#VALUE!")</f>
        <v>#VALUE!</v>
      </c>
      <c r="AL110" s="3"/>
      <c r="AM110" s="3" t="str">
        <f ca="1">IFERROR(__xludf.DUMMYFUNCTION("GOOGLETRANSLATE(AN110,""en"",""ta"")"),"#VALUE!")</f>
        <v>#VALUE!</v>
      </c>
      <c r="AN110" s="3"/>
      <c r="AO110" s="3" t="str">
        <f ca="1">IFERROR(__xludf.DUMMYFUNCTION("GOOGLETRANSLATE(AP110,""en"",""ta"")"),"#VALUE!")</f>
        <v>#VALUE!</v>
      </c>
      <c r="AP110" s="3"/>
      <c r="AQ110" s="3"/>
      <c r="AR110" s="3" t="str">
        <f ca="1">IFERROR(__xludf.DUMMYFUNCTION("GOOGLETRANSLATE(AS110,""en"",""ta"")"),"#VALUE!")</f>
        <v>#VALUE!</v>
      </c>
      <c r="AS110" s="3"/>
      <c r="AT110" s="3" t="str">
        <f ca="1">IFERROR(__xludf.DUMMYFUNCTION("GOOGLETRANSLATE(AU110,""en"",""ta"")"),"சபோனின்கள், ஆல்கலாய்டுகள், ஃபிளாவனாய்டுகள், எண்ணெய்கள் மற்றும் சளி.")</f>
        <v>சபோனின்கள், ஆல்கலாய்டுகள், ஃபிளாவனாய்டுகள், எண்ணெய்கள் மற்றும் சளி.</v>
      </c>
      <c r="AU110" s="4" t="s">
        <v>1368</v>
      </c>
      <c r="AV110" s="3"/>
      <c r="AW110" s="3" t="str">
        <f ca="1">IFERROR(__xludf.DUMMYFUNCTION("GOOGLETRANSLATE(AX110,""en"",""ta"")"),"மரக்கட்டை தண்ணீரில் தேய்க்கப்பட்டு 
உள்ளே புழுக்கொல்லியாக எடுத்துக்கொள்ளப்படுகிறது. 2. வேர் ஆன்டிடிஸ்சென்டெரிக், 
டானிக் மற்றும் ஃபெப்ரிஃபியூஜ் என கருதப்படுகிறது 
ii) 
மரக்கட்டை தண்ணீரில் தேய்க்கப்பட்டு 
உள்ளே புழுக்கொல்லியாக எடுத்துக்கொள்ளப்படுகிறது.")</f>
        <v>மரக்கட்டை தண்ணீரில் தேய்க்கப்பட்டு 
உள்ளே புழுக்கொல்லியாக எடுத்துக்கொள்ளப்படுகிறது. 2. வேர் ஆன்டிடிஸ்சென்டெரிக், 
டானிக் மற்றும் ஃபெப்ரிஃபியூஜ் என கருதப்படுகிறது 
ii) 
மரக்கட்டை தண்ணீரில் தேய்க்கப்பட்டு 
உள்ளே புழுக்கொல்லியாக எடுத்துக்கொள்ளப்படுகிறது.</v>
      </c>
      <c r="AX110" s="3" t="s">
        <v>2499</v>
      </c>
      <c r="AY110" s="3"/>
      <c r="AZ110" s="3"/>
      <c r="BA110" s="3"/>
      <c r="BB110" s="3"/>
      <c r="BC110" s="3"/>
      <c r="BD110" s="3"/>
      <c r="BE110" s="3"/>
      <c r="BF110" s="3"/>
    </row>
    <row r="111" spans="1:58" ht="70" x14ac:dyDescent="0.15">
      <c r="A111" s="3">
        <v>110</v>
      </c>
      <c r="B111" s="3" t="str">
        <f ca="1">IFERROR(__xludf.DUMMYFUNCTION("GOOGLETRANSLATE(C111,""en"",""ta"")"),"கலோபில்லம் இனோபில்லம்")</f>
        <v>கலோபில்லம் இனோபில்லம்</v>
      </c>
      <c r="C111" s="4" t="s">
        <v>1370</v>
      </c>
      <c r="D111" s="3" t="str">
        <f ca="1">IFERROR(__xludf.DUMMYFUNCTION("GOOGLETRANSLATE(E111,""en"",""ta"")"),"புன்னகா")</f>
        <v>புன்னகா</v>
      </c>
      <c r="E111" s="4" t="s">
        <v>1371</v>
      </c>
      <c r="F111" s="3" t="str">
        <f ca="1">IFERROR(__xludf.DUMMYFUNCTION("GOOGLETRANSLATE(G111,""en"",""ta"")"),"புன்னை")</f>
        <v>புன்னை</v>
      </c>
      <c r="G111" s="4" t="s">
        <v>1372</v>
      </c>
      <c r="H111" s="3" t="str">
        <f ca="1">IFERROR(__xludf.DUMMYFUNCTION("GOOGLETRANSLATE(I111,""en"",""ta"")"),"அலெக்ஸாண்ட்ரியன் லாரல்")</f>
        <v>அலெக்ஸாண்ட்ரியன் லாரல்</v>
      </c>
      <c r="I111" s="4" t="s">
        <v>1373</v>
      </c>
      <c r="J111" s="3" t="str">
        <f ca="1">IFERROR(__xludf.DUMMYFUNCTION("GOOGLETRANSLATE(K111,""en"",""ta"")"),"புன்னகாமு")</f>
        <v>புன்னகாமு</v>
      </c>
      <c r="K111" s="4" t="s">
        <v>1374</v>
      </c>
      <c r="L111" s="3" t="str">
        <f ca="1">IFERROR(__xludf.DUMMYFUNCTION("GOOGLETRANSLATE(M111,""en"",""ta"")"),"புன்னா")</f>
        <v>புன்னா</v>
      </c>
      <c r="M111" s="4" t="s">
        <v>1375</v>
      </c>
      <c r="N111" s="3" t="str">
        <f ca="1">IFERROR(__xludf.DUMMYFUNCTION("GOOGLETRANSLATE(O111,""en"",""ta"")"),"சர்புன்கா")</f>
        <v>சர்புன்கா</v>
      </c>
      <c r="O111" s="4" t="s">
        <v>1376</v>
      </c>
      <c r="P111" s="3"/>
      <c r="Q111" s="3" t="str">
        <f ca="1">IFERROR(__xludf.DUMMYFUNCTION("GOOGLETRANSLATE(R111,""en"",""ta"")"),"வளைந்த தண்டுடன் கூடிய மிக அழகான, சிறிய அல்லது நடுத்தர அளவிலான உரோமங்களற்ற மரம். இலைகள் எளிமையானவை மற்றும் அகன்ற நீள்வட்ட வடிவிலானவை. பூக்கள் வெள்ளை நிறத்தில் உள்ளன மற்றும் அச்சுகளில் காணப்படும் பாலிகேமஸ் ரேசீமில் காணப்படுகின்றன. பழங்கள் கோள வடிவ ட்ரூப். வ"&amp;"ிதைகள் கோள வடிவமாகவும் கடினமாகவும் இருக்கும்.")</f>
        <v>வளைந்த தண்டுடன் கூடிய மிக அழகான, சிறிய அல்லது நடுத்தர அளவிலான உரோமங்களற்ற மரம். இலைகள் எளிமையானவை மற்றும் அகன்ற நீள்வட்ட வடிவிலானவை. பூக்கள் வெள்ளை நிறத்தில் உள்ளன மற்றும் அச்சுகளில் காணப்படும் பாலிகேமஸ் ரேசீமில் காணப்படுகின்றன. பழங்கள் கோள வடிவ ட்ரூப். விதைகள் கோள வடிவமாகவும் கடினமாகவும் இருக்கும்.</v>
      </c>
      <c r="R111" s="4" t="s">
        <v>1377</v>
      </c>
      <c r="S111" s="3" t="str">
        <f ca="1">IFERROR(__xludf.DUMMYFUNCTION("GOOGLETRANSLATE(T111,""en"",""ta"")"),"#VALUE!")</f>
        <v>#VALUE!</v>
      </c>
      <c r="T111" s="3"/>
      <c r="U111" s="3" t="str">
        <f ca="1">IFERROR(__xludf.DUMMYFUNCTION("GOOGLETRANSLATE(V111,""en"",""ta"")"),"#VALUE!")</f>
        <v>#VALUE!</v>
      </c>
      <c r="V111" s="3"/>
      <c r="W111" s="3" t="str">
        <f ca="1">IFERROR(__xludf.DUMMYFUNCTION("GOOGLETRANSLATE(X111,""en"",""ta"")"),"#VALUE!")</f>
        <v>#VALUE!</v>
      </c>
      <c r="X111" s="3"/>
      <c r="Y111" s="3" t="str">
        <f ca="1">IFERROR(__xludf.DUMMYFUNCTION("GOOGLETRANSLATE(Z111,""en"",""ta"")"),"#VALUE!")</f>
        <v>#VALUE!</v>
      </c>
      <c r="Z111" s="3"/>
      <c r="AA111" s="3" t="str">
        <f ca="1">IFERROR(__xludf.DUMMYFUNCTION("GOOGLETRANSLATE(AB111,""en"",""ta"")"),"#VALUE!")</f>
        <v>#VALUE!</v>
      </c>
      <c r="AB111" s="3"/>
      <c r="AC111" s="3" t="str">
        <f ca="1">IFERROR(__xludf.DUMMYFUNCTION("GOOGLETRANSLATE(AD111,""en"",""ta"")"),"#VALUE!")</f>
        <v>#VALUE!</v>
      </c>
      <c r="AD111" s="3"/>
      <c r="AE111" s="3" t="str">
        <f ca="1">IFERROR(__xludf.DUMMYFUNCTION("GOOGLETRANSLATE(AF111,""en"",""ta"")"),"#VALUE!")</f>
        <v>#VALUE!</v>
      </c>
      <c r="AF111" s="3"/>
      <c r="AG111" s="3" t="str">
        <f ca="1">IFERROR(__xludf.DUMMYFUNCTION("GOOGLETRANSLATE(AH111,""en"",""ta"")"),"#VALUE!")</f>
        <v>#VALUE!</v>
      </c>
      <c r="AH111" s="3"/>
      <c r="AI111" s="3" t="str">
        <f ca="1">IFERROR(__xludf.DUMMYFUNCTION("GOOGLETRANSLATE(AJ111,""en"",""ta"")"),"#VALUE!")</f>
        <v>#VALUE!</v>
      </c>
      <c r="AJ111" s="3"/>
      <c r="AK111" s="3" t="str">
        <f ca="1">IFERROR(__xludf.DUMMYFUNCTION("GOOGLETRANSLATE(AL111,""en"",""ta"")"),"#VALUE!")</f>
        <v>#VALUE!</v>
      </c>
      <c r="AL111" s="3"/>
      <c r="AM111" s="3" t="str">
        <f ca="1">IFERROR(__xludf.DUMMYFUNCTION("GOOGLETRANSLATE(AN111,""en"",""ta"")"),"#VALUE!")</f>
        <v>#VALUE!</v>
      </c>
      <c r="AN111" s="3"/>
      <c r="AO111" s="3" t="str">
        <f ca="1">IFERROR(__xludf.DUMMYFUNCTION("GOOGLETRANSLATE(AP111,""en"",""ta"")"),"#VALUE!")</f>
        <v>#VALUE!</v>
      </c>
      <c r="AP111" s="3"/>
      <c r="AQ111" s="3"/>
      <c r="AR111" s="3" t="str">
        <f ca="1">IFERROR(__xludf.DUMMYFUNCTION("GOOGLETRANSLATE(AS111,""en"",""ta"")"),"#VALUE!")</f>
        <v>#VALUE!</v>
      </c>
      <c r="AS111" s="3"/>
      <c r="AT111" s="3" t="str">
        <f ca="1">IFERROR(__xludf.DUMMYFUNCTION("GOOGLETRANSLATE(AU111,""en"",""ta"")"),"கலோபிலிக் அமிலம், கலோக்சாந்தோன்கள், கலோபினிக் அமிலம், இனோபிலம்-ஏ, பி, சி, இ&amp;பி, பொன்னலைடு, மைரிசெடின் மற்றும் 4-அல்கைல் கூமரின்.")</f>
        <v>கலோபிலிக் அமிலம், கலோக்சாந்தோன்கள், கலோபினிக் அமிலம், இனோபிலம்-ஏ, பி, சி, இ&amp;பி, பொன்னலைடு, மைரிசெடின் மற்றும் 4-அல்கைல் கூமரின்.</v>
      </c>
      <c r="AU111" s="4" t="s">
        <v>1378</v>
      </c>
      <c r="AV111" s="3"/>
      <c r="AW111" s="3" t="str">
        <f ca="1">IFERROR(__xludf.DUMMYFUNCTION("GOOGLETRANSLATE(AX111,""en"",""ta"")"),"காயமடைந்த பட்டையிலிருந்து எடுக்கப்படும் பிசின் காயங்கள் மற்றும் புண்களுக்கு ஒரு தீர்வாகும். 2. விதைகளிலிருந்து எடுக்கப்படும் எண்ணெய் வெளிப்புறமாகப் பயன்படுத்தப்படுகிறது
வாத நோய், கோனோரியா மற்றும் சிரங்கு ஆகியவற்றிற்கு.")</f>
        <v>காயமடைந்த பட்டையிலிருந்து எடுக்கப்படும் பிசின் காயங்கள் மற்றும் புண்களுக்கு ஒரு தீர்வாகும். 2. விதைகளிலிருந்து எடுக்கப்படும் எண்ணெய் வெளிப்புறமாகப் பயன்படுத்தப்படுகிறது
வாத நோய், கோனோரியா மற்றும் சிரங்கு ஆகியவற்றிற்கு.</v>
      </c>
      <c r="AX111" s="3" t="s">
        <v>2500</v>
      </c>
      <c r="AY111" s="3"/>
      <c r="AZ111" s="3"/>
      <c r="BA111" s="3"/>
      <c r="BB111" s="3"/>
      <c r="BC111" s="3"/>
      <c r="BD111" s="3"/>
      <c r="BE111" s="3"/>
      <c r="BF111" s="3"/>
    </row>
    <row r="112" spans="1:58" ht="70" x14ac:dyDescent="0.15">
      <c r="A112" s="3">
        <v>111</v>
      </c>
      <c r="B112" s="3" t="str">
        <f ca="1">IFERROR(__xludf.DUMMYFUNCTION("GOOGLETRANSLATE(C112,""en"",""ta"")"),"கலோட்ரோபிஸ் ஜிகாண்டியா")</f>
        <v>கலோட்ரோபிஸ் ஜிகாண்டியா</v>
      </c>
      <c r="C112" s="4" t="s">
        <v>1380</v>
      </c>
      <c r="D112" s="3" t="str">
        <f ca="1">IFERROR(__xludf.DUMMYFUNCTION("GOOGLETRANSLATE(E112,""en"",""ta"")"),"அர்கா")</f>
        <v>அர்கா</v>
      </c>
      <c r="E112" s="4" t="s">
        <v>1381</v>
      </c>
      <c r="F112" s="3" t="str">
        <f ca="1">IFERROR(__xludf.DUMMYFUNCTION("GOOGLETRANSLATE(G112,""en"",""ta"")"),"எருக்கு")</f>
        <v>எருக்கு</v>
      </c>
      <c r="G112" s="4" t="s">
        <v>1382</v>
      </c>
      <c r="H112" s="3" t="str">
        <f ca="1">IFERROR(__xludf.DUMMYFUNCTION("GOOGLETRANSLATE(I112,""en"",""ta"")"),"பிரம்மாண்டமான விழுங்கு வோர்ட்")</f>
        <v>பிரம்மாண்டமான விழுங்கு வோர்ட்</v>
      </c>
      <c r="I112" s="4" t="s">
        <v>1383</v>
      </c>
      <c r="J112" s="3" t="str">
        <f ca="1">IFERROR(__xludf.DUMMYFUNCTION("GOOGLETRANSLATE(K112,""en"",""ta"")"),"ஜில்லு")</f>
        <v>ஜில்லு</v>
      </c>
      <c r="K112" s="4" t="s">
        <v>1384</v>
      </c>
      <c r="L112" s="3" t="str">
        <f ca="1">IFERROR(__xludf.DUMMYFUNCTION("GOOGLETRANSLATE(M112,""en"",""ta"")"),"எரிக்கா")</f>
        <v>எரிக்கா</v>
      </c>
      <c r="M112" s="4" t="s">
        <v>1385</v>
      </c>
      <c r="N112" s="3" t="str">
        <f ca="1">IFERROR(__xludf.DUMMYFUNCTION("GOOGLETRANSLATE(O112,""en"",""ta"")"),"மதார்")</f>
        <v>மதார்</v>
      </c>
      <c r="O112" s="4" t="s">
        <v>1386</v>
      </c>
      <c r="P112" s="3"/>
      <c r="Q112" s="3" t="str">
        <f ca="1">IFERROR(__xludf.DUMMYFUNCTION("GOOGLETRANSLATE(R112,""en"",""ta"")"),"ஒரு பெரிய பால் போன்ற புதர், மிகவும் வெளிர் நிறத்தில் உள்ளது. கிளைகள், இலைகள் மற்றும் மஞ்சரிகள் தளர்வான மென்மையான வெள்ளை கம்பளியால் மூடப்பட்டிருக்கும். இலைகள் பெரியவை, காம்பற்றவை, முட்டை வடிவானவை அல்லது முட்டை வடிவானவை, அடிப்பகுதியில் இதய வடிவானவை. பூக்கள்"&amp;" பெரியவை மற்றும் வெளிர் நிறமான ரேஸ்மோஸ் பக்கவாட்டு மஞ்சரித் தண்டுகளில் உள்ளன. இரண்டு பெரிய நுண்ணறைகளைக் காய்க்கும்.")</f>
        <v>ஒரு பெரிய பால் போன்ற புதர், மிகவும் வெளிர் நிறத்தில் உள்ளது. கிளைகள், இலைகள் மற்றும் மஞ்சரிகள் தளர்வான மென்மையான வெள்ளை கம்பளியால் மூடப்பட்டிருக்கும். இலைகள் பெரியவை, காம்பற்றவை, முட்டை வடிவானவை அல்லது முட்டை வடிவானவை, அடிப்பகுதியில் இதய வடிவானவை. பூக்கள் பெரியவை மற்றும் வெளிர் நிறமான ரேஸ்மோஸ் பக்கவாட்டு மஞ்சரித் தண்டுகளில் உள்ளன. இரண்டு பெரிய நுண்ணறைகளைக் காய்க்கும்.</v>
      </c>
      <c r="R112" s="4" t="s">
        <v>1387</v>
      </c>
      <c r="S112" s="3" t="str">
        <f ca="1">IFERROR(__xludf.DUMMYFUNCTION("GOOGLETRANSLATE(T112,""en"",""ta"")"),"#VALUE!")</f>
        <v>#VALUE!</v>
      </c>
      <c r="T112" s="3"/>
      <c r="U112" s="3" t="str">
        <f ca="1">IFERROR(__xludf.DUMMYFUNCTION("GOOGLETRANSLATE(V112,""en"",""ta"")"),"#VALUE!")</f>
        <v>#VALUE!</v>
      </c>
      <c r="V112" s="3"/>
      <c r="W112" s="3" t="str">
        <f ca="1">IFERROR(__xludf.DUMMYFUNCTION("GOOGLETRANSLATE(X112,""en"",""ta"")"),"வயிற்றுப்போக்கு, யானைக்கால் நோய், ஆஸ்துமா, கால்-கை வலிப்பு, காது வலி, வலிப்பு மற்றும் பக்கவாதம்.")</f>
        <v>வயிற்றுப்போக்கு, யானைக்கால் நோய், ஆஸ்துமா, கால்-கை வலிப்பு, காது வலி, வலிப்பு மற்றும் பக்கவாதம்.</v>
      </c>
      <c r="X112" s="4" t="s">
        <v>1388</v>
      </c>
      <c r="Y112" s="3" t="str">
        <f ca="1">IFERROR(__xludf.DUMMYFUNCTION("GOOGLETRANSLATE(Z112,""en"",""ta"")"),"பசியின்மை, மூல நோய், தொழுநோய், கட்டிகள், சிபிலிஸ், யானைக்கால் நோய்.")</f>
        <v>பசியின்மை, மூல நோய், தொழுநோய், கட்டிகள், சிபிலிஸ், யானைக்கால் நோய்.</v>
      </c>
      <c r="Z112" s="4" t="s">
        <v>1389</v>
      </c>
      <c r="AA112" s="3" t="str">
        <f ca="1">IFERROR(__xludf.DUMMYFUNCTION("GOOGLETRANSLATE(AB112,""en"",""ta"")"),"#VALUE!")</f>
        <v>#VALUE!</v>
      </c>
      <c r="AB112" s="3"/>
      <c r="AC112" s="3" t="str">
        <f ca="1">IFERROR(__xludf.DUMMYFUNCTION("GOOGLETRANSLATE(AD112,""en"",""ta"")"),"#VALUE!")</f>
        <v>#VALUE!</v>
      </c>
      <c r="AD112" s="3"/>
      <c r="AE112" s="3" t="str">
        <f ca="1">IFERROR(__xludf.DUMMYFUNCTION("GOOGLETRANSLATE(AF112,""en"",""ta"")"),"#VALUE!")</f>
        <v>#VALUE!</v>
      </c>
      <c r="AF112" s="3"/>
      <c r="AG112" s="3" t="str">
        <f ca="1">IFERROR(__xludf.DUMMYFUNCTION("GOOGLETRANSLATE(AH112,""en"",""ta"")"),"#VALUE!")</f>
        <v>#VALUE!</v>
      </c>
      <c r="AH112" s="3"/>
      <c r="AI112" s="3" t="str">
        <f ca="1">IFERROR(__xludf.DUMMYFUNCTION("GOOGLETRANSLATE(AJ112,""en"",""ta"")"),"#VALUE!")</f>
        <v>#VALUE!</v>
      </c>
      <c r="AJ112" s="3"/>
      <c r="AK112" s="3" t="str">
        <f ca="1">IFERROR(__xludf.DUMMYFUNCTION("GOOGLETRANSLATE(AL112,""en"",""ta"")"),"#VALUE!")</f>
        <v>#VALUE!</v>
      </c>
      <c r="AL112" s="3"/>
      <c r="AM112" s="3" t="str">
        <f ca="1">IFERROR(__xludf.DUMMYFUNCTION("GOOGLETRANSLATE(AN112,""en"",""ta"")"),"#VALUE!")</f>
        <v>#VALUE!</v>
      </c>
      <c r="AN112" s="3"/>
      <c r="AO112" s="3" t="str">
        <f ca="1">IFERROR(__xludf.DUMMYFUNCTION("GOOGLETRANSLATE(AP112,""en"",""ta"")"),"#VALUE!")</f>
        <v>#VALUE!</v>
      </c>
      <c r="AP112" s="3"/>
      <c r="AQ112" s="3"/>
      <c r="AR112" s="3" t="str">
        <f ca="1">IFERROR(__xludf.DUMMYFUNCTION("GOOGLETRANSLATE(AS112,""en"",""ta"")"),"வாந்தி, மலமிளக்கி, ஆண்டிஸ்பாஸ்மோடிக், எக்ஸ்பெக்டோரண்ட் மற்றும் ஆன்டி பீரியடிக்")</f>
        <v>வாந்தி, மலமிளக்கி, ஆண்டிஸ்பாஸ்மோடிக், எக்ஸ்பெக்டோரண்ட் மற்றும் ஆன்டி பீரியடிக்</v>
      </c>
      <c r="AS112" s="4" t="s">
        <v>1390</v>
      </c>
      <c r="AT112" s="3" t="str">
        <f ca="1">IFERROR(__xludf.DUMMYFUNCTION("GOOGLETRANSLATE(AU112,""en"",""ta"")"),"கலோட்ரோபின், கலோட்ரோபோசைட் ஏ-ஜி, அகுண்டரின், கார்டினோலைடுகள், டானின்கள், சப்போஜெனின்கள், கொரோடோசிஜெனின், ஃப்ருகோசைட், கவுட்சௌக், பைரோடெரெபிக் அமிலம் மற்றும் ஹோலார்ஹெனின்.")</f>
        <v>கலோட்ரோபின், கலோட்ரோபோசைட் ஏ-ஜி, அகுண்டரின், கார்டினோலைடுகள், டானின்கள், சப்போஜெனின்கள், கொரோடோசிஜெனின், ஃப்ருகோசைட், கவுட்சௌக், பைரோடெரெபிக் அமிலம் மற்றும் ஹோலார்ஹெனின்.</v>
      </c>
      <c r="AU112" s="4" t="s">
        <v>1391</v>
      </c>
      <c r="AV112" s="3"/>
      <c r="AW112" s="3" t="str">
        <f ca="1">IFERROR(__xludf.DUMMYFUNCTION("GOOGLETRANSLATE(AX112,""en"",""ta"")"),"இலைச்சாற்றை வேப்ப எண்ணெயுடன் கொதிக்க வைத்து, 
கால்கேரியஸ் ஸ்பர் மீது தடவ வேண்டும். 2. உலர்ந்த இலைகளின் பொடியை 
காயங்கள் மற்றும் புண்கள் மீது தூவினால் அதிகப்படியான 
சிதைவு ஏற்படுவதைத் தடுக்க வேண்டும்.")</f>
        <v>இலைச்சாற்றை வேப்ப எண்ணெயுடன் கொதிக்க வைத்து, 
கால்கேரியஸ் ஸ்பர் மீது தடவ வேண்டும். 2. உலர்ந்த இலைகளின் பொடியை 
காயங்கள் மற்றும் புண்கள் மீது தூவினால் அதிகப்படியான 
சிதைவு ஏற்படுவதைத் தடுக்க வேண்டும்.</v>
      </c>
      <c r="AX112" s="3" t="s">
        <v>2501</v>
      </c>
      <c r="AY112" s="3"/>
      <c r="AZ112" s="3"/>
      <c r="BA112" s="3"/>
      <c r="BB112" s="3"/>
      <c r="BC112" s="3"/>
      <c r="BD112" s="3"/>
      <c r="BE112" s="3"/>
      <c r="BF112" s="3"/>
    </row>
    <row r="113" spans="1:58" ht="84" x14ac:dyDescent="0.15">
      <c r="A113" s="3">
        <v>112</v>
      </c>
      <c r="B113" s="3" t="str">
        <f ca="1">IFERROR(__xludf.DUMMYFUNCTION("GOOGLETRANSLATE(C113,""en"",""ta"")"),"கலோட்ரோபிஸ் புரோசெரா")</f>
        <v>கலோட்ரோபிஸ் புரோசெரா</v>
      </c>
      <c r="C113" s="4" t="s">
        <v>1393</v>
      </c>
      <c r="D113" s="3" t="str">
        <f ca="1">IFERROR(__xludf.DUMMYFUNCTION("GOOGLETRANSLATE(E113,""en"",""ta"")"),"அலார்கா")</f>
        <v>அலார்கா</v>
      </c>
      <c r="E113" s="4" t="s">
        <v>1394</v>
      </c>
      <c r="F113" s="3" t="str">
        <f ca="1">IFERROR(__xludf.DUMMYFUNCTION("GOOGLETRANSLATE(G113,""en"",""ta"")"),"வெள்ளெருக்கு")</f>
        <v>வெள்ளெருக்கு</v>
      </c>
      <c r="G113" s="4" t="s">
        <v>1395</v>
      </c>
      <c r="H113" s="3" t="str">
        <f ca="1">IFERROR(__xludf.DUMMYFUNCTION("GOOGLETRANSLATE(I113,""en"",""ta"")"),"பால் களை")</f>
        <v>பால் களை</v>
      </c>
      <c r="I113" s="4" t="s">
        <v>1396</v>
      </c>
      <c r="J113" s="3" t="str">
        <f ca="1">IFERROR(__xludf.DUMMYFUNCTION("GOOGLETRANSLATE(K113,""en"",""ta"")"),"தெல்லா ஜில்லுடு")</f>
        <v>தெல்லா ஜில்லுடு</v>
      </c>
      <c r="K113" s="4" t="s">
        <v>1397</v>
      </c>
      <c r="L113" s="3" t="str">
        <f ca="1">IFERROR(__xludf.DUMMYFUNCTION("GOOGLETRANSLATE(M113,""en"",""ta"")"),"வெள்ளிரிக்கா")</f>
        <v>வெள்ளிரிக்கா</v>
      </c>
      <c r="M113" s="4" t="s">
        <v>1398</v>
      </c>
      <c r="N113" s="3" t="str">
        <f ca="1">IFERROR(__xludf.DUMMYFUNCTION("GOOGLETRANSLATE(O113,""en"",""ta"")"),"அகலா")</f>
        <v>அகலா</v>
      </c>
      <c r="O113" s="4" t="s">
        <v>1399</v>
      </c>
      <c r="P113" s="3"/>
      <c r="Q113" s="3" t="str">
        <f ca="1">IFERROR(__xludf.DUMMYFUNCTION("GOOGLETRANSLATE(R113,""en"",""ta"")"),"பருத்தி போன்ற தொப்புள் கொடியால் மூடப்பட்ட பால் போன்ற புதர், ஜிகாண்டியாவை விட சற்று சிறியது. இலைகள் எளிமையானவை, எதிரெதிர் மற்றும் குறுக்கு வடிவானவை. தண்டு, இலைகள் மற்றும் பூக்கள் வெண்மையான கம்பளியால் மூடப்பட்டிருக்கும். மஞ்சரி என்பது வெள்ளை நிற நிமிர்ந்த இ"&amp;"தழ்களைக் கொண்ட குடை அல்லது பக்கவாட்டு மஞ்சரித் தண்டு. பழங்கள் நுண்ணறை, விதைகள் முட்டை வடிவானது.")</f>
        <v>பருத்தி போன்ற தொப்புள் கொடியால் மூடப்பட்ட பால் போன்ற புதர், ஜிகாண்டியாவை விட சற்று சிறியது. இலைகள் எளிமையானவை, எதிரெதிர் மற்றும் குறுக்கு வடிவானவை. தண்டு, இலைகள் மற்றும் பூக்கள் வெண்மையான கம்பளியால் மூடப்பட்டிருக்கும். மஞ்சரி என்பது வெள்ளை நிற நிமிர்ந்த இதழ்களைக் கொண்ட குடை அல்லது பக்கவாட்டு மஞ்சரித் தண்டு. பழங்கள் நுண்ணறை, விதைகள் முட்டை வடிவானது.</v>
      </c>
      <c r="R113" s="4" t="s">
        <v>1400</v>
      </c>
      <c r="S113" s="3" t="str">
        <f ca="1">IFERROR(__xludf.DUMMYFUNCTION("GOOGLETRANSLATE(T113,""en"",""ta"")"),"#VALUE!")</f>
        <v>#VALUE!</v>
      </c>
      <c r="T113" s="3"/>
      <c r="U113" s="3" t="str">
        <f ca="1">IFERROR(__xludf.DUMMYFUNCTION("GOOGLETRANSLATE(V113,""en"",""ta"")"),"#VALUE!")</f>
        <v>#VALUE!</v>
      </c>
      <c r="V113" s="3"/>
      <c r="W113" s="3" t="str">
        <f ca="1">IFERROR(__xludf.DUMMYFUNCTION("GOOGLETRANSLATE(X113,""en"",""ta"")"),"#VALUE!")</f>
        <v>#VALUE!</v>
      </c>
      <c r="X113" s="3"/>
      <c r="Y113" s="3" t="str">
        <f ca="1">IFERROR(__xludf.DUMMYFUNCTION("GOOGLETRANSLATE(Z113,""en"",""ta"")"),"#VALUE!")</f>
        <v>#VALUE!</v>
      </c>
      <c r="Z113" s="3"/>
      <c r="AA113" s="3" t="str">
        <f ca="1">IFERROR(__xludf.DUMMYFUNCTION("GOOGLETRANSLATE(AB113,""en"",""ta"")"),"#VALUE!")</f>
        <v>#VALUE!</v>
      </c>
      <c r="AB113" s="3"/>
      <c r="AC113" s="3" t="str">
        <f ca="1">IFERROR(__xludf.DUMMYFUNCTION("GOOGLETRANSLATE(AD113,""en"",""ta"")"),"#VALUE!")</f>
        <v>#VALUE!</v>
      </c>
      <c r="AD113" s="3"/>
      <c r="AE113" s="3" t="str">
        <f ca="1">IFERROR(__xludf.DUMMYFUNCTION("GOOGLETRANSLATE(AF113,""en"",""ta"")"),"#VALUE!")</f>
        <v>#VALUE!</v>
      </c>
      <c r="AF113" s="3"/>
      <c r="AG113" s="3" t="str">
        <f ca="1">IFERROR(__xludf.DUMMYFUNCTION("GOOGLETRANSLATE(AH113,""en"",""ta"")"),"#VALUE!")</f>
        <v>#VALUE!</v>
      </c>
      <c r="AH113" s="3"/>
      <c r="AI113" s="3" t="str">
        <f ca="1">IFERROR(__xludf.DUMMYFUNCTION("GOOGLETRANSLATE(AJ113,""en"",""ta"")"),"#VALUE!")</f>
        <v>#VALUE!</v>
      </c>
      <c r="AJ113" s="3"/>
      <c r="AK113" s="3" t="str">
        <f ca="1">IFERROR(__xludf.DUMMYFUNCTION("GOOGLETRANSLATE(AL113,""en"",""ta"")"),"#VALUE!")</f>
        <v>#VALUE!</v>
      </c>
      <c r="AL113" s="3"/>
      <c r="AM113" s="3" t="str">
        <f ca="1">IFERROR(__xludf.DUMMYFUNCTION("GOOGLETRANSLATE(AN113,""en"",""ta"")"),"#VALUE!")</f>
        <v>#VALUE!</v>
      </c>
      <c r="AN113" s="3"/>
      <c r="AO113" s="3" t="str">
        <f ca="1">IFERROR(__xludf.DUMMYFUNCTION("GOOGLETRANSLATE(AP113,""en"",""ta"")"),"#VALUE!")</f>
        <v>#VALUE!</v>
      </c>
      <c r="AP113" s="3"/>
      <c r="AQ113" s="3"/>
      <c r="AR113" s="3" t="str">
        <f ca="1">IFERROR(__xludf.DUMMYFUNCTION("GOOGLETRANSLATE(AS113,""en"",""ta"")"),"எம்மெனாகோக், மாற்று மருந்து, அழற்சி எதிர்ப்பு, பாக்டீரியா எதிர்ப்பு மற்றும் பூஞ்சை எதிர்ப்பு.")</f>
        <v>எம்மெனாகோக், மாற்று மருந்து, அழற்சி எதிர்ப்பு, பாக்டீரியா எதிர்ப்பு மற்றும் பூஞ்சை எதிர்ப்பு.</v>
      </c>
      <c r="AS113" s="4" t="s">
        <v>1401</v>
      </c>
      <c r="AT113" s="3" t="str">
        <f ca="1">IFERROR(__xludf.DUMMYFUNCTION("GOOGLETRANSLATE(AU113,""en"",""ta"")"),"கலோட்ரோபின், கலோடாக்சின், உஷாரின், பி-சிட்டோஸ்டெரால், கார்டனோலைடுகள், சயனிடைன்-3-ரம்னோ குளுக்கோசைடு, ஏ- &amp; பி-அமிரின் மற்றும் சாவிடின்.")</f>
        <v>கலோட்ரோபின், கலோடாக்சின், உஷாரின், பி-சிட்டோஸ்டெரால், கார்டனோலைடுகள், சயனிடைன்-3-ரம்னோ குளுக்கோசைடு, ஏ- &amp; பி-அமிரின் மற்றும் சாவிடின்.</v>
      </c>
      <c r="AU113" s="4" t="s">
        <v>1402</v>
      </c>
      <c r="AV113" s="3"/>
      <c r="AW113" s="3" t="str">
        <f ca="1">IFERROR(__xludf.DUMMYFUNCTION("GOOGLETRANSLATE(AX113,""en"",""ta"")"),"மிளகுடன் பூவின் இதழ்கள் 
மாத்திரைகளாக தயாரிக்கப்பட்டு 
ஆஸ்துமாவில் கொடுக்கப்படுகின்றன. 2. டெலோனிக்ஸ் இலைகளுடன் இலைகளை ஒன்றாக வறுத்து 
மூட்டுகளின் வீக்கத்திற்கு தடவப்படுகிறது.")</f>
        <v>மிளகுடன் பூவின் இதழ்கள் 
மாத்திரைகளாக தயாரிக்கப்பட்டு 
ஆஸ்துமாவில் கொடுக்கப்படுகின்றன. 2. டெலோனிக்ஸ் இலைகளுடன் இலைகளை ஒன்றாக வறுத்து 
மூட்டுகளின் வீக்கத்திற்கு தடவப்படுகிறது.</v>
      </c>
      <c r="AX113" s="3" t="s">
        <v>1403</v>
      </c>
      <c r="AY113" s="3"/>
      <c r="AZ113" s="3"/>
      <c r="BA113" s="3"/>
      <c r="BB113" s="3"/>
      <c r="BC113" s="3"/>
      <c r="BD113" s="3"/>
      <c r="BE113" s="3"/>
      <c r="BF113" s="3"/>
    </row>
    <row r="114" spans="1:58" ht="56" x14ac:dyDescent="0.15">
      <c r="A114" s="3">
        <v>113</v>
      </c>
      <c r="B114" s="3" t="str">
        <f ca="1">IFERROR(__xludf.DUMMYFUNCTION("GOOGLETRANSLATE(C114,""en"",""ta"")"),"கேமல்லியா சினென்சிஸ்")</f>
        <v>கேமல்லியா சினென்சிஸ்</v>
      </c>
      <c r="C114" s="4" t="s">
        <v>1404</v>
      </c>
      <c r="D114" s="3" t="str">
        <f ca="1">IFERROR(__xludf.DUMMYFUNCTION("GOOGLETRANSLATE(E114,""en"",""ta"")"),"சாவிகா")</f>
        <v>சாவிகா</v>
      </c>
      <c r="E114" s="4" t="s">
        <v>1405</v>
      </c>
      <c r="F114" s="3" t="str">
        <f ca="1">IFERROR(__xludf.DUMMYFUNCTION("GOOGLETRANSLATE(G114,""en"",""ta"")"),"தேய்லை")</f>
        <v>தேய்லை</v>
      </c>
      <c r="G114" s="4" t="s">
        <v>1406</v>
      </c>
      <c r="H114" s="3" t="str">
        <f ca="1">IFERROR(__xludf.DUMMYFUNCTION("GOOGLETRANSLATE(I114,""en"",""ta"")"),"தேயிலை செடி")</f>
        <v>தேயிலை செடி</v>
      </c>
      <c r="I114" s="4" t="s">
        <v>1407</v>
      </c>
      <c r="J114" s="3" t="str">
        <f ca="1">IFERROR(__xludf.DUMMYFUNCTION("GOOGLETRANSLATE(K114,""en"",""ta"")"),"தியாகு")</f>
        <v>தியாகு</v>
      </c>
      <c r="K114" s="4" t="s">
        <v>1408</v>
      </c>
      <c r="L114" s="3" t="str">
        <f ca="1">IFERROR(__xludf.DUMMYFUNCTION("GOOGLETRANSLATE(M114,""en"",""ta"")"),"சாயா")</f>
        <v>சாயா</v>
      </c>
      <c r="M114" s="4" t="s">
        <v>287</v>
      </c>
      <c r="N114" s="3" t="str">
        <f ca="1">IFERROR(__xludf.DUMMYFUNCTION("GOOGLETRANSLATE(O114,""en"",""ta"")"),"சாய்")</f>
        <v>சாய்</v>
      </c>
      <c r="O114" s="4" t="s">
        <v>1409</v>
      </c>
      <c r="P114" s="3"/>
      <c r="Q114" s="3" t="str">
        <f ca="1">IFERROR(__xludf.DUMMYFUNCTION("GOOGLETRANSLATE(R114,""en"",""ta"")"),"பசுமையான புதர். இலைகள் எளிமையானவை, நிமிர்ந்தவை, கோரியேசியஸ், குறுகலான நுனியுடன், பொதுவாக முழுமையானவை. மலர்கள் தனித்தவை, இலைக்கோணங்களில் பொதுவாக கிளைகளின் முனைகளை நோக்கி அமைந்துள்ளன. பழங்கள் லோகுலிசிடல் காப்ஸ்யூல். விதைகள் சிறகுகள் கொண்டவை, கோட்டிலிடன்கள் "&amp;"முட்டை வடிவானவை.")</f>
        <v>பசுமையான புதர். இலைகள் எளிமையானவை, நிமிர்ந்தவை, கோரியேசியஸ், குறுகலான நுனியுடன், பொதுவாக முழுமையானவை. மலர்கள் தனித்தவை, இலைக்கோணங்களில் பொதுவாக கிளைகளின் முனைகளை நோக்கி அமைந்துள்ளன. பழங்கள் லோகுலிசிடல் காப்ஸ்யூல். விதைகள் சிறகுகள் கொண்டவை, கோட்டிலிடன்கள் முட்டை வடிவானவை.</v>
      </c>
      <c r="R114" s="4" t="s">
        <v>1410</v>
      </c>
      <c r="S114" s="3" t="str">
        <f ca="1">IFERROR(__xludf.DUMMYFUNCTION("GOOGLETRANSLATE(T114,""en"",""ta"")"),"#VALUE!")</f>
        <v>#VALUE!</v>
      </c>
      <c r="T114" s="3"/>
      <c r="U114" s="3" t="str">
        <f ca="1">IFERROR(__xludf.DUMMYFUNCTION("GOOGLETRANSLATE(V114,""en"",""ta"")"),"#VALUE!")</f>
        <v>#VALUE!</v>
      </c>
      <c r="V114" s="3"/>
      <c r="W114" s="3" t="str">
        <f ca="1">IFERROR(__xludf.DUMMYFUNCTION("GOOGLETRANSLATE(X114,""en"",""ta"")"),"#VALUE!")</f>
        <v>#VALUE!</v>
      </c>
      <c r="X114" s="3"/>
      <c r="Y114" s="3" t="str">
        <f ca="1">IFERROR(__xludf.DUMMYFUNCTION("GOOGLETRANSLATE(Z114,""en"",""ta"")"),"#VALUE!")</f>
        <v>#VALUE!</v>
      </c>
      <c r="Z114" s="3"/>
      <c r="AA114" s="3" t="str">
        <f ca="1">IFERROR(__xludf.DUMMYFUNCTION("GOOGLETRANSLATE(AB114,""en"",""ta"")"),"#VALUE!")</f>
        <v>#VALUE!</v>
      </c>
      <c r="AB114" s="3"/>
      <c r="AC114" s="3" t="str">
        <f ca="1">IFERROR(__xludf.DUMMYFUNCTION("GOOGLETRANSLATE(AD114,""en"",""ta"")"),"#VALUE!")</f>
        <v>#VALUE!</v>
      </c>
      <c r="AD114" s="3"/>
      <c r="AE114" s="3" t="str">
        <f ca="1">IFERROR(__xludf.DUMMYFUNCTION("GOOGLETRANSLATE(AF114,""en"",""ta"")"),"#VALUE!")</f>
        <v>#VALUE!</v>
      </c>
      <c r="AF114" s="3"/>
      <c r="AG114" s="3" t="str">
        <f ca="1">IFERROR(__xludf.DUMMYFUNCTION("GOOGLETRANSLATE(AH114,""en"",""ta"")"),"#VALUE!")</f>
        <v>#VALUE!</v>
      </c>
      <c r="AH114" s="3"/>
      <c r="AI114" s="3" t="str">
        <f ca="1">IFERROR(__xludf.DUMMYFUNCTION("GOOGLETRANSLATE(AJ114,""en"",""ta"")"),"#VALUE!")</f>
        <v>#VALUE!</v>
      </c>
      <c r="AJ114" s="3"/>
      <c r="AK114" s="3" t="str">
        <f ca="1">IFERROR(__xludf.DUMMYFUNCTION("GOOGLETRANSLATE(AL114,""en"",""ta"")"),"#VALUE!")</f>
        <v>#VALUE!</v>
      </c>
      <c r="AL114" s="3"/>
      <c r="AM114" s="3" t="str">
        <f ca="1">IFERROR(__xludf.DUMMYFUNCTION("GOOGLETRANSLATE(AN114,""en"",""ta"")"),"#VALUE!")</f>
        <v>#VALUE!</v>
      </c>
      <c r="AN114" s="3"/>
      <c r="AO114" s="3" t="str">
        <f ca="1">IFERROR(__xludf.DUMMYFUNCTION("GOOGLETRANSLATE(AP114,""en"",""ta"")"),"#VALUE!")</f>
        <v>#VALUE!</v>
      </c>
      <c r="AP114" s="3"/>
      <c r="AQ114" s="3"/>
      <c r="AR114" s="3" t="str">
        <f ca="1">IFERROR(__xludf.DUMMYFUNCTION("GOOGLETRANSLATE(AS114,""en"",""ta"")"),"#VALUE!")</f>
        <v>#VALUE!</v>
      </c>
      <c r="AS114" s="3"/>
      <c r="AT114" s="3" t="str">
        <f ca="1">IFERROR(__xludf.DUMMYFUNCTION("GOOGLETRANSLATE(AU114,""en"",""ta"")"),"தியோப்ரோமைன், தியோபிலின், தியீன், காஃபின், எபிகாடெசின் கேலேட், தியாசபோஜெனால், சின்னமிக் அமிலம், குளுகுரோனிக் அமிலம், சாண்ட்விச், ஏஞ்சலிக் அமிலம், குவெர்செட்டின்-3-ஓ-பிரக்டோகுளுக்கோசைடு")</f>
        <v>தியோப்ரோமைன், தியோபிலின், தியீன், காஃபின், எபிகாடெசின் கேலேட், தியாசபோஜெனால், சின்னமிக் அமிலம், குளுகுரோனிக் அமிலம், சாண்ட்விச், ஏஞ்சலிக் அமிலம், குவெர்செட்டின்-3-ஓ-பிரக்டோகுளுக்கோசைடு</v>
      </c>
      <c r="AU114" s="4" t="s">
        <v>1411</v>
      </c>
      <c r="AV114" s="3"/>
      <c r="AW114" s="3" t="str">
        <f ca="1">IFERROR(__xludf.DUMMYFUNCTION("GOOGLETRANSLATE(AX114,""en"",""ta"")"),"தேநீர் ஒரு தூண்டுதல் பானம் 
தசை மற்றும் மன சோர்வைப் போக்கும். 2. தேநீர் ஒரு டையூரிடிக் விளைவைக் கொண்டுள்ளது மற்றும் 
இரைப்பை சுரப்பைத் தூண்டுகிறது.")</f>
        <v>தேநீர் ஒரு தூண்டுதல் பானம் 
தசை மற்றும் மன சோர்வைப் போக்கும். 2. தேநீர் ஒரு டையூரிடிக் விளைவைக் கொண்டுள்ளது மற்றும் 
இரைப்பை சுரப்பைத் தூண்டுகிறது.</v>
      </c>
      <c r="AX114" s="3" t="s">
        <v>1412</v>
      </c>
      <c r="AY114" s="3"/>
      <c r="AZ114" s="3"/>
      <c r="BA114" s="3"/>
      <c r="BB114" s="3"/>
      <c r="BC114" s="3"/>
      <c r="BD114" s="3"/>
      <c r="BE114" s="3"/>
      <c r="BF114" s="3"/>
    </row>
    <row r="115" spans="1:58" ht="70" x14ac:dyDescent="0.15">
      <c r="A115" s="3">
        <v>114</v>
      </c>
      <c r="B115" s="3" t="str">
        <f ca="1">IFERROR(__xludf.DUMMYFUNCTION("GOOGLETRANSLATE(C115,""en"",""ta"")"),"கனேரியம் ஸ்ட்ரிக்டம்")</f>
        <v>கனேரியம் ஸ்ட்ரிக்டம்</v>
      </c>
      <c r="C115" s="4" t="s">
        <v>1413</v>
      </c>
      <c r="D115" s="3" t="str">
        <f ca="1">IFERROR(__xludf.DUMMYFUNCTION("GOOGLETRANSLATE(E115,""en"",""ta"")"),"மண்டதூபா")</f>
        <v>மண்டதூபா</v>
      </c>
      <c r="E115" s="4" t="s">
        <v>1414</v>
      </c>
      <c r="F115" s="3" t="str">
        <f ca="1">IFERROR(__xludf.DUMMYFUNCTION("GOOGLETRANSLATE(G115,""en"",""ta"")"),"கருண் குங்கிலியம்")</f>
        <v>கருண் குங்கிலியம்</v>
      </c>
      <c r="G115" s="4" t="s">
        <v>1415</v>
      </c>
      <c r="H115" s="3" t="str">
        <f ca="1">IFERROR(__xludf.DUMMYFUNCTION("GOOGLETRANSLATE(I115,""en"",""ta"")"),"கருப்பு டாமர்")</f>
        <v>கருப்பு டாமர்</v>
      </c>
      <c r="I115" s="4" t="s">
        <v>1416</v>
      </c>
      <c r="J115" s="3" t="str">
        <f ca="1">IFERROR(__xludf.DUMMYFUNCTION("GOOGLETRANSLATE(K115,""en"",""ta"")"),"நல்லரோஜனமு")</f>
        <v>நல்லரோஜனமு</v>
      </c>
      <c r="K115" s="4" t="s">
        <v>1417</v>
      </c>
      <c r="L115" s="3" t="str">
        <f ca="1">IFERROR(__xludf.DUMMYFUNCTION("GOOGLETRANSLATE(M115,""en"",""ta"")"),"கனரி-டெல்லி")</f>
        <v>கனரி-டெல்லி</v>
      </c>
      <c r="M115" s="4" t="s">
        <v>1418</v>
      </c>
      <c r="N115" s="3" t="str">
        <f ca="1">IFERROR(__xludf.DUMMYFUNCTION("GOOGLETRANSLATE(O115,""en"",""ta"")"),"காலா-டம்மர்")</f>
        <v>காலா-டம்மர்</v>
      </c>
      <c r="O115" s="4" t="s">
        <v>1419</v>
      </c>
      <c r="P115" s="3"/>
      <c r="Q115" s="3" t="str">
        <f ca="1">IFERROR(__xludf.DUMMYFUNCTION("GOOGLETRANSLATE(R115,""en"",""ta"")"),"மிக உயரமான, எப்போதும் பச்சை நிறமான, இலையுதிர், பட்ரஸ்டு மரம். இலைகள் ஒற்றை சிறகு வடிவானது, 3-7 ஜோடிகள் சிற்றிலைகள், கோரியேசியஸ், பளபளப்பான மற்றும் உரோமங்களற்றது. மலர்கள் குறுகிய கிளைகளில், சிறிய வெள்ளை அல்லது பிரகாசமான மஞ்சள் நிற இலைக்கோணங்களில் காணப்படும"&amp;"். பழங்கள் உள்ளோட்டு, நீள்வட்ட வடிவானது, கடினமான கல் விதையுடன் கூடிய பிசின் போன்றது.")</f>
        <v>மிக உயரமான, எப்போதும் பச்சை நிறமான, இலையுதிர், பட்ரஸ்டு மரம். இலைகள் ஒற்றை சிறகு வடிவானது, 3-7 ஜோடிகள் சிற்றிலைகள், கோரியேசியஸ், பளபளப்பான மற்றும் உரோமங்களற்றது. மலர்கள் குறுகிய கிளைகளில், சிறிய வெள்ளை அல்லது பிரகாசமான மஞ்சள் நிற இலைக்கோணங்களில் காணப்படும். பழங்கள் உள்ளோட்டு, நீள்வட்ட வடிவானது, கடினமான கல் விதையுடன் கூடிய பிசின் போன்றது.</v>
      </c>
      <c r="R115" s="4" t="s">
        <v>1420</v>
      </c>
      <c r="S115" s="3" t="str">
        <f ca="1">IFERROR(__xludf.DUMMYFUNCTION("GOOGLETRANSLATE(T115,""en"",""ta"")"),"#VALUE!")</f>
        <v>#VALUE!</v>
      </c>
      <c r="T115" s="3"/>
      <c r="U115" s="3" t="str">
        <f ca="1">IFERROR(__xludf.DUMMYFUNCTION("GOOGLETRANSLATE(V115,""en"",""ta"")"),"#VALUE!")</f>
        <v>#VALUE!</v>
      </c>
      <c r="V115" s="3"/>
      <c r="W115" s="3" t="str">
        <f ca="1">IFERROR(__xludf.DUMMYFUNCTION("GOOGLETRANSLATE(X115,""en"",""ta"")"),"#VALUE!")</f>
        <v>#VALUE!</v>
      </c>
      <c r="X115" s="3"/>
      <c r="Y115" s="3" t="str">
        <f ca="1">IFERROR(__xludf.DUMMYFUNCTION("GOOGLETRANSLATE(Z115,""en"",""ta"")"),"#VALUE!")</f>
        <v>#VALUE!</v>
      </c>
      <c r="Z115" s="3"/>
      <c r="AA115" s="3" t="str">
        <f ca="1">IFERROR(__xludf.DUMMYFUNCTION("GOOGLETRANSLATE(AB115,""en"",""ta"")"),"#VALUE!")</f>
        <v>#VALUE!</v>
      </c>
      <c r="AB115" s="3"/>
      <c r="AC115" s="3" t="str">
        <f ca="1">IFERROR(__xludf.DUMMYFUNCTION("GOOGLETRANSLATE(AD115,""en"",""ta"")"),"#VALUE!")</f>
        <v>#VALUE!</v>
      </c>
      <c r="AD115" s="3"/>
      <c r="AE115" s="3" t="str">
        <f ca="1">IFERROR(__xludf.DUMMYFUNCTION("GOOGLETRANSLATE(AF115,""en"",""ta"")"),"#VALUE!")</f>
        <v>#VALUE!</v>
      </c>
      <c r="AF115" s="3"/>
      <c r="AG115" s="3" t="str">
        <f ca="1">IFERROR(__xludf.DUMMYFUNCTION("GOOGLETRANSLATE(AH115,""en"",""ta"")"),"#VALUE!")</f>
        <v>#VALUE!</v>
      </c>
      <c r="AH115" s="3"/>
      <c r="AI115" s="3" t="str">
        <f ca="1">IFERROR(__xludf.DUMMYFUNCTION("GOOGLETRANSLATE(AJ115,""en"",""ta"")"),"#VALUE!")</f>
        <v>#VALUE!</v>
      </c>
      <c r="AJ115" s="3"/>
      <c r="AK115" s="3" t="str">
        <f ca="1">IFERROR(__xludf.DUMMYFUNCTION("GOOGLETRANSLATE(AL115,""en"",""ta"")"),"#VALUE!")</f>
        <v>#VALUE!</v>
      </c>
      <c r="AL115" s="3"/>
      <c r="AM115" s="3" t="str">
        <f ca="1">IFERROR(__xludf.DUMMYFUNCTION("GOOGLETRANSLATE(AN115,""en"",""ta"")"),"#VALUE!")</f>
        <v>#VALUE!</v>
      </c>
      <c r="AN115" s="3"/>
      <c r="AO115" s="3" t="str">
        <f ca="1">IFERROR(__xludf.DUMMYFUNCTION("GOOGLETRANSLATE(AP115,""en"",""ta"")"),"#VALUE!")</f>
        <v>#VALUE!</v>
      </c>
      <c r="AP115" s="3"/>
      <c r="AQ115" s="3"/>
      <c r="AR115" s="3" t="str">
        <f ca="1">IFERROR(__xludf.DUMMYFUNCTION("GOOGLETRANSLATE(AS115,""en"",""ta"")"),"தூண்டுதல், சளி நீக்கி மற்றும் சிறுநீர் பெருக்கி.")</f>
        <v>தூண்டுதல், சளி நீக்கி மற்றும் சிறுநீர் பெருக்கி.</v>
      </c>
      <c r="AS115" s="4" t="s">
        <v>1421</v>
      </c>
      <c r="AT115" s="3" t="str">
        <f ca="1">IFERROR(__xludf.DUMMYFUNCTION("GOOGLETRANSLATE(AU115,""en"",""ta"")"),"D-pinene, a-taraxasterol, Canarone, a- amyrin, n-heptane மற்றும் Damarene")</f>
        <v>D-pinene, a-taraxasterol, Canarone, a- amyrin, n-heptane மற்றும் Damarene</v>
      </c>
      <c r="AU115" s="4" t="s">
        <v>1422</v>
      </c>
      <c r="AV115" s="3"/>
      <c r="AW115" s="3" t="str">
        <f ca="1">IFERROR(__xludf.DUMMYFUNCTION("GOOGLETRANSLATE(AX115,""en"",""ta"")"),"வாத வலிகளுக்கு எள் எண்ணெயுடன் கூடிய பிசின் பொடி வெளிப்புறமாகப் பயன்படுத்தப்படுகிறது. 2. தேங்காய் எண்ணெயுடன் கூடிய பிசின் பொடி தடிப்புத் தோல் அழற்சி மற்றும் டைரியாசிஸுக்கு வெளிப்புறப் பயன்பாடாகப் பயன்படுத்தப்படுகிறது.")</f>
        <v>வாத வலிகளுக்கு எள் எண்ணெயுடன் கூடிய பிசின் பொடி வெளிப்புறமாகப் பயன்படுத்தப்படுகிறது. 2. தேங்காய் எண்ணெயுடன் கூடிய பிசின் பொடி தடிப்புத் தோல் அழற்சி மற்றும் டைரியாசிஸுக்கு வெளிப்புறப் பயன்பாடாகப் பயன்படுத்தப்படுகிறது.</v>
      </c>
      <c r="AX115" s="3" t="s">
        <v>1423</v>
      </c>
      <c r="AY115" s="3"/>
      <c r="AZ115" s="3"/>
      <c r="BA115" s="3"/>
      <c r="BB115" s="3"/>
      <c r="BC115" s="3"/>
      <c r="BD115" s="3"/>
      <c r="BE115" s="3"/>
      <c r="BF115" s="3"/>
    </row>
    <row r="116" spans="1:58" ht="42" x14ac:dyDescent="0.15">
      <c r="A116" s="3">
        <v>115</v>
      </c>
      <c r="B116" s="3" t="str">
        <f ca="1">IFERROR(__xludf.DUMMYFUNCTION("GOOGLETRANSLATE(C116,""en"",""ta"")"),"கன்னா இண்டிகா")</f>
        <v>கன்னா இண்டிகா</v>
      </c>
      <c r="C116" s="4" t="s">
        <v>1424</v>
      </c>
      <c r="D116" s="3" t="str">
        <f ca="1">IFERROR(__xludf.DUMMYFUNCTION("GOOGLETRANSLATE(E116,""en"",""ta"")"),"தேவா குலி")</f>
        <v>தேவா குலி</v>
      </c>
      <c r="E116" s="4" t="s">
        <v>1425</v>
      </c>
      <c r="F116" s="3" t="str">
        <f ca="1">IFERROR(__xludf.DUMMYFUNCTION("GOOGLETRANSLATE(G116,""en"",""ta"")"),"கல் வாழை")</f>
        <v>கல் வாழை</v>
      </c>
      <c r="G116" s="4" t="s">
        <v>1426</v>
      </c>
      <c r="H116" s="3" t="str">
        <f ca="1">IFERROR(__xludf.DUMMYFUNCTION("GOOGLETRANSLATE(I116,""en"",""ta"")"),"இந்திய ரொட்டி ஷாட்")</f>
        <v>இந்திய ரொட்டி ஷாட்</v>
      </c>
      <c r="I116" s="4" t="s">
        <v>1427</v>
      </c>
      <c r="J116" s="3" t="str">
        <f ca="1">IFERROR(__xludf.DUMMYFUNCTION("GOOGLETRANSLATE(K116,""en"",""ta"")"),"கிருஷ்ணா தாமரை")</f>
        <v>கிருஷ்ணா தாமரை</v>
      </c>
      <c r="K116" s="4" t="s">
        <v>1428</v>
      </c>
      <c r="L116" s="3" t="str">
        <f ca="1">IFERROR(__xludf.DUMMYFUNCTION("GOOGLETRANSLATE(M116,""en"",""ta"")"),"கட்டு வர")</f>
        <v>கட்டு வர</v>
      </c>
      <c r="M116" s="4" t="s">
        <v>1429</v>
      </c>
      <c r="N116" s="3" t="str">
        <f ca="1">IFERROR(__xludf.DUMMYFUNCTION("GOOGLETRANSLATE(O116,""en"",""ta"")"),"சப்பா ஜெயா")</f>
        <v>சப்பா ஜெயா</v>
      </c>
      <c r="O116" s="4" t="s">
        <v>1430</v>
      </c>
      <c r="P116" s="3"/>
      <c r="Q116" s="3" t="str">
        <f ca="1">IFERROR(__xludf.DUMMYFUNCTION("GOOGLETRANSLATE(R116,""en"",""ta"")"),"நிமிர்ந்த, வற்றாத, இலைக்காம்புகள் கொண்ட, போலி தண்டுகள் மற்றும் வேர் தண்டுகள் கொண்ட மூலிகை. இலைகள் பெரியவை, நீள்வட்ட வடிவானவை மற்றும் ஈட்டி வடிவானவை. பூக்கள் முனைய கூர்முனை அல்லது பேனிக்கிளில் பொதுவாக சிவப்பு நிறத்துடன் பிரகாசமான நிறத்தில் இருக்கும், லேபிள"&amp;"ம் மற்றும் பாணி பெரும்பாலும் மஞ்சள் நிறத்தில் சிவப்பு நிற கோடுகளுடன் இருக்கும். பழங்கள் காப்ஸ்யூல், கோள வடிவமானது. விதைகள் கருப்பு மற்றும் கடினமானவை.")</f>
        <v>நிமிர்ந்த, வற்றாத, இலைக்காம்புகள் கொண்ட, போலி தண்டுகள் மற்றும் வேர் தண்டுகள் கொண்ட மூலிகை. இலைகள் பெரியவை, நீள்வட்ட வடிவானவை மற்றும் ஈட்டி வடிவானவை. பூக்கள் முனைய கூர்முனை அல்லது பேனிக்கிளில் பொதுவாக சிவப்பு நிறத்துடன் பிரகாசமான நிறத்தில் இருக்கும், லேபிளம் மற்றும் பாணி பெரும்பாலும் மஞ்சள் நிறத்தில் சிவப்பு நிற கோடுகளுடன் இருக்கும். பழங்கள் காப்ஸ்யூல், கோள வடிவமானது. விதைகள் கருப்பு மற்றும் கடினமானவை.</v>
      </c>
      <c r="R116" s="4" t="s">
        <v>1431</v>
      </c>
      <c r="S116" s="3" t="str">
        <f ca="1">IFERROR(__xludf.DUMMYFUNCTION("GOOGLETRANSLATE(T116,""en"",""ta"")"),"காய்ச்சல், நீர்ச்சத்து குறைவு, டிஸ்ஸ்பெசியா.")</f>
        <v>காய்ச்சல், நீர்ச்சத்து குறைவு, டிஸ்ஸ்பெசியா.</v>
      </c>
      <c r="T116" s="4" t="s">
        <v>1432</v>
      </c>
      <c r="U116" s="3" t="str">
        <f ca="1">IFERROR(__xludf.DUMMYFUNCTION("GOOGLETRANSLATE(V116,""en"",""ta"")"),"#VALUE!")</f>
        <v>#VALUE!</v>
      </c>
      <c r="V116" s="3"/>
      <c r="W116" s="3" t="str">
        <f ca="1">IFERROR(__xludf.DUMMYFUNCTION("GOOGLETRANSLATE(X116,""en"",""ta"")"),"#VALUE!")</f>
        <v>#VALUE!</v>
      </c>
      <c r="X116" s="3"/>
      <c r="Y116" s="3" t="str">
        <f ca="1">IFERROR(__xludf.DUMMYFUNCTION("GOOGLETRANSLATE(Z116,""en"",""ta"")"),"#VALUE!")</f>
        <v>#VALUE!</v>
      </c>
      <c r="Z116" s="3"/>
      <c r="AA116" s="3" t="str">
        <f ca="1">IFERROR(__xludf.DUMMYFUNCTION("GOOGLETRANSLATE(AB116,""en"",""ta"")"),"#VALUE!")</f>
        <v>#VALUE!</v>
      </c>
      <c r="AB116" s="3"/>
      <c r="AC116" s="3" t="str">
        <f ca="1">IFERROR(__xludf.DUMMYFUNCTION("GOOGLETRANSLATE(AD116,""en"",""ta"")"),"#VALUE!")</f>
        <v>#VALUE!</v>
      </c>
      <c r="AD116" s="3"/>
      <c r="AE116" s="3" t="str">
        <f ca="1">IFERROR(__xludf.DUMMYFUNCTION("GOOGLETRANSLATE(AF116,""en"",""ta"")"),"#VALUE!")</f>
        <v>#VALUE!</v>
      </c>
      <c r="AF116" s="3"/>
      <c r="AG116" s="3" t="str">
        <f ca="1">IFERROR(__xludf.DUMMYFUNCTION("GOOGLETRANSLATE(AH116,""en"",""ta"")"),"#VALUE!")</f>
        <v>#VALUE!</v>
      </c>
      <c r="AH116" s="3"/>
      <c r="AI116" s="3" t="str">
        <f ca="1">IFERROR(__xludf.DUMMYFUNCTION("GOOGLETRANSLATE(AJ116,""en"",""ta"")"),"#VALUE!")</f>
        <v>#VALUE!</v>
      </c>
      <c r="AJ116" s="3"/>
      <c r="AK116" s="3" t="str">
        <f ca="1">IFERROR(__xludf.DUMMYFUNCTION("GOOGLETRANSLATE(AL116,""en"",""ta"")"),"#VALUE!")</f>
        <v>#VALUE!</v>
      </c>
      <c r="AL116" s="3"/>
      <c r="AM116" s="3" t="str">
        <f ca="1">IFERROR(__xludf.DUMMYFUNCTION("GOOGLETRANSLATE(AN116,""en"",""ta"")"),"காது வலி.")</f>
        <v>காது வலி.</v>
      </c>
      <c r="AN116" s="4" t="s">
        <v>1433</v>
      </c>
      <c r="AO116" s="3" t="str">
        <f ca="1">IFERROR(__xludf.DUMMYFUNCTION("GOOGLETRANSLATE(AP116,""en"",""ta"")"),"#VALUE!")</f>
        <v>#VALUE!</v>
      </c>
      <c r="AP116" s="3"/>
      <c r="AQ116" s="3"/>
      <c r="AR116" s="3" t="str">
        <f ca="1">IFERROR(__xludf.DUMMYFUNCTION("GOOGLETRANSLATE(AS116,""en"",""ta"")"),"போதைப்பொருள், டயாபோரெடிக், டையூரிடிக்.")</f>
        <v>போதைப்பொருள், டயாபோரெடிக், டையூரிடிக்.</v>
      </c>
      <c r="AS116" s="4" t="s">
        <v>1434</v>
      </c>
      <c r="AT116" s="3" t="str">
        <f ca="1">IFERROR(__xludf.DUMMYFUNCTION("GOOGLETRANSLATE(AU116,""en"",""ta"")"),"ஆல்கலாய்டு, லிக்னின், செல்லுலோஸ், ஃபர்ஃபுரல் மற்றும் ஸ்டார்ச்")</f>
        <v>ஆல்கலாய்டு, லிக்னின், செல்லுலோஸ், ஃபர்ஃபுரல் மற்றும் ஸ்டார்ச்</v>
      </c>
      <c r="AU116" s="4" t="s">
        <v>1435</v>
      </c>
      <c r="AV116" s="3"/>
      <c r="AW116" s="3" t="str">
        <f ca="1">IFERROR(__xludf.DUMMYFUNCTION("GOOGLETRANSLATE(AX116,""en"",""ta"")"),"காய்ச்சலுக்கு வேரின் கஷாயம் உட்புறமாக கொடுக்கப்படுகிறது. 2. காது வலிக்கு வேரின் சாற்றை காதுகளில் விட வேண்டும்.")</f>
        <v>காய்ச்சலுக்கு வேரின் கஷாயம் உட்புறமாக கொடுக்கப்படுகிறது. 2. காது வலிக்கு வேரின் சாற்றை காதுகளில் விட வேண்டும்.</v>
      </c>
      <c r="AX116" s="3" t="s">
        <v>2502</v>
      </c>
      <c r="AY116" s="3"/>
      <c r="AZ116" s="3"/>
      <c r="BA116" s="3"/>
      <c r="BB116" s="3"/>
      <c r="BC116" s="3"/>
      <c r="BD116" s="3"/>
      <c r="BE116" s="3"/>
      <c r="BF116" s="3"/>
    </row>
    <row r="117" spans="1:58" ht="42" x14ac:dyDescent="0.15">
      <c r="A117" s="3">
        <v>116</v>
      </c>
      <c r="B117" s="3" t="str">
        <f ca="1">IFERROR(__xludf.DUMMYFUNCTION("GOOGLETRANSLATE(C117,""en"",""ta"")"),"கஞ்சா சாடிவா")</f>
        <v>கஞ்சா சாடிவா</v>
      </c>
      <c r="C117" s="4" t="s">
        <v>1437</v>
      </c>
      <c r="D117" s="3" t="str">
        <f ca="1">IFERROR(__xludf.DUMMYFUNCTION("GOOGLETRANSLATE(E117,""en"",""ta"")"),"பங்கா")</f>
        <v>பங்கா</v>
      </c>
      <c r="E117" s="4" t="s">
        <v>1438</v>
      </c>
      <c r="F117" s="3" t="str">
        <f ca="1">IFERROR(__xludf.DUMMYFUNCTION("GOOGLETRANSLATE(G117,""en"",""ta"")"),"கஞ்சா")</f>
        <v>கஞ்சா</v>
      </c>
      <c r="G117" s="4" t="s">
        <v>1439</v>
      </c>
      <c r="H117" s="3" t="str">
        <f ca="1">IFERROR(__xludf.DUMMYFUNCTION("GOOGLETRANSLATE(I117,""en"",""ta"")"),"இந்திய சணல்")</f>
        <v>இந்திய சணல்</v>
      </c>
      <c r="I117" s="4" t="s">
        <v>1440</v>
      </c>
      <c r="J117" s="3" t="str">
        <f ca="1">IFERROR(__xludf.DUMMYFUNCTION("GOOGLETRANSLATE(K117,""en"",""ta"")"),"கஞ்சய்")</f>
        <v>கஞ்சய்</v>
      </c>
      <c r="K117" s="3" t="s">
        <v>1441</v>
      </c>
      <c r="L117" s="3" t="str">
        <f ca="1">IFERROR(__xludf.DUMMYFUNCTION("GOOGLETRANSLATE(M117,""en"",""ta"")"),"காஞ்சா")</f>
        <v>காஞ்சா</v>
      </c>
      <c r="M117" s="4" t="s">
        <v>1442</v>
      </c>
      <c r="N117" s="3" t="str">
        <f ca="1">IFERROR(__xludf.DUMMYFUNCTION("GOOGLETRANSLATE(O117,""en"",""ta"")"),"சரஸ்")</f>
        <v>சரஸ்</v>
      </c>
      <c r="O117" s="4" t="s">
        <v>1443</v>
      </c>
      <c r="P117" s="3"/>
      <c r="Q117" s="3" t="str">
        <f ca="1">IFERROR(__xludf.DUMMYFUNCTION("GOOGLETRANSLATE(R117,""en"",""ta"")"),"நறுமணமுள்ள ரெசின் போன்ற வருடாந்திர தாவரம், நிமிர்ந்த கோண தண்டு கொண்டது. பெண் தாவரம் ஆணை விட உயரமானது. இலைகள் உள்ளங்கை வடிவ கூட்டு இலைகள், கீழ் இலைகள் 3-8 இலை வடிவ நீண்ட இலைக்காம்புடன், மேல் 3-1 இலை வடிவ இலைக்காம்புகளாக செல்கின்றன. ஆண் பூக்கள் குறுகிய தொங்"&amp;"கும் பேனிக்கிள்களில் பெண் பூக்கள் சாம்பல் நிற பச்சை நிறத்துடன் குறுகிய அச்சுகளில் கூட்டமாக இருக்கும் கூர்முனைகளில் இருக்கும். பழங்கள் அசீன், விதைகள் கருப்பு.")</f>
        <v>நறுமணமுள்ள ரெசின் போன்ற வருடாந்திர தாவரம், நிமிர்ந்த கோண தண்டு கொண்டது. பெண் தாவரம் ஆணை விட உயரமானது. இலைகள் உள்ளங்கை வடிவ கூட்டு இலைகள், கீழ் இலைகள் 3-8 இலை வடிவ நீண்ட இலைக்காம்புடன், மேல் 3-1 இலை வடிவ இலைக்காம்புகளாக செல்கின்றன. ஆண் பூக்கள் குறுகிய தொங்கும் பேனிக்கிள்களில் பெண் பூக்கள் சாம்பல் நிற பச்சை நிறத்துடன் குறுகிய அச்சுகளில் கூட்டமாக இருக்கும் கூர்முனைகளில் இருக்கும். பழங்கள் அசீன், விதைகள் கருப்பு.</v>
      </c>
      <c r="R117" s="4" t="s">
        <v>1444</v>
      </c>
      <c r="S117" s="3" t="str">
        <f ca="1">IFERROR(__xludf.DUMMYFUNCTION("GOOGLETRANSLATE(T117,""en"",""ta"")"),"#VALUE!")</f>
        <v>#VALUE!</v>
      </c>
      <c r="T117" s="3"/>
      <c r="U117" s="3" t="str">
        <f ca="1">IFERROR(__xludf.DUMMYFUNCTION("GOOGLETRANSLATE(V117,""en"",""ta"")"),"#VALUE!")</f>
        <v>#VALUE!</v>
      </c>
      <c r="V117" s="3"/>
      <c r="W117" s="3" t="str">
        <f ca="1">IFERROR(__xludf.DUMMYFUNCTION("GOOGLETRANSLATE(X117,""en"",""ta"")"),"வலிப்பு, காது வலி, வயிற்று கோளாறுகள், தோல் நோய்கள், தூக்கமின்மை, டெட்டனஸ் மற்றும் கோனோரியா")</f>
        <v>வலிப்பு, காது வலி, வயிற்று கோளாறுகள், தோல் நோய்கள், தூக்கமின்மை, டெட்டனஸ் மற்றும் கோனோரியா</v>
      </c>
      <c r="X117" s="4" t="s">
        <v>1445</v>
      </c>
      <c r="Y117" s="3" t="str">
        <f ca="1">IFERROR(__xludf.DUMMYFUNCTION("GOOGLETRANSLATE(Z117,""en"",""ta"")"),"வலிப்பு.")</f>
        <v>வலிப்பு.</v>
      </c>
      <c r="Z117" s="4" t="s">
        <v>1446</v>
      </c>
      <c r="AA117" s="3" t="str">
        <f ca="1">IFERROR(__xludf.DUMMYFUNCTION("GOOGLETRANSLATE(AB117,""en"",""ta"")"),"வீக்கம், மூல நோய், ஹைட்ரோசெல்.")</f>
        <v>வீக்கம், மூல நோய், ஹைட்ரோசெல்.</v>
      </c>
      <c r="AB117" s="4" t="s">
        <v>1447</v>
      </c>
      <c r="AC117" s="3" t="str">
        <f ca="1">IFERROR(__xludf.DUMMYFUNCTION("GOOGLETRANSLATE(AD117,""en"",""ta"")"),"#VALUE!")</f>
        <v>#VALUE!</v>
      </c>
      <c r="AD117" s="3"/>
      <c r="AE117" s="3" t="str">
        <f ca="1">IFERROR(__xludf.DUMMYFUNCTION("GOOGLETRANSLATE(AF117,""en"",""ta"")"),"#VALUE!")</f>
        <v>#VALUE!</v>
      </c>
      <c r="AF117" s="3"/>
      <c r="AG117" s="3" t="str">
        <f ca="1">IFERROR(__xludf.DUMMYFUNCTION("GOOGLETRANSLATE(AH117,""en"",""ta"")"),"#VALUE!")</f>
        <v>#VALUE!</v>
      </c>
      <c r="AH117" s="3"/>
      <c r="AI117" s="3" t="str">
        <f ca="1">IFERROR(__xludf.DUMMYFUNCTION("GOOGLETRANSLATE(AJ117,""en"",""ta"")"),"#VALUE!")</f>
        <v>#VALUE!</v>
      </c>
      <c r="AJ117" s="3"/>
      <c r="AK117" s="3" t="str">
        <f ca="1">IFERROR(__xludf.DUMMYFUNCTION("GOOGLETRANSLATE(AL117,""en"",""ta"")"),"#VALUE!")</f>
        <v>#VALUE!</v>
      </c>
      <c r="AL117" s="3"/>
      <c r="AM117" s="3" t="str">
        <f ca="1">IFERROR(__xludf.DUMMYFUNCTION("GOOGLETRANSLATE(AN117,""en"",""ta"")"),"#VALUE!")</f>
        <v>#VALUE!</v>
      </c>
      <c r="AN117" s="3"/>
      <c r="AO117" s="3" t="str">
        <f ca="1">IFERROR(__xludf.DUMMYFUNCTION("GOOGLETRANSLATE(AP117,""en"",""ta"")"),"பிசின் : விக்கல் மற்றும் மூச்சுக்குழாய் அழற்சி.")</f>
        <v>பிசின் : விக்கல் மற்றும் மூச்சுக்குழாய் அழற்சி.</v>
      </c>
      <c r="AP117" s="3" t="s">
        <v>1448</v>
      </c>
      <c r="AQ117" s="3"/>
      <c r="AR117" s="3" t="str">
        <f ca="1">IFERROR(__xludf.DUMMYFUNCTION("GOOGLETRANSLATE(AS117,""en"",""ta"")"),"பாலுணர்வூக்கி, மாற்று மருந்து, வலி ​​நிவாரணி, வயிற்று வலி நிவாரணி, கருக்கலைப்பு மருந்து, அழற்சி எதிர்ப்பு மற்றும் கார்மினேட்டிவ்.")</f>
        <v>பாலுணர்வூக்கி, மாற்று மருந்து, வலி ​​நிவாரணி, வயிற்று வலி நிவாரணி, கருக்கலைப்பு மருந்து, அழற்சி எதிர்ப்பு மற்றும் கார்மினேட்டிவ்.</v>
      </c>
      <c r="AS117" s="4" t="s">
        <v>1449</v>
      </c>
      <c r="AT117" s="3" t="str">
        <f ca="1">IFERROR(__xludf.DUMMYFUNCTION("GOOGLETRANSLATE(AU117,""en"",""ta"")"),"ஆவியாகும் எண்ணெய், கன்னாபினைன், கன்னாபிஸ்பிரான், சாடிவின், கன்னாபிட்ரியோல் மற்றும் கன்னாபிசிட்ரான்.")</f>
        <v>ஆவியாகும் எண்ணெய், கன்னாபினைன், கன்னாபிஸ்பிரான், சாடிவின், கன்னாபிட்ரியோல் மற்றும் கன்னாபிசிட்ரான்.</v>
      </c>
      <c r="AU117" s="4" t="s">
        <v>1450</v>
      </c>
      <c r="AV117" s="3"/>
      <c r="AW117" s="3" t="str">
        <f ca="1">IFERROR(__xludf.DUMMYFUNCTION("GOOGLETRANSLATE(AX117,""en"",""ta"")"),"1, இலைப் பொடியுடன் தேன் கலந்து கொடுக்கப்படுகிறது
ஆண்மைக் குறைவு. 2. வலிப்பு நோய்க்கு மிளகு விதைகளுடன் கொடுக்கப்படுகிறது.")</f>
        <v>1, இலைப் பொடியுடன் தேன் கலந்து கொடுக்கப்படுகிறது
ஆண்மைக் குறைவு. 2. வலிப்பு நோய்க்கு மிளகு விதைகளுடன் கொடுக்கப்படுகிறது.</v>
      </c>
      <c r="AX117" s="3" t="s">
        <v>1451</v>
      </c>
      <c r="AY117" s="3"/>
      <c r="AZ117" s="3"/>
      <c r="BA117" s="3"/>
      <c r="BB117" s="3"/>
      <c r="BC117" s="3"/>
      <c r="BD117" s="3"/>
      <c r="BE117" s="3"/>
      <c r="BF117" s="3"/>
    </row>
    <row r="118" spans="1:58" ht="28" x14ac:dyDescent="0.15">
      <c r="A118" s="3">
        <v>117</v>
      </c>
      <c r="B118" s="3" t="str">
        <f ca="1">IFERROR(__xludf.DUMMYFUNCTION("GOOGLETRANSLATE(C118,""en"",""ta"")"),"கேப்பாரிஸ் ஜெய்லானிகா")</f>
        <v>கேப்பாரிஸ் ஜெய்லானிகா</v>
      </c>
      <c r="C118" s="4" t="s">
        <v>1452</v>
      </c>
      <c r="D118" s="3" t="str">
        <f ca="1">IFERROR(__xludf.DUMMYFUNCTION("GOOGLETRANSLATE(E118,""en"",""ta"")"),"கரம்பா")</f>
        <v>கரம்பா</v>
      </c>
      <c r="E118" s="4" t="s">
        <v>1453</v>
      </c>
      <c r="F118" s="3" t="str">
        <f ca="1">IFERROR(__xludf.DUMMYFUNCTION("GOOGLETRANSLATE(G118,""en"",""ta"")"),"ஆத்தொண்டை")</f>
        <v>ஆத்தொண்டை</v>
      </c>
      <c r="G118" s="4" t="s">
        <v>1454</v>
      </c>
      <c r="H118" s="3" t="str">
        <f ca="1">IFERROR(__xludf.DUMMYFUNCTION("GOOGLETRANSLATE(I118,""en"",""ta"")"),"சிலோன் கேப்பர்")</f>
        <v>சிலோன் கேப்பர்</v>
      </c>
      <c r="I118" s="4" t="s">
        <v>1455</v>
      </c>
      <c r="J118" s="3" t="str">
        <f ca="1">IFERROR(__xludf.DUMMYFUNCTION("GOOGLETRANSLATE(K118,""en"",""ta"")"),"அரிடோண்டா")</f>
        <v>அரிடோண்டா</v>
      </c>
      <c r="K118" s="4" t="s">
        <v>1456</v>
      </c>
      <c r="L118" s="3" t="str">
        <f ca="1">IFERROR(__xludf.DUMMYFUNCTION("GOOGLETRANSLATE(M118,""en"",""ta"")"),"அதோண்டா")</f>
        <v>அதோண்டா</v>
      </c>
      <c r="M118" s="4" t="s">
        <v>1457</v>
      </c>
      <c r="N118" s="3" t="str">
        <f ca="1">IFERROR(__xludf.DUMMYFUNCTION("GOOGLETRANSLATE(O118,""en"",""ta"")"),"கோவிந்தா ஃபால்")</f>
        <v>கோவிந்தா ஃபால்</v>
      </c>
      <c r="O118" s="4" t="s">
        <v>1458</v>
      </c>
      <c r="P118" s="3"/>
      <c r="Q118" s="3" t="str">
        <f ca="1">IFERROR(__xludf.DUMMYFUNCTION("GOOGLETRANSLATE(R118,""en"",""ta"")"),"ஒரு பெரிய, ஏறும், மிகவும் முட்கள் நிறைந்த புதர். இலைகள் எளிமையானவை, நீள்வட்ட வடிவானவை, நுனி மியூக்ரோனேட் இலைக்காம்பு வடிவானது மற்றும் முழுமையானது. மலர்கள் வெள்ளை நிறத்தில் பெரும்பாலும் பகட்டானவை, பின்னர் இளஞ்சிவப்பு நிறமாக மாறும், இலைக்கோணங்களில் காணப்படு"&amp;"ம் தனித்த சைம். பழங்கள் பெர்ரி, கோள வடிவமானது, பிரகாசமானது, கருஞ்சிவப்பு, சதைப்பற்றுள்ள மற்றும் சிவப்பு கலந்த பழுப்பு நிறமானது, 5-7 விதைகளுடன்.")</f>
        <v>ஒரு பெரிய, ஏறும், மிகவும் முட்கள் நிறைந்த புதர். இலைகள் எளிமையானவை, நீள்வட்ட வடிவானவை, நுனி மியூக்ரோனேட் இலைக்காம்பு வடிவானது மற்றும் முழுமையானது. மலர்கள் வெள்ளை நிறத்தில் பெரும்பாலும் பகட்டானவை, பின்னர் இளஞ்சிவப்பு நிறமாக மாறும், இலைக்கோணங்களில் காணப்படும் தனித்த சைம். பழங்கள் பெர்ரி, கோள வடிவமானது, பிரகாசமானது, கருஞ்சிவப்பு, சதைப்பற்றுள்ள மற்றும் சிவப்பு கலந்த பழுப்பு நிறமானது, 5-7 விதைகளுடன்.</v>
      </c>
      <c r="R118" s="4" t="s">
        <v>1459</v>
      </c>
      <c r="S118" s="3" t="str">
        <f ca="1">IFERROR(__xludf.DUMMYFUNCTION("GOOGLETRANSLATE(T118,""en"",""ta"")"),"#VALUE!")</f>
        <v>#VALUE!</v>
      </c>
      <c r="T118" s="3"/>
      <c r="U118" s="3" t="str">
        <f ca="1">IFERROR(__xludf.DUMMYFUNCTION("GOOGLETRANSLATE(V118,""en"",""ta"")"),"#VALUE!")</f>
        <v>#VALUE!</v>
      </c>
      <c r="V118" s="3"/>
      <c r="W118" s="3" t="str">
        <f ca="1">IFERROR(__xludf.DUMMYFUNCTION("GOOGLETRANSLATE(X118,""en"",""ta"")"),"#VALUE!")</f>
        <v>#VALUE!</v>
      </c>
      <c r="X118" s="3"/>
      <c r="Y118" s="3" t="str">
        <f ca="1">IFERROR(__xludf.DUMMYFUNCTION("GOOGLETRANSLATE(Z118,""en"",""ta"")"),"#VALUE!")</f>
        <v>#VALUE!</v>
      </c>
      <c r="Z118" s="3"/>
      <c r="AA118" s="3" t="str">
        <f ca="1">IFERROR(__xludf.DUMMYFUNCTION("GOOGLETRANSLATE(AB118,""en"",""ta"")"),"#VALUE!")</f>
        <v>#VALUE!</v>
      </c>
      <c r="AB118" s="3"/>
      <c r="AC118" s="3" t="str">
        <f ca="1">IFERROR(__xludf.DUMMYFUNCTION("GOOGLETRANSLATE(AD118,""en"",""ta"")"),"#VALUE!")</f>
        <v>#VALUE!</v>
      </c>
      <c r="AD118" s="3"/>
      <c r="AE118" s="3" t="str">
        <f ca="1">IFERROR(__xludf.DUMMYFUNCTION("GOOGLETRANSLATE(AF118,""en"",""ta"")"),"#VALUE!")</f>
        <v>#VALUE!</v>
      </c>
      <c r="AF118" s="3"/>
      <c r="AG118" s="3" t="str">
        <f ca="1">IFERROR(__xludf.DUMMYFUNCTION("GOOGLETRANSLATE(AH118,""en"",""ta"")"),"#VALUE!")</f>
        <v>#VALUE!</v>
      </c>
      <c r="AH118" s="3"/>
      <c r="AI118" s="3" t="str">
        <f ca="1">IFERROR(__xludf.DUMMYFUNCTION("GOOGLETRANSLATE(AJ118,""en"",""ta"")"),"#VALUE!")</f>
        <v>#VALUE!</v>
      </c>
      <c r="AJ118" s="3"/>
      <c r="AK118" s="3" t="str">
        <f ca="1">IFERROR(__xludf.DUMMYFUNCTION("GOOGLETRANSLATE(AL118,""en"",""ta"")"),"#VALUE!")</f>
        <v>#VALUE!</v>
      </c>
      <c r="AL118" s="3"/>
      <c r="AM118" s="3" t="str">
        <f ca="1">IFERROR(__xludf.DUMMYFUNCTION("GOOGLETRANSLATE(AN118,""en"",""ta"")"),"#VALUE!")</f>
        <v>#VALUE!</v>
      </c>
      <c r="AN118" s="3"/>
      <c r="AO118" s="3" t="str">
        <f ca="1">IFERROR(__xludf.DUMMYFUNCTION("GOOGLETRANSLATE(AP118,""en"",""ta"")"),"#VALUE!")</f>
        <v>#VALUE!</v>
      </c>
      <c r="AP118" s="3"/>
      <c r="AQ118" s="3"/>
      <c r="AR118" s="3" t="str">
        <f ca="1">IFERROR(__xludf.DUMMYFUNCTION("GOOGLETRANSLATE(AS118,""en"",""ta"")"),"#VALUE!")</f>
        <v>#VALUE!</v>
      </c>
      <c r="AS118" s="3"/>
      <c r="AT118" s="3" t="str">
        <f ca="1">IFERROR(__xludf.DUMMYFUNCTION("GOOGLETRANSLATE(AU118,""en"",""ta"")"),"குளுக்கோகாபரின், சிரிஞ்சிக் அமிலம், பி-கரோட்டின், வெண்ணிலிக் அமிலம், பி-ஹைட்ராக்ஸிபென்சோயிக் அமிலம், பைட்டோஸ்டெரால் மற்றும் சபோனின்")</f>
        <v>குளுக்கோகாபரின், சிரிஞ்சிக் அமிலம், பி-கரோட்டின், வெண்ணிலிக் அமிலம், பி-ஹைட்ராக்ஸிபென்சோயிக் அமிலம், பைட்டோஸ்டெரால் மற்றும் சபோனின்</v>
      </c>
      <c r="AU118" s="4" t="s">
        <v>1460</v>
      </c>
      <c r="AV118" s="3"/>
      <c r="AW118" s="3" t="str">
        <f ca="1">IFERROR(__xludf.DUMMYFUNCTION("GOOGLETRANSLATE(AX118,""en"",""ta"")"),"தொண்டை தொற்றுகளுக்கு இலைகளின் கஷாயம் கொடுக்கப்படுகிறது. 2. உடல் வலிக்கு வேர் பேஸ்ட் தடவப்படுகிறது.")</f>
        <v>தொண்டை தொற்றுகளுக்கு இலைகளின் கஷாயம் கொடுக்கப்படுகிறது. 2. உடல் வலிக்கு வேர் பேஸ்ட் தடவப்படுகிறது.</v>
      </c>
      <c r="AX118" s="4" t="s">
        <v>2503</v>
      </c>
      <c r="AY118" s="3"/>
      <c r="AZ118" s="3"/>
      <c r="BA118" s="3"/>
      <c r="BB118" s="3"/>
      <c r="BC118" s="3"/>
      <c r="BD118" s="3"/>
      <c r="BE118" s="3"/>
      <c r="BF118" s="3"/>
    </row>
    <row r="119" spans="1:58" ht="56" x14ac:dyDescent="0.15">
      <c r="A119" s="3">
        <v>118</v>
      </c>
      <c r="B119" s="3" t="str">
        <f ca="1">IFERROR(__xludf.DUMMYFUNCTION("GOOGLETRANSLATE(C119,""en"",""ta"")"),"கேப்சிகம் ஆண்டுக்கு")</f>
        <v>கேப்சிகம் ஆண்டுக்கு</v>
      </c>
      <c r="C119" s="4" t="s">
        <v>1462</v>
      </c>
      <c r="D119" s="3" t="str">
        <f ca="1">IFERROR(__xludf.DUMMYFUNCTION("GOOGLETRANSLATE(E119,""en"",""ta"")"),"ரக்த மாரிச்சா")</f>
        <v>ரக்த மாரிச்சா</v>
      </c>
      <c r="E119" s="4" t="s">
        <v>1463</v>
      </c>
      <c r="F119" s="3" t="str">
        <f ca="1">IFERROR(__xludf.DUMMYFUNCTION("GOOGLETRANSLATE(G119,""en"",""ta"")"),"மிலகை")</f>
        <v>மிலகை</v>
      </c>
      <c r="G119" s="4" t="s">
        <v>1464</v>
      </c>
      <c r="H119" s="3" t="str">
        <f ca="1">IFERROR(__xludf.DUMMYFUNCTION("GOOGLETRANSLATE(I119,""en"",""ta"")"),"சிவப்பு மிளகாய்")</f>
        <v>சிவப்பு மிளகாய்</v>
      </c>
      <c r="I119" s="4" t="s">
        <v>1465</v>
      </c>
      <c r="J119" s="3" t="str">
        <f ca="1">IFERROR(__xludf.DUMMYFUNCTION("GOOGLETRANSLATE(K119,""en"",""ta"")"),"மிரபகாயா")</f>
        <v>மிரபகாயா</v>
      </c>
      <c r="K119" s="4" t="s">
        <v>1466</v>
      </c>
      <c r="L119" s="3" t="str">
        <f ca="1">IFERROR(__xludf.DUMMYFUNCTION("GOOGLETRANSLATE(M119,""en"",""ta"")"),"சுவன்னமுலகு")</f>
        <v>சுவன்னமுலகு</v>
      </c>
      <c r="M119" s="4" t="s">
        <v>1467</v>
      </c>
      <c r="N119" s="3" t="str">
        <f ca="1">IFERROR(__xludf.DUMMYFUNCTION("GOOGLETRANSLATE(O119,""en"",""ta"")"),"லால் மிர்ச்")</f>
        <v>லால் மிர்ச்</v>
      </c>
      <c r="O119" s="4" t="s">
        <v>1468</v>
      </c>
      <c r="P119" s="3"/>
      <c r="Q119" s="3" t="str">
        <f ca="1">IFERROR(__xludf.DUMMYFUNCTION("GOOGLETRANSLATE(R119,""en"",""ta"")"),"வருடாந்திர மூலிகை, இலைகள் எளிமையானவை, மாற்று இலைகள் கொண்டவை, பெரும்பாலும் சமமற்ற ஜோடிகளாக, அரிதாக கொத்தாக, ஒருபோதும் உண்மையில் எதிர் திசையில் இல்லை, முழுமையாக, மடல்கள் கொண்டவை. மலர்கள் வழக்கமானவை, முனையில் ஹெர்மோஃப்ரோடைட், இலைக்கோணங்களில் அல்லது கூடுதல் இ"&amp;"லைக்கோணங்களில் சைம்கள். பழங்கள் பெர்ரி, பச்சை. விதைகள் ஏராளமாக, மெல்லியதாகவும் கிட்டத்தட்ட வட்ட வடிவமாகவும் இருக்கும்.")</f>
        <v>வருடாந்திர மூலிகை, இலைகள் எளிமையானவை, மாற்று இலைகள் கொண்டவை, பெரும்பாலும் சமமற்ற ஜோடிகளாக, அரிதாக கொத்தாக, ஒருபோதும் உண்மையில் எதிர் திசையில் இல்லை, முழுமையாக, மடல்கள் கொண்டவை. மலர்கள் வழக்கமானவை, முனையில் ஹெர்மோஃப்ரோடைட், இலைக்கோணங்களில் அல்லது கூடுதல் இலைக்கோணங்களில் சைம்கள். பழங்கள் பெர்ரி, பச்சை. விதைகள் ஏராளமாக, மெல்லியதாகவும் கிட்டத்தட்ட வட்ட வடிவமாகவும் இருக்கும்.</v>
      </c>
      <c r="R119" s="4" t="s">
        <v>1469</v>
      </c>
      <c r="S119" s="3" t="str">
        <f ca="1">IFERROR(__xludf.DUMMYFUNCTION("GOOGLETRANSLATE(T119,""en"",""ta"")"),"#VALUE!")</f>
        <v>#VALUE!</v>
      </c>
      <c r="T119" s="3"/>
      <c r="U119" s="3" t="str">
        <f ca="1">IFERROR(__xludf.DUMMYFUNCTION("GOOGLETRANSLATE(V119,""en"",""ta"")"),"#VALUE!")</f>
        <v>#VALUE!</v>
      </c>
      <c r="V119" s="3"/>
      <c r="W119" s="3" t="str">
        <f ca="1">IFERROR(__xludf.DUMMYFUNCTION("GOOGLETRANSLATE(X119,""en"",""ta"")"),"#VALUE!")</f>
        <v>#VALUE!</v>
      </c>
      <c r="X119" s="3"/>
      <c r="Y119" s="3" t="str">
        <f ca="1">IFERROR(__xludf.DUMMYFUNCTION("GOOGLETRANSLATE(Z119,""en"",""ta"")"),"#VALUE!")</f>
        <v>#VALUE!</v>
      </c>
      <c r="Z119" s="3"/>
      <c r="AA119" s="3" t="str">
        <f ca="1">IFERROR(__xludf.DUMMYFUNCTION("GOOGLETRANSLATE(AB119,""en"",""ta"")"),"#VALUE!")</f>
        <v>#VALUE!</v>
      </c>
      <c r="AB119" s="3"/>
      <c r="AC119" s="3" t="str">
        <f ca="1">IFERROR(__xludf.DUMMYFUNCTION("GOOGLETRANSLATE(AD119,""en"",""ta"")"),"#VALUE!")</f>
        <v>#VALUE!</v>
      </c>
      <c r="AD119" s="3"/>
      <c r="AE119" s="3" t="str">
        <f ca="1">IFERROR(__xludf.DUMMYFUNCTION("GOOGLETRANSLATE(AF119,""en"",""ta"")"),"#VALUE!")</f>
        <v>#VALUE!</v>
      </c>
      <c r="AF119" s="3"/>
      <c r="AG119" s="3" t="str">
        <f ca="1">IFERROR(__xludf.DUMMYFUNCTION("GOOGLETRANSLATE(AH119,""en"",""ta"")"),"#VALUE!")</f>
        <v>#VALUE!</v>
      </c>
      <c r="AH119" s="3"/>
      <c r="AI119" s="3" t="str">
        <f ca="1">IFERROR(__xludf.DUMMYFUNCTION("GOOGLETRANSLATE(AJ119,""en"",""ta"")"),"#VALUE!")</f>
        <v>#VALUE!</v>
      </c>
      <c r="AJ119" s="3"/>
      <c r="AK119" s="3" t="str">
        <f ca="1">IFERROR(__xludf.DUMMYFUNCTION("GOOGLETRANSLATE(AL119,""en"",""ta"")"),"#VALUE!")</f>
        <v>#VALUE!</v>
      </c>
      <c r="AL119" s="3"/>
      <c r="AM119" s="3" t="str">
        <f ca="1">IFERROR(__xludf.DUMMYFUNCTION("GOOGLETRANSLATE(AN119,""en"",""ta"")"),"#VALUE!")</f>
        <v>#VALUE!</v>
      </c>
      <c r="AN119" s="3"/>
      <c r="AO119" s="3" t="str">
        <f ca="1">IFERROR(__xludf.DUMMYFUNCTION("GOOGLETRANSLATE(AP119,""en"",""ta"")"),"#VALUE!")</f>
        <v>#VALUE!</v>
      </c>
      <c r="AP119" s="3"/>
      <c r="AQ119" s="3"/>
      <c r="AR119" s="3" t="str">
        <f ca="1">IFERROR(__xludf.DUMMYFUNCTION("GOOGLETRANSLATE(AS119,""en"",""ta"")"),"அழற்சி எதிர்ப்பு, தூண்டுதல்")</f>
        <v>அழற்சி எதிர்ப்பு, தூண்டுதல்</v>
      </c>
      <c r="AS119" s="4" t="s">
        <v>1470</v>
      </c>
      <c r="AT119" s="3" t="str">
        <f ca="1">IFERROR(__xludf.DUMMYFUNCTION("GOOGLETRANSLATE(AU119,""en"",""ta"")"),"கேப்சாந்தின், கேப்சிகோசின், கேப்சிகோசைடு, லானோஸ்டெரால், சைலோஆர்டெனால், ஸ்டிக்மாஸ்டரோல், கேப்சின், ஆவியாகும் ஆல்கலாய்டு, கேப்சசின் மற்றும் சோலனைன்")</f>
        <v>கேப்சாந்தின், கேப்சிகோசின், கேப்சிகோசைடு, லானோஸ்டெரால், சைலோஆர்டெனால், ஸ்டிக்மாஸ்டரோல், கேப்சின், ஆவியாகும் ஆல்கலாய்டு, கேப்சசின் மற்றும் சோலனைன்</v>
      </c>
      <c r="AU119" s="4" t="s">
        <v>1471</v>
      </c>
      <c r="AV119" s="3"/>
      <c r="AW119" s="3" t="str">
        <f ca="1">IFERROR(__xludf.DUMMYFUNCTION("GOOGLETRANSLATE(AX119,""en"",""ta"")"),"பெருங்காயம் மற்றும் கற்பூரத்துடன் சிவப்பு மிளகாய் 
காலராவிற்கு மாத்திரைகள் வடிவில் உள்ளது. 2. பாலில் ஊறவைத்த முழு செடியையும் 
வீக்கங்கள் மற்றும் கடினப்படுத்தப்பட்ட கட்டிகளைக் குறைக்கப் பயன்படுத்தப்படுகிறது.")</f>
        <v>பெருங்காயம் மற்றும் கற்பூரத்துடன் சிவப்பு மிளகாய் 
காலராவிற்கு மாத்திரைகள் வடிவில் உள்ளது. 2. பாலில் ஊறவைத்த முழு செடியையும் 
வீக்கங்கள் மற்றும் கடினப்படுத்தப்பட்ட கட்டிகளைக் குறைக்கப் பயன்படுத்தப்படுகிறது.</v>
      </c>
      <c r="AX119" s="3" t="s">
        <v>2504</v>
      </c>
      <c r="AY119" s="3"/>
      <c r="AZ119" s="3"/>
      <c r="BA119" s="3"/>
      <c r="BB119" s="3"/>
      <c r="BC119" s="3"/>
      <c r="BD119" s="3"/>
      <c r="BE119" s="3"/>
      <c r="BF119" s="3"/>
    </row>
    <row r="120" spans="1:58" ht="84" x14ac:dyDescent="0.15">
      <c r="A120" s="3">
        <v>119</v>
      </c>
      <c r="B120" s="3" t="str">
        <f ca="1">IFERROR(__xludf.DUMMYFUNCTION("GOOGLETRANSLATE(C120,""en"",""ta"")"),"கார்டியோஸ்பெர்ம் ஹாலிகாகாபம்")</f>
        <v>கார்டியோஸ்பெர்ம் ஹாலிகாகாபம்</v>
      </c>
      <c r="C120" s="4" t="s">
        <v>1473</v>
      </c>
      <c r="D120" s="3" t="str">
        <f ca="1">IFERROR(__xludf.DUMMYFUNCTION("GOOGLETRANSLATE(E120,""en"",""ta"")"),"சக்ரலாதா")</f>
        <v>சக்ரலாதா</v>
      </c>
      <c r="E120" s="4" t="s">
        <v>1474</v>
      </c>
      <c r="F120" s="3" t="str">
        <f ca="1">IFERROR(__xludf.DUMMYFUNCTION("GOOGLETRANSLATE(G120,""en"",""ta"")"),"முடக்கருதன்")</f>
        <v>முடக்கருதன்</v>
      </c>
      <c r="G120" s="4" t="s">
        <v>1475</v>
      </c>
      <c r="H120" s="3" t="str">
        <f ca="1">IFERROR(__xludf.DUMMYFUNCTION("GOOGLETRANSLATE(I120,""en"",""ta"")"),"பலூன் கொடி")</f>
        <v>பலூன் கொடி</v>
      </c>
      <c r="I120" s="4" t="s">
        <v>1476</v>
      </c>
      <c r="J120" s="3" t="str">
        <f ca="1">IFERROR(__xludf.DUMMYFUNCTION("GOOGLETRANSLATE(K120,""en"",""ta"")"),"வெக்குடுடிகா")</f>
        <v>வெக்குடுடிகா</v>
      </c>
      <c r="K120" s="4" t="s">
        <v>1477</v>
      </c>
      <c r="L120" s="3" t="str">
        <f ca="1">IFERROR(__xludf.DUMMYFUNCTION("GOOGLETRANSLATE(M120,""en"",""ta"")"),"உலிங்கா")</f>
        <v>உலிங்கா</v>
      </c>
      <c r="M120" s="4" t="s">
        <v>1478</v>
      </c>
      <c r="N120" s="3" t="str">
        <f ca="1">IFERROR(__xludf.DUMMYFUNCTION("GOOGLETRANSLATE(O120,""en"",""ta"")"),"கன்பூட்டி")</f>
        <v>கன்பூட்டி</v>
      </c>
      <c r="O120" s="4" t="s">
        <v>1479</v>
      </c>
      <c r="P120" s="3"/>
      <c r="Q120" s="3" t="str">
        <f ca="1">IFERROR(__xludf.DUMMYFUNCTION("GOOGLETRANSLATE(R120,""en"",""ta"")"),"வருடாந்திர ஏறும், தண்டு தண்டு, தந்திரமான தண்டு மற்றும் கிளைகளுடன் கூடிய மூலிகையைத் தாங்கும். இலைகள் மாறி மாறி, கடி வடிவ, சிற்றிலைகள் கரடுமுரடான பற்களுடையவை, கூரிய முனை, பக்கவாட்டு நீள்வட்டம். மலர்கள் ஒழுங்கற்றவை, பல கேமோடியோசியஸ் இலைக்கோணங்களில் அல்லது கோ"&amp;"ரிம்ப்களில். பழங்கள் காப்ஸ்யூல், அழுத்தப்பட்ட, பைரிஃபார்ம், கோணங்களில் இறக்கைகள் கொண்டவை. விதைகள் வெள்ளை ஹைலம் உடன் கருப்பு.")</f>
        <v>வருடாந்திர ஏறும், தண்டு தண்டு, தந்திரமான தண்டு மற்றும் கிளைகளுடன் கூடிய மூலிகையைத் தாங்கும். இலைகள் மாறி மாறி, கடி வடிவ, சிற்றிலைகள் கரடுமுரடான பற்களுடையவை, கூரிய முனை, பக்கவாட்டு நீள்வட்டம். மலர்கள் ஒழுங்கற்றவை, பல கேமோடியோசியஸ் இலைக்கோணங்களில் அல்லது கோரிம்ப்களில். பழங்கள் காப்ஸ்யூல், அழுத்தப்பட்ட, பைரிஃபார்ம், கோணங்களில் இறக்கைகள் கொண்டவை. விதைகள் வெள்ளை ஹைலம் உடன் கருப்பு.</v>
      </c>
      <c r="R120" s="4" t="s">
        <v>1480</v>
      </c>
      <c r="S120" s="3" t="str">
        <f ca="1">IFERROR(__xludf.DUMMYFUNCTION("GOOGLETRANSLATE(T120,""en"",""ta"")"),"வாத நோய், நரம்பு நோய்கள், மூல நோய், நாள்பட்ட மூச்சுக்குழாய் அழற்சி, லும்பாகோ மற்றும் ப்திசிஸ்.")</f>
        <v>வாத நோய், நரம்பு நோய்கள், மூல நோய், நாள்பட்ட மூச்சுக்குழாய் அழற்சி, லும்பாகோ மற்றும் ப்திசிஸ்.</v>
      </c>
      <c r="T120" s="4" t="s">
        <v>1481</v>
      </c>
      <c r="U120" s="3" t="str">
        <f ca="1">IFERROR(__xludf.DUMMYFUNCTION("GOOGLETRANSLATE(V120,""en"",""ta"")"),"#VALUE!")</f>
        <v>#VALUE!</v>
      </c>
      <c r="V120" s="3"/>
      <c r="W120" s="3" t="str">
        <f ca="1">IFERROR(__xludf.DUMMYFUNCTION("GOOGLETRANSLATE(X120,""en"",""ta"")"),"மாதவிலக்கு.")</f>
        <v>மாதவிலக்கு.</v>
      </c>
      <c r="X120" s="4" t="s">
        <v>1482</v>
      </c>
      <c r="Y120" s="3" t="str">
        <f ca="1">IFERROR(__xludf.DUMMYFUNCTION("GOOGLETRANSLATE(Z120,""en"",""ta"")"),"#VALUE!")</f>
        <v>#VALUE!</v>
      </c>
      <c r="Z120" s="3"/>
      <c r="AA120" s="3" t="str">
        <f ca="1">IFERROR(__xludf.DUMMYFUNCTION("GOOGLETRANSLATE(AB120,""en"",""ta"")"),"#VALUE!")</f>
        <v>#VALUE!</v>
      </c>
      <c r="AB120" s="3"/>
      <c r="AC120" s="3" t="str">
        <f ca="1">IFERROR(__xludf.DUMMYFUNCTION("GOOGLETRANSLATE(AD120,""en"",""ta"")"),"#VALUE!")</f>
        <v>#VALUE!</v>
      </c>
      <c r="AD120" s="3"/>
      <c r="AE120" s="3" t="str">
        <f ca="1">IFERROR(__xludf.DUMMYFUNCTION("GOOGLETRANSLATE(AF120,""en"",""ta"")"),"#VALUE!")</f>
        <v>#VALUE!</v>
      </c>
      <c r="AF120" s="3"/>
      <c r="AG120" s="3" t="str">
        <f ca="1">IFERROR(__xludf.DUMMYFUNCTION("GOOGLETRANSLATE(AH120,""en"",""ta"")"),"#VALUE!")</f>
        <v>#VALUE!</v>
      </c>
      <c r="AH120" s="3"/>
      <c r="AI120" s="3" t="str">
        <f ca="1">IFERROR(__xludf.DUMMYFUNCTION("GOOGLETRANSLATE(AJ120,""en"",""ta"")"),"#VALUE!")</f>
        <v>#VALUE!</v>
      </c>
      <c r="AJ120" s="3"/>
      <c r="AK120" s="3" t="str">
        <f ca="1">IFERROR(__xludf.DUMMYFUNCTION("GOOGLETRANSLATE(AL120,""en"",""ta"")"),"#VALUE!")</f>
        <v>#VALUE!</v>
      </c>
      <c r="AL120" s="3"/>
      <c r="AM120" s="3" t="str">
        <f ca="1">IFERROR(__xludf.DUMMYFUNCTION("GOOGLETRANSLATE(AN120,""en"",""ta"")"),"#VALUE!")</f>
        <v>#VALUE!</v>
      </c>
      <c r="AN120" s="3"/>
      <c r="AO120" s="3" t="str">
        <f ca="1">IFERROR(__xludf.DUMMYFUNCTION("GOOGLETRANSLATE(AP120,""en"",""ta"")"),"#VALUE!")</f>
        <v>#VALUE!</v>
      </c>
      <c r="AP120" s="3"/>
      <c r="AQ120" s="3"/>
      <c r="AR120" s="3" t="str">
        <f ca="1">IFERROR(__xludf.DUMMYFUNCTION("GOOGLETRANSLATE(AS120,""en"",""ta"")"),"சிறுநீர் பெருக்கி, மலமிளக்கி, வயிற்றுப் போக்கை ஏற்படுத்தும், வாந்தி ஏற்படுத்தும் மற்றும் ருபேஃபேசியன்ட்")</f>
        <v>சிறுநீர் பெருக்கி, மலமிளக்கி, வயிற்றுப் போக்கை ஏற்படுத்தும், வாந்தி ஏற்படுத்தும் மற்றும் ருபேஃபேசியன்ட்</v>
      </c>
      <c r="AS120" s="4" t="s">
        <v>1483</v>
      </c>
      <c r="AT120" s="3" t="str">
        <f ca="1">IFERROR(__xludf.DUMMYFUNCTION("GOOGLETRANSLATE(AU120,""en"",""ta"")"),"ஆல்கலாய்டுகள், ஹிஸ்டமைன், அசிடைல்கொலின், 5-ஹைட்ராக்ஸிட்ரிப்டமைன்.")</f>
        <v>ஆல்கலாய்டுகள், ஹிஸ்டமைன், அசிடைல்கொலின், 5-ஹைட்ராக்ஸிட்ரிப்டமைன்.</v>
      </c>
      <c r="AU120" s="4" t="s">
        <v>1484</v>
      </c>
      <c r="AV120" s="3"/>
      <c r="AW120" s="3" t="str">
        <f ca="1">IFERROR(__xludf.DUMMYFUNCTION("GOOGLETRANSLATE(AX120,""en"",""ta"")"),"வேர் மற்றும் இலை கஷாயம் 
வாத நோய், நரம்பு நோய்கள், மூல நோய் மற்றும் 
நாள்பட்ட மூச்சுக்குழாய் அழற்சி ஆகியவற்றில் பயன்படுத்தப்படுகிறது. 2. வறுத்த இலைகளை 
மாதவிடாய் ஓட்டத்தை அதிகரிக்க 
மாதவிலக்கு 
")</f>
        <v xml:space="preserve">வேர் மற்றும் இலை கஷாயம் 
வாத நோய், நரம்பு நோய்கள், மூல நோய் மற்றும் 
நாள்பட்ட மூச்சுக்குழாய் அழற்சி ஆகியவற்றில் பயன்படுத்தப்படுகிறது. 2. வறுத்த இலைகளை 
மாதவிடாய் ஓட்டத்தை அதிகரிக்க 
மாதவிலக்கு 
</v>
      </c>
      <c r="AX120" s="3" t="s">
        <v>2505</v>
      </c>
      <c r="AY120" s="3"/>
      <c r="AZ120" s="3"/>
      <c r="BA120" s="3"/>
      <c r="BB120" s="3"/>
      <c r="BC120" s="3"/>
      <c r="BD120" s="3"/>
      <c r="BE120" s="3"/>
      <c r="BF120" s="3"/>
    </row>
    <row r="121" spans="1:58" ht="56" x14ac:dyDescent="0.15">
      <c r="A121" s="3">
        <v>120</v>
      </c>
      <c r="B121" s="3" t="str">
        <f ca="1">IFERROR(__xludf.DUMMYFUNCTION("GOOGLETRANSLATE(C121,""en"",""ta"")"),"கேரியா ஆர்போரியா")</f>
        <v>கேரியா ஆர்போரியா</v>
      </c>
      <c r="C121" s="4" t="s">
        <v>1486</v>
      </c>
      <c r="D121" s="3" t="str">
        <f ca="1">IFERROR(__xludf.DUMMYFUNCTION("GOOGLETRANSLATE(E121,""en"",""ta"")"),"கும்பி")</f>
        <v>கும்பி</v>
      </c>
      <c r="E121" s="4" t="s">
        <v>1487</v>
      </c>
      <c r="F121" s="3" t="str">
        <f ca="1">IFERROR(__xludf.DUMMYFUNCTION("GOOGLETRANSLATE(G121,""en"",""ta"")"),"அயாமா")</f>
        <v>அயாமா</v>
      </c>
      <c r="G121" s="4" t="s">
        <v>1488</v>
      </c>
      <c r="H121" s="3" t="str">
        <f ca="1">IFERROR(__xludf.DUMMYFUNCTION("GOOGLETRANSLATE(I121,""en"",""ta"")"),"படானா ஓக்")</f>
        <v>படானா ஓக்</v>
      </c>
      <c r="I121" s="4" t="s">
        <v>1489</v>
      </c>
      <c r="J121" s="3" t="str">
        <f ca="1">IFERROR(__xludf.DUMMYFUNCTION("GOOGLETRANSLATE(K121,""en"",""ta"")"),"கோவடி")</f>
        <v>கோவடி</v>
      </c>
      <c r="K121" s="4" t="s">
        <v>1490</v>
      </c>
      <c r="L121" s="3" t="str">
        <f ca="1">IFERROR(__xludf.DUMMYFUNCTION("GOOGLETRANSLATE(M121,""en"",""ta"")"),"பீலம்")</f>
        <v>பீலம்</v>
      </c>
      <c r="M121" s="4" t="s">
        <v>1491</v>
      </c>
      <c r="N121" s="3" t="str">
        <f ca="1">IFERROR(__xludf.DUMMYFUNCTION("GOOGLETRANSLATE(O121,""en"",""ta"")"),"கும்பமேளா")</f>
        <v>கும்பமேளா</v>
      </c>
      <c r="O121" s="4" t="s">
        <v>1492</v>
      </c>
      <c r="P121" s="3"/>
      <c r="Q121" s="3" t="str">
        <f ca="1">IFERROR(__xludf.DUMMYFUNCTION("GOOGLETRANSLATE(R121,""en"",""ta"")"),"ஒரு பெரிய இலையுதிர் மரம். இலைகள் மாறி மாறி, சவ்வு போன்ற, கிளைகளின் முனைகளில் கூட்டமாக, நீள்வட்ட வடிவிலானவை முதல் ரம்பம் போன்றவை. பூக்கள் பெரியவை, மஞ்சள் நிறத்துடன் ரேசீம்களில் பகட்டானவை. பழங்கள் பெரிய கோள வடிவ நார்ச்சத்துள்ள பெர்ரி, நிலையான புல்லி இலைகளால"&amp;"் முடிசூட்டப்பட்டவை.")</f>
        <v>ஒரு பெரிய இலையுதிர் மரம். இலைகள் மாறி மாறி, சவ்வு போன்ற, கிளைகளின் முனைகளில் கூட்டமாக, நீள்வட்ட வடிவிலானவை முதல் ரம்பம் போன்றவை. பூக்கள் பெரியவை, மஞ்சள் நிறத்துடன் ரேசீம்களில் பகட்டானவை. பழங்கள் பெரிய கோள வடிவ நார்ச்சத்துள்ள பெர்ரி, நிலையான புல்லி இலைகளால் முடிசூட்டப்பட்டவை.</v>
      </c>
      <c r="R121" s="4" t="s">
        <v>1493</v>
      </c>
      <c r="S121" s="3" t="str">
        <f ca="1">IFERROR(__xludf.DUMMYFUNCTION("GOOGLETRANSLATE(T121,""en"",""ta"")"),"#VALUE!")</f>
        <v>#VALUE!</v>
      </c>
      <c r="T121" s="3"/>
      <c r="U121" s="3" t="str">
        <f ca="1">IFERROR(__xludf.DUMMYFUNCTION("GOOGLETRANSLATE(V121,""en"",""ta"")"),"#VALUE!")</f>
        <v>#VALUE!</v>
      </c>
      <c r="V121" s="3"/>
      <c r="W121" s="3" t="str">
        <f ca="1">IFERROR(__xludf.DUMMYFUNCTION("GOOGLETRANSLATE(X121,""en"",""ta"")"),"புண்கள்.")</f>
        <v>புண்கள்.</v>
      </c>
      <c r="X121" s="4" t="s">
        <v>1494</v>
      </c>
      <c r="Y121" s="3" t="str">
        <f ca="1">IFERROR(__xludf.DUMMYFUNCTION("GOOGLETRANSLATE(Z121,""en"",""ta"")"),"காயம் குணமாகும்")</f>
        <v>காயம் குணமாகும்</v>
      </c>
      <c r="Z121" s="4" t="s">
        <v>1495</v>
      </c>
      <c r="AA121" s="3" t="str">
        <f ca="1">IFERROR(__xludf.DUMMYFUNCTION("GOOGLETRANSLATE(AB121,""en"",""ta"")"),"இருமல், சளி, கொதிப்பு, சீழ் மற்றும் புண்கள்.")</f>
        <v>இருமல், சளி, கொதிப்பு, சீழ் மற்றும் புண்கள்.</v>
      </c>
      <c r="AB121" s="4" t="s">
        <v>1496</v>
      </c>
      <c r="AC121" s="3" t="str">
        <f ca="1">IFERROR(__xludf.DUMMYFUNCTION("GOOGLETRANSLATE(AD121,""en"",""ta"")"),"#VALUE!")</f>
        <v>#VALUE!</v>
      </c>
      <c r="AD121" s="3"/>
      <c r="AE121" s="3" t="str">
        <f ca="1">IFERROR(__xludf.DUMMYFUNCTION("GOOGLETRANSLATE(AF121,""en"",""ta"")"),"#VALUE!")</f>
        <v>#VALUE!</v>
      </c>
      <c r="AF121" s="3"/>
      <c r="AG121" s="3" t="str">
        <f ca="1">IFERROR(__xludf.DUMMYFUNCTION("GOOGLETRANSLATE(AH121,""en"",""ta"")"),"#VALUE!")</f>
        <v>#VALUE!</v>
      </c>
      <c r="AH121" s="3"/>
      <c r="AI121" s="3" t="str">
        <f ca="1">IFERROR(__xludf.DUMMYFUNCTION("GOOGLETRANSLATE(AJ121,""en"",""ta"")"),"#VALUE!")</f>
        <v>#VALUE!</v>
      </c>
      <c r="AJ121" s="3"/>
      <c r="AK121" s="3" t="str">
        <f ca="1">IFERROR(__xludf.DUMMYFUNCTION("GOOGLETRANSLATE(AL121,""en"",""ta"")"),"#VALUE!")</f>
        <v>#VALUE!</v>
      </c>
      <c r="AL121" s="3"/>
      <c r="AM121" s="3" t="str">
        <f ca="1">IFERROR(__xludf.DUMMYFUNCTION("GOOGLETRANSLATE(AN121,""en"",""ta"")"),"செரிமானம்.")</f>
        <v>செரிமானம்.</v>
      </c>
      <c r="AN121" s="4" t="s">
        <v>1497</v>
      </c>
      <c r="AO121" s="3" t="str">
        <f ca="1">IFERROR(__xludf.DUMMYFUNCTION("GOOGLETRANSLATE(AP121,""en"",""ta"")"),"#VALUE!")</f>
        <v>#VALUE!</v>
      </c>
      <c r="AP121" s="3"/>
      <c r="AQ121" s="3"/>
      <c r="AR121" s="3" t="str">
        <f ca="1">IFERROR(__xludf.DUMMYFUNCTION("GOOGLETRANSLATE(AS121,""en"",""ta"")"),"துவர்ப்பு மருந்து, மயக்க மருந்து.")</f>
        <v>துவர்ப்பு மருந்து, மயக்க மருந்து.</v>
      </c>
      <c r="AS121" s="4" t="s">
        <v>1498</v>
      </c>
      <c r="AT121" s="3" t="str">
        <f ca="1">IFERROR(__xludf.DUMMYFUNCTION("GOOGLETRANSLATE(AU121,""en"",""ta"")"),"a-ஸ்பினாஸ்டெரால், பாரிங்டோஜெனால், கேரியிக் அமிலம், கேரியபோரின் மற்றும் கேரியஜெனால் டி")</f>
        <v>a-ஸ்பினாஸ்டெரால், பாரிங்டோஜெனால், கேரியிக் அமிலம், கேரியபோரின் மற்றும் கேரியஜெனால் டி</v>
      </c>
      <c r="AU121" s="4" t="s">
        <v>1499</v>
      </c>
      <c r="AV121" s="3"/>
      <c r="AW121" s="3" t="str">
        <f ca="1">IFERROR(__xludf.DUMMYFUNCTION("GOOGLETRANSLATE(AX121,""en"",""ta"")"),"இலைகளை கூழாக மாற்றுவது பிடிவாதமான புண்களுக்கு மருந்தாகப் பயன்படுகிறது. 2. குழந்தை பிறந்த பிறகு பூக்கள் கஷாயமாக கொடுக்கப்படுகின்றன.")</f>
        <v>இலைகளை கூழாக மாற்றுவது பிடிவாதமான புண்களுக்கு மருந்தாகப் பயன்படுகிறது. 2. குழந்தை பிறந்த பிறகு பூக்கள் கஷாயமாக கொடுக்கப்படுகின்றன.</v>
      </c>
      <c r="AX121" s="3" t="s">
        <v>2506</v>
      </c>
      <c r="AY121" s="3"/>
      <c r="AZ121" s="3"/>
      <c r="BA121" s="3"/>
      <c r="BB121" s="3"/>
      <c r="BC121" s="3"/>
      <c r="BD121" s="3"/>
      <c r="BE121" s="3"/>
      <c r="BF121" s="3"/>
    </row>
    <row r="122" spans="1:58" ht="84" x14ac:dyDescent="0.15">
      <c r="A122" s="3">
        <v>121</v>
      </c>
      <c r="B122" s="3" t="str">
        <f ca="1">IFERROR(__xludf.DUMMYFUNCTION("GOOGLETRANSLATE(C122,""en"",""ta"")"),"கரிகா பப்பாளி")</f>
        <v>கரிகா பப்பாளி</v>
      </c>
      <c r="C122" s="4" t="s">
        <v>1501</v>
      </c>
      <c r="D122" s="3" t="str">
        <f ca="1">IFERROR(__xludf.DUMMYFUNCTION("GOOGLETRANSLATE(E122,""en"",""ta"")"),"எரண்டா கர்கடி")</f>
        <v>எரண்டா கர்கடி</v>
      </c>
      <c r="E122" s="4" t="s">
        <v>1502</v>
      </c>
      <c r="F122" s="3" t="str">
        <f ca="1">IFERROR(__xludf.DUMMYFUNCTION("GOOGLETRANSLATE(G122,""en"",""ta"")"),"பப்பாளி")</f>
        <v>பப்பாளி</v>
      </c>
      <c r="G122" s="4" t="s">
        <v>1503</v>
      </c>
      <c r="H122" s="3" t="str">
        <f ca="1">IFERROR(__xludf.DUMMYFUNCTION("GOOGLETRANSLATE(I122,""en"",""ta"")"),"பப்பாளி மரம்")</f>
        <v>பப்பாளி மரம்</v>
      </c>
      <c r="I122" s="4" t="s">
        <v>1504</v>
      </c>
      <c r="J122" s="3" t="str">
        <f ca="1">IFERROR(__xludf.DUMMYFUNCTION("GOOGLETRANSLATE(K122,""en"",""ta"")"),"போப்பாய்")</f>
        <v>போப்பாய்</v>
      </c>
      <c r="K122" s="4" t="s">
        <v>1505</v>
      </c>
      <c r="L122" s="3" t="str">
        <f ca="1">IFERROR(__xludf.DUMMYFUNCTION("GOOGLETRANSLATE(M122,""en"",""ta"")"),"பாப்பாயம்")</f>
        <v>பாப்பாயம்</v>
      </c>
      <c r="M122" s="4" t="s">
        <v>1506</v>
      </c>
      <c r="N122" s="3" t="str">
        <f ca="1">IFERROR(__xludf.DUMMYFUNCTION("GOOGLETRANSLATE(O122,""en"",""ta"")"),"பபீட்டா")</f>
        <v>பபீட்டா</v>
      </c>
      <c r="O122" s="4" t="s">
        <v>1507</v>
      </c>
      <c r="P122" s="3"/>
      <c r="Q122" s="3" t="str">
        <f ca="1">IFERROR(__xludf.DUMMYFUNCTION("GOOGLETRANSLATE(R122,""en"",""ta"")"),"மென்மையான மரத்தாலான, கிட்டத்தட்ட கிளைகளற்ற மரம். மரத்தின் தண்டு பழைய இலைகளின் வடுவுடன், உள்ளங்கை வடிவ கூட்டு வடிவத்துடன் நீண்ட குழாய் தண்டுடன் காணப்படுகிறது. ஆண் மற்றும் பெண் பூக்கள் 2 வெவ்வேறு மரங்களில் உள்ளன. ஆண் பூ நீளமாக தண்டு கொண்டது, பெண் பூக்கள் மர"&amp;"த்தின் உச்சியில் கூட்டமாக உள்ளன. பழங்கள் பெர்ரி.")</f>
        <v>மென்மையான மரத்தாலான, கிட்டத்தட்ட கிளைகளற்ற மரம். மரத்தின் தண்டு பழைய இலைகளின் வடுவுடன், உள்ளங்கை வடிவ கூட்டு வடிவத்துடன் நீண்ட குழாய் தண்டுடன் காணப்படுகிறது. ஆண் மற்றும் பெண் பூக்கள் 2 வெவ்வேறு மரங்களில் உள்ளன. ஆண் பூ நீளமாக தண்டு கொண்டது, பெண் பூக்கள் மரத்தின் உச்சியில் கூட்டமாக உள்ளன. பழங்கள் பெர்ரி.</v>
      </c>
      <c r="R122" s="4" t="s">
        <v>1508</v>
      </c>
      <c r="S122" s="3" t="str">
        <f ca="1">IFERROR(__xludf.DUMMYFUNCTION("GOOGLETRANSLATE(T122,""en"",""ta"")"),"#VALUE!")</f>
        <v>#VALUE!</v>
      </c>
      <c r="T122" s="3"/>
      <c r="U122" s="3" t="str">
        <f ca="1">IFERROR(__xludf.DUMMYFUNCTION("GOOGLETRANSLATE(V122,""en"",""ta"")"),"#VALUE!")</f>
        <v>#VALUE!</v>
      </c>
      <c r="V122" s="3"/>
      <c r="W122" s="3" t="str">
        <f ca="1">IFERROR(__xludf.DUMMYFUNCTION("GOOGLETRANSLATE(X122,""en"",""ta"")"),"#VALUE!")</f>
        <v>#VALUE!</v>
      </c>
      <c r="X122" s="3"/>
      <c r="Y122" s="3" t="str">
        <f ca="1">IFERROR(__xludf.DUMMYFUNCTION("GOOGLETRANSLATE(Z122,""en"",""ta"")"),"பழுக்காதது: பழக்கமான மலச்சிக்கல், மூல நோய், டிஸ்ஸ்பெசியா, 
நாள்பட்ட வயிற்றுப்போக்கு மற்றும் கருக்கலைப்பு. பழுக்காதது: பால் சுரப்பு.")</f>
        <v>பழுக்காதது: பழக்கமான மலச்சிக்கல், மூல நோய், டிஸ்ஸ்பெசியா, 
நாள்பட்ட வயிற்றுப்போக்கு மற்றும் கருக்கலைப்பு. பழுக்காதது: பால் சுரப்பு.</v>
      </c>
      <c r="Z122" s="3" t="s">
        <v>1509</v>
      </c>
      <c r="AA122" s="3" t="str">
        <f ca="1">IFERROR(__xludf.DUMMYFUNCTION("GOOGLETRANSLATE(AB122,""en"",""ta"")"),"#VALUE!")</f>
        <v>#VALUE!</v>
      </c>
      <c r="AB122" s="3"/>
      <c r="AC122" s="3" t="str">
        <f ca="1">IFERROR(__xludf.DUMMYFUNCTION("GOOGLETRANSLATE(AD122,""en"",""ta"")"),"#VALUE!")</f>
        <v>#VALUE!</v>
      </c>
      <c r="AD122" s="3"/>
      <c r="AE122" s="3" t="str">
        <f ca="1">IFERROR(__xludf.DUMMYFUNCTION("GOOGLETRANSLATE(AF122,""en"",""ta"")"),"#VALUE!")</f>
        <v>#VALUE!</v>
      </c>
      <c r="AF122" s="3"/>
      <c r="AG122" s="3" t="str">
        <f ca="1">IFERROR(__xludf.DUMMYFUNCTION("GOOGLETRANSLATE(AH122,""en"",""ta"")"),"#VALUE!")</f>
        <v>#VALUE!</v>
      </c>
      <c r="AH122" s="3"/>
      <c r="AI122" s="3" t="str">
        <f ca="1">IFERROR(__xludf.DUMMYFUNCTION("GOOGLETRANSLATE(AJ122,""en"",""ta"")"),"#VALUE!")</f>
        <v>#VALUE!</v>
      </c>
      <c r="AJ122" s="3"/>
      <c r="AK122" s="3" t="str">
        <f ca="1">IFERROR(__xludf.DUMMYFUNCTION("GOOGLETRANSLATE(AL122,""en"",""ta"")"),"#VALUE!")</f>
        <v>#VALUE!</v>
      </c>
      <c r="AL122" s="3"/>
      <c r="AM122" s="3" t="str">
        <f ca="1">IFERROR(__xludf.DUMMYFUNCTION("GOOGLETRANSLATE(AN122,""en"",""ta"")"),"#VALUE!")</f>
        <v>#VALUE!</v>
      </c>
      <c r="AN122" s="3"/>
      <c r="AO122" s="3" t="str">
        <f ca="1">IFERROR(__xludf.DUMMYFUNCTION("GOOGLETRANSLATE(AP122,""en"",""ta"")"),"#VALUE!")</f>
        <v>#VALUE!</v>
      </c>
      <c r="AP122" s="3"/>
      <c r="AQ122" s="3"/>
      <c r="AR122" s="3" t="str">
        <f ca="1">IFERROR(__xludf.DUMMYFUNCTION("GOOGLETRANSLATE(AS122,""en"",""ta"")"),"ரூபிஃபேசியன்ட், ஆன்டெல்மிண்டிக், டைஜஸ்டிவ், ஆல்டெரேட்டிவ், லாக்சேடிவ், டையூரிடிக், எம்மெனாகோக், அபோர்டிஃபேசியன்ட் மற்றும் கேலக்டகோக்.")</f>
        <v>ரூபிஃபேசியன்ட், ஆன்டெல்மிண்டிக், டைஜஸ்டிவ், ஆல்டெரேட்டிவ், லாக்சேடிவ், டையூரிடிக், எம்மெனாகோக், அபோர்டிஃபேசியன்ட் மற்றும் கேலக்டகோக்.</v>
      </c>
      <c r="AS122" s="4" t="s">
        <v>1510</v>
      </c>
      <c r="AT122" s="3" t="str">
        <f ca="1">IFERROR(__xludf.DUMMYFUNCTION("GOOGLETRANSLATE(AU122,""en"",""ta"")"),"பப்பெய்ன், டார்டாரிக் அமிலம், சிட்ரிக் மற்றும் மாலிக் அமிலங்கள், பி-கரோட்டின், கிரிப்டோஃப்ளேவின், கைமோபபைன்ஸ் மற்றும் வயலாக்சாந்தின்.")</f>
        <v>பப்பெய்ன், டார்டாரிக் அமிலம், சிட்ரிக் மற்றும் மாலிக் அமிலங்கள், பி-கரோட்டின், கிரிப்டோஃப்ளேவின், கைமோபபைன்ஸ் மற்றும் வயலாக்சாந்தின்.</v>
      </c>
      <c r="AU122" s="4" t="s">
        <v>1511</v>
      </c>
      <c r="AV122" s="3"/>
      <c r="AW122" s="3" t="str">
        <f ca="1">IFERROR(__xludf.DUMMYFUNCTION("GOOGLETRANSLATE(AX122,""en"",""ta"")"),"பழுக்காத பழத்தின் பால் சாறு தேனுடன் 
அடுத்து ஆமணக்கு எண்ணெய் சேர்த்துக்கொள்வது வட்டப்புழுக்களுக்கு ஒரு எறும்புச்சத்து மருந்தாக செயல்படுகிறது 
2. உலர்ந்த மற்றும் உப்பு சேர்க்கப்பட்ட பழம் பெரிதாக்கப்பட்ட மண்ணீரல் மற்றும் கல்லீரலைக் குறைக்கிறது. 
")</f>
        <v xml:space="preserve">பழுக்காத பழத்தின் பால் சாறு தேனுடன் 
அடுத்து ஆமணக்கு எண்ணெய் சேர்த்துக்கொள்வது வட்டப்புழுக்களுக்கு ஒரு எறும்புச்சத்து மருந்தாக செயல்படுகிறது 
2. உலர்ந்த மற்றும் உப்பு சேர்க்கப்பட்ட பழம் பெரிதாக்கப்பட்ட மண்ணீரல் மற்றும் கல்லீரலைக் குறைக்கிறது. 
</v>
      </c>
      <c r="AX122" s="3" t="s">
        <v>2507</v>
      </c>
      <c r="AY122" s="3"/>
      <c r="AZ122" s="3"/>
      <c r="BA122" s="3"/>
      <c r="BB122" s="3"/>
      <c r="BC122" s="3"/>
      <c r="BD122" s="3"/>
      <c r="BE122" s="3"/>
      <c r="BF122" s="3"/>
    </row>
    <row r="123" spans="1:58" ht="56" x14ac:dyDescent="0.15">
      <c r="A123" s="3">
        <v>122</v>
      </c>
      <c r="B123" s="3" t="str">
        <f ca="1">IFERROR(__xludf.DUMMYFUNCTION("GOOGLETRANSLATE(C123,""en"",""ta"")"),"கரிசா கரண்டாஸ்")</f>
        <v>கரிசா கரண்டாஸ்</v>
      </c>
      <c r="C123" s="4" t="s">
        <v>1513</v>
      </c>
      <c r="D123" s="3" t="str">
        <f ca="1">IFERROR(__xludf.DUMMYFUNCTION("GOOGLETRANSLATE(E123,""en"",""ta"")"),"கரமர்தா")</f>
        <v>கரமர்தா</v>
      </c>
      <c r="E123" s="4" t="s">
        <v>1514</v>
      </c>
      <c r="F123" s="3" t="str">
        <f ca="1">IFERROR(__xludf.DUMMYFUNCTION("GOOGLETRANSLATE(G123,""en"",""ta"")"),"காலா கை")</f>
        <v>காலா கை</v>
      </c>
      <c r="G123" s="4" t="s">
        <v>1515</v>
      </c>
      <c r="H123" s="3" t="str">
        <f ca="1">IFERROR(__xludf.DUMMYFUNCTION("GOOGLETRANSLATE(I123,""en"",""ta"")"),"கிறிஸ்துவின் முள்")</f>
        <v>கிறிஸ்துவின் முள்</v>
      </c>
      <c r="I123" s="4" t="s">
        <v>1516</v>
      </c>
      <c r="J123" s="3" t="str">
        <f ca="1">IFERROR(__xludf.DUMMYFUNCTION("GOOGLETRANSLATE(K123,""en"",""ta"")"),"வக்காயலு")</f>
        <v>வக்காயலு</v>
      </c>
      <c r="K123" s="4" t="s">
        <v>1517</v>
      </c>
      <c r="L123" s="3" t="str">
        <f ca="1">IFERROR(__xludf.DUMMYFUNCTION("GOOGLETRANSLATE(M123,""en"",""ta"")"),"கரக்கா")</f>
        <v>கரக்கா</v>
      </c>
      <c r="M123" s="4" t="s">
        <v>1518</v>
      </c>
      <c r="N123" s="3" t="str">
        <f ca="1">IFERROR(__xludf.DUMMYFUNCTION("GOOGLETRANSLATE(O123,""en"",""ta"")"),"கரவுண்டா")</f>
        <v>கரவுண்டா</v>
      </c>
      <c r="O123" s="4" t="s">
        <v>1519</v>
      </c>
      <c r="P123" s="3"/>
      <c r="Q123" s="3" t="str">
        <f ca="1">IFERROR(__xludf.DUMMYFUNCTION("GOOGLETRANSLATE(R123,""en"",""ta"")"),"வெள்ளை அல்லது வெளிறிய ரோஜா நிற மலர்களைக் கொண்ட ஒரு பெரிய முட்கள் நிறைந்த புதர். பட்டை மஞ்சள் கலந்த பழுப்பு நிறத்தில், நேராக முனையில் முட்கரண்டி இருக்கும். இலைகள் எளிமையான நீள்வட்ட வடிவ நீள்வட்ட வடிவமானது, நுனியில் மழுங்கிய அல்லது விளிம்பு வடிவமானது. அடிப்"&amp;"பகுதியில் துணை இதய வடிவமானது. மலர்கள் இலைக்கோணங்களில் உள்ள மஞ்சரி போன்ற ட்ரைக்கோடோமஸ் சைம்கள். பழங்கள் நீள்வட்ட வடிவ அல்லது கோள வடிவ பெர்ரி.")</f>
        <v>வெள்ளை அல்லது வெளிறிய ரோஜா நிற மலர்களைக் கொண்ட ஒரு பெரிய முட்கள் நிறைந்த புதர். பட்டை மஞ்சள் கலந்த பழுப்பு நிறத்தில், நேராக முனையில் முட்கரண்டி இருக்கும். இலைகள் எளிமையான நீள்வட்ட வடிவ நீள்வட்ட வடிவமானது, நுனியில் மழுங்கிய அல்லது விளிம்பு வடிவமானது. அடிப்பகுதியில் துணை இதய வடிவமானது. மலர்கள் இலைக்கோணங்களில் உள்ள மஞ்சரி போன்ற ட்ரைக்கோடோமஸ் சைம்கள். பழங்கள் நீள்வட்ட வடிவ அல்லது கோள வடிவ பெர்ரி.</v>
      </c>
      <c r="R123" s="4" t="s">
        <v>1520</v>
      </c>
      <c r="S123" s="3" t="str">
        <f ca="1">IFERROR(__xludf.DUMMYFUNCTION("GOOGLETRANSLATE(T123,""en"",""ta"")"),"அரிப்பு.")</f>
        <v>அரிப்பு.</v>
      </c>
      <c r="T123" s="4" t="s">
        <v>1521</v>
      </c>
      <c r="U123" s="3" t="str">
        <f ca="1">IFERROR(__xludf.DUMMYFUNCTION("GOOGLETRANSLATE(V123,""en"",""ta"")"),"#VALUE!")</f>
        <v>#VALUE!</v>
      </c>
      <c r="V123" s="3"/>
      <c r="W123" s="3" t="str">
        <f ca="1">IFERROR(__xludf.DUMMYFUNCTION("GOOGLETRANSLATE(X123,""en"",""ta"")"),"இடைவிடாத காய்ச்சல், இடைவிடாத காய்ச்சல், காதுவலி, வாய்வழி வீக்கம் மற்றும் வயிற்றுவலி")</f>
        <v>இடைவிடாத காய்ச்சல், இடைவிடாத காய்ச்சல், காதுவலி, வாய்வழி வீக்கம் மற்றும் வயிற்றுவலி</v>
      </c>
      <c r="X123" s="4" t="s">
        <v>1522</v>
      </c>
      <c r="Y123" s="3" t="str">
        <f ca="1">IFERROR(__xludf.DUMMYFUNCTION("GOOGLETRANSLATE(Z123,""en"",""ta"")"),"#VALUE!")</f>
        <v>#VALUE!</v>
      </c>
      <c r="Z123" s="3"/>
      <c r="AA123" s="3" t="str">
        <f ca="1">IFERROR(__xludf.DUMMYFUNCTION("GOOGLETRANSLATE(AB123,""en"",""ta"")"),"#VALUE!")</f>
        <v>#VALUE!</v>
      </c>
      <c r="AB123" s="3"/>
      <c r="AC123" s="3" t="str">
        <f ca="1">IFERROR(__xludf.DUMMYFUNCTION("GOOGLETRANSLATE(AD123,""en"",""ta"")"),"#VALUE!")</f>
        <v>#VALUE!</v>
      </c>
      <c r="AD123" s="3"/>
      <c r="AE123" s="3" t="str">
        <f ca="1">IFERROR(__xludf.DUMMYFUNCTION("GOOGLETRANSLATE(AF123,""en"",""ta"")"),"#VALUE!")</f>
        <v>#VALUE!</v>
      </c>
      <c r="AF123" s="3"/>
      <c r="AG123" s="3" t="str">
        <f ca="1">IFERROR(__xludf.DUMMYFUNCTION("GOOGLETRANSLATE(AH123,""en"",""ta"")"),"#VALUE!")</f>
        <v>#VALUE!</v>
      </c>
      <c r="AH123" s="3"/>
      <c r="AI123" s="3" t="str">
        <f ca="1">IFERROR(__xludf.DUMMYFUNCTION("GOOGLETRANSLATE(AJ123,""en"",""ta"")"),"#VALUE!")</f>
        <v>#VALUE!</v>
      </c>
      <c r="AJ123" s="3"/>
      <c r="AK123" s="3" t="str">
        <f ca="1">IFERROR(__xludf.DUMMYFUNCTION("GOOGLETRANSLATE(AL123,""en"",""ta"")"),"#VALUE!")</f>
        <v>#VALUE!</v>
      </c>
      <c r="AL123" s="3"/>
      <c r="AM123" s="3" t="str">
        <f ca="1">IFERROR(__xludf.DUMMYFUNCTION("GOOGLETRANSLATE(AN123,""en"",""ta"")"),"கிழிந்தது: பைத்தியக்காரத்தனம்.")</f>
        <v>கிழிந்தது: பைத்தியக்காரத்தனம்.</v>
      </c>
      <c r="AN123" s="3" t="s">
        <v>1523</v>
      </c>
      <c r="AO123" s="3" t="str">
        <f ca="1">IFERROR(__xludf.DUMMYFUNCTION("GOOGLETRANSLATE(AP123,""en"",""ta"")"),"#VALUE!")</f>
        <v>#VALUE!</v>
      </c>
      <c r="AP123" s="3"/>
      <c r="AQ123" s="3"/>
      <c r="AR123" s="3" t="str">
        <f ca="1">IFERROR(__xludf.DUMMYFUNCTION("GOOGLETRANSLATE(AS123,""en"",""ta"")"),"ஸ்கார்பியூடிக் எதிர்ப்பு, ஆன்டெல்மிண்டிக், வயிற்று வலி நிவாரணி மற்றும் துவர்ப்பு மருந்து.")</f>
        <v>ஸ்கார்பியூடிக் எதிர்ப்பு, ஆன்டெல்மிண்டிக், வயிற்று வலி நிவாரணி மற்றும் துவர்ப்பு மருந்து.</v>
      </c>
      <c r="AS123" s="4" t="s">
        <v>1524</v>
      </c>
      <c r="AT123" s="3" t="str">
        <f ca="1">IFERROR(__xludf.DUMMYFUNCTION("GOOGLETRANSLATE(AU123,""en"",""ta"")"),"சி டெர்பெனாய்டுகள், கரிண்டோன், கரிசோன், கரினோல், 31 சாலிசிலிக் அமிலம், அஸ்கார்பிக் அமிலம் மற்றும் பி-சிட்டோஸ்டெரால்.")</f>
        <v>சி டெர்பெனாய்டுகள், கரிண்டோன், கரிசோன், கரினோல், 31 சாலிசிலிக் அமிலம், அஸ்கார்பிக் அமிலம் மற்றும் பி-சிட்டோஸ்டெரால்.</v>
      </c>
      <c r="AU123" s="4" t="s">
        <v>1525</v>
      </c>
      <c r="AV123" s="3"/>
      <c r="AW123" s="3" t="str">
        <f ca="1">IFERROR(__xludf.DUMMYFUNCTION("GOOGLETRANSLATE(AX123,""en"",""ta"")"),"பழுத்த பழச்சாற்றில் சர்க்கரை சேர்த்து குளிரூட்டியாகப் பயன்படுத்தலாம் 
பிலியஸ்னெஸ்ஸில் குடிக்கலாம். 2. இலைகளின் கஷாயம் காய்ச்சலில் குளிரூட்டியாகப் பயன்படுத்தலாம்.")</f>
        <v>பழுத்த பழச்சாற்றில் சர்க்கரை சேர்த்து குளிரூட்டியாகப் பயன்படுத்தலாம் 
பிலியஸ்னெஸ்ஸில் குடிக்கலாம். 2. இலைகளின் கஷாயம் காய்ச்சலில் குளிரூட்டியாகப் பயன்படுத்தலாம்.</v>
      </c>
      <c r="AX123" s="3" t="s">
        <v>2508</v>
      </c>
      <c r="AY123" s="3"/>
      <c r="AZ123" s="3"/>
      <c r="BA123" s="3"/>
      <c r="BB123" s="3"/>
      <c r="BC123" s="3"/>
      <c r="BD123" s="3"/>
      <c r="BE123" s="3"/>
      <c r="BF123" s="3"/>
    </row>
    <row r="124" spans="1:58" ht="84" x14ac:dyDescent="0.15">
      <c r="A124" s="3">
        <v>123</v>
      </c>
      <c r="B124" s="3" t="str">
        <f ca="1">IFERROR(__xludf.DUMMYFUNCTION("GOOGLETRANSLATE(C124,""en"",""ta"")"),"கார்தாமஸ் டின்க்டோரியஸ்")</f>
        <v>கார்தாமஸ் டின்க்டோரியஸ்</v>
      </c>
      <c r="C124" s="4" t="s">
        <v>1527</v>
      </c>
      <c r="D124" s="3" t="str">
        <f ca="1">IFERROR(__xludf.DUMMYFUNCTION("GOOGLETRANSLATE(E124,""en"",""ta"")"),"குசும்பா")</f>
        <v>குசும்பா</v>
      </c>
      <c r="E124" s="4" t="s">
        <v>1528</v>
      </c>
      <c r="F124" s="3" t="str">
        <f ca="1">IFERROR(__xludf.DUMMYFUNCTION("GOOGLETRANSLATE(G124,""en"",""ta"")"),"செந்தூரகம்")</f>
        <v>செந்தூரகம்</v>
      </c>
      <c r="G124" s="4" t="s">
        <v>1529</v>
      </c>
      <c r="H124" s="3" t="str">
        <f ca="1">IFERROR(__xludf.DUMMYFUNCTION("GOOGLETRANSLATE(I124,""en"",""ta"")"),"சஃப்-ஃப்ளவர்")</f>
        <v>சஃப்-ஃப்ளவர்</v>
      </c>
      <c r="I124" s="4" t="s">
        <v>1530</v>
      </c>
      <c r="J124" s="3" t="str">
        <f ca="1">IFERROR(__xludf.DUMMYFUNCTION("GOOGLETRANSLATE(K124,""en"",""ta"")"),"குஷுமா")</f>
        <v>குஷுமா</v>
      </c>
      <c r="K124" s="4" t="s">
        <v>1531</v>
      </c>
      <c r="L124" s="3" t="str">
        <f ca="1">IFERROR(__xludf.DUMMYFUNCTION("GOOGLETRANSLATE(M124,""en"",""ta"")"),"செந்துராக்கம்")</f>
        <v>செந்துராக்கம்</v>
      </c>
      <c r="M124" s="4" t="s">
        <v>1532</v>
      </c>
      <c r="N124" s="3" t="str">
        <f ca="1">IFERROR(__xludf.DUMMYFUNCTION("GOOGLETRANSLATE(O124,""en"",""ta"")"),"கர்ரா")</f>
        <v>கர்ரா</v>
      </c>
      <c r="O124" s="4" t="s">
        <v>1533</v>
      </c>
      <c r="P124" s="3"/>
      <c r="Q124" s="3" t="str">
        <f ca="1">IFERROR(__xludf.DUMMYFUNCTION("GOOGLETRANSLATE(R124,""en"",""ta"")"),"கருப்பு மண்ணில் காணப்படும் மெல்லிய, அதிக கிளைகளைக் கொண்ட வருடாந்திர மூலிகை. இலைகள் எளிமையானவை, ஈட்டி வடிவானது, ஸ்பினுலோஸ் மற்றும் ரம்பம் போன்றது. ஆரஞ்சு சிவப்பு தலைகளில் பூக்கும். பூக்களின் கொரோலாக்கள் பட்டுகளுக்கு சாயமாகப் பயன்படுத்தப்படுகின்றன. பழங்கள் "&amp;"அச்சீன், நீள்வட்ட வடிவானது, பப்பஸ் முடிகள் இல்லாமல் நான்கு கோண கோள வடிவ பழம்.")</f>
        <v>கருப்பு மண்ணில் காணப்படும் மெல்லிய, அதிக கிளைகளைக் கொண்ட வருடாந்திர மூலிகை. இலைகள் எளிமையானவை, ஈட்டி வடிவானது, ஸ்பினுலோஸ் மற்றும் ரம்பம் போன்றது. ஆரஞ்சு சிவப்பு தலைகளில் பூக்கும். பூக்களின் கொரோலாக்கள் பட்டுகளுக்கு சாயமாகப் பயன்படுத்தப்படுகின்றன. பழங்கள் அச்சீன், நீள்வட்ட வடிவானது, பப்பஸ் முடிகள் இல்லாமல் நான்கு கோண கோள வடிவ பழம்.</v>
      </c>
      <c r="R124" s="4" t="s">
        <v>1534</v>
      </c>
      <c r="S124" s="3" t="str">
        <f ca="1">IFERROR(__xludf.DUMMYFUNCTION("GOOGLETRANSLATE(T124,""en"",""ta"")"),"#VALUE!")</f>
        <v>#VALUE!</v>
      </c>
      <c r="T124" s="3"/>
      <c r="U124" s="3" t="str">
        <f ca="1">IFERROR(__xludf.DUMMYFUNCTION("GOOGLETRANSLATE(V124,""en"",""ta"")"),"#VALUE!")</f>
        <v>#VALUE!</v>
      </c>
      <c r="V124" s="3"/>
      <c r="W124" s="3" t="str">
        <f ca="1">IFERROR(__xludf.DUMMYFUNCTION("GOOGLETRANSLATE(X124,""en"",""ta"")"),"#VALUE!")</f>
        <v>#VALUE!</v>
      </c>
      <c r="X124" s="3"/>
      <c r="Y124" s="3" t="str">
        <f ca="1">IFERROR(__xludf.DUMMYFUNCTION("GOOGLETRANSLATE(Z124,""en"",""ta"")"),"உலர்: மஞ்சள் காமாலை, மூக்கின் நீர்க்கட்டு, தசை 
வாத நோய்.")</f>
        <v>உலர்: மஞ்சள் காமாலை, மூக்கின் நீர்க்கட்டு, தசை 
வாத நோய்.</v>
      </c>
      <c r="Z124" s="3" t="s">
        <v>1535</v>
      </c>
      <c r="AA124" s="3" t="str">
        <f ca="1">IFERROR(__xludf.DUMMYFUNCTION("GOOGLETRANSLATE(AB124,""en"",""ta"")"),"#VALUE!")</f>
        <v>#VALUE!</v>
      </c>
      <c r="AB124" s="3"/>
      <c r="AC124" s="3" t="str">
        <f ca="1">IFERROR(__xludf.DUMMYFUNCTION("GOOGLETRANSLATE(AD124,""en"",""ta"")"),"#VALUE!")</f>
        <v>#VALUE!</v>
      </c>
      <c r="AD124" s="3"/>
      <c r="AE124" s="3" t="str">
        <f ca="1">IFERROR(__xludf.DUMMYFUNCTION("GOOGLETRANSLATE(AF124,""en"",""ta"")"),"#VALUE!")</f>
        <v>#VALUE!</v>
      </c>
      <c r="AF124" s="3"/>
      <c r="AG124" s="3" t="str">
        <f ca="1">IFERROR(__xludf.DUMMYFUNCTION("GOOGLETRANSLATE(AH124,""en"",""ta"")"),"#VALUE!")</f>
        <v>#VALUE!</v>
      </c>
      <c r="AH124" s="3"/>
      <c r="AI124" s="3" t="str">
        <f ca="1">IFERROR(__xludf.DUMMYFUNCTION("GOOGLETRANSLATE(AJ124,""en"",""ta"")"),"#VALUE!")</f>
        <v>#VALUE!</v>
      </c>
      <c r="AJ124" s="3"/>
      <c r="AK124" s="3" t="str">
        <f ca="1">IFERROR(__xludf.DUMMYFUNCTION("GOOGLETRANSLATE(AL124,""en"",""ta"")"),"#VALUE!")</f>
        <v>#VALUE!</v>
      </c>
      <c r="AL124" s="3"/>
      <c r="AM124" s="3" t="str">
        <f ca="1">IFERROR(__xludf.DUMMYFUNCTION("GOOGLETRANSLATE(AN124,""en"",""ta"")"),"#VALUE!")</f>
        <v>#VALUE!</v>
      </c>
      <c r="AN124" s="3"/>
      <c r="AO124" s="3" t="str">
        <f ca="1">IFERROR(__xludf.DUMMYFUNCTION("GOOGLETRANSLATE(AP124,""en"",""ta"")"),"#VALUE!")</f>
        <v>#VALUE!</v>
      </c>
      <c r="AP124" s="3"/>
      <c r="AQ124" s="3"/>
      <c r="AR124" s="3" t="str">
        <f ca="1">IFERROR(__xludf.DUMMYFUNCTION("GOOGLETRANSLATE(AS124,""en"",""ta"")"),"ஊக்கி, எம்மெனாகோக், மயக்க மருந்து, ஃபெப்ரிஃபியூஜ், ஆன்டெல்மிண்டிக், டையூரிடிக் மற்றும் டானிக்.")</f>
        <v>ஊக்கி, எம்மெனாகோக், மயக்க மருந்து, ஃபெப்ரிஃபியூஜ், ஆன்டெல்மிண்டிக், டையூரிடிக் மற்றும் டானிக்.</v>
      </c>
      <c r="AS124" s="4" t="s">
        <v>1536</v>
      </c>
      <c r="AT124" s="3" t="str">
        <f ca="1">IFERROR(__xludf.DUMMYFUNCTION("GOOGLETRANSLATE(AU124,""en"",""ta"")"),"கார்த்தமின், கார்த்தமான், லினோலிக் அமிலம், டோகோபெரோல்கள், லுடியோலின்-7-குளுக்கோசைடு, மாங்கனீசு, செரோடோனின், செல்லோபயோசைடு, டிராக்கெலோசைடு, ஸ்டீராய்டு மற்றும் N-P-கூமரோயில் செரோடோனின்.")</f>
        <v>கார்த்தமின், கார்த்தமான், லினோலிக் அமிலம், டோகோபெரோல்கள், லுடியோலின்-7-குளுக்கோசைடு, மாங்கனீசு, செரோடோனின், செல்லோபயோசைடு, டிராக்கெலோசைடு, ஸ்டீராய்டு மற்றும் N-P-கூமரோயில் செரோடோனின்.</v>
      </c>
      <c r="AU124" s="4" t="s">
        <v>1537</v>
      </c>
      <c r="AV124" s="3"/>
      <c r="AW124" s="3" t="str">
        <f ca="1">IFERROR(__xludf.DUMMYFUNCTION("GOOGLETRANSLATE(AX124,""en"",""ta"")"),"குங்குமப்பூ எண்ணெய் தூய லினோலிக் அமிலத்தின் சிறந்த மூலமாக இருப்பதால், உயர் இரத்த அழுத்தம் மற்றும் இதய நோய்கள் உள்ள நோயாளிகளுக்கு இது மிகவும் நல்ல சமையல் ஊடகமாக செயல்படுகிறது. 2. தசை வாத நோய்க்கு 
டயாபோரெடிக் மருந்தாக உலர்ந்த பூக்களின் சூடான கஷாயம் கொடுக்க"&amp;"ப்படுகிறது.")</f>
        <v>குங்குமப்பூ எண்ணெய் தூய லினோலிக் அமிலத்தின் சிறந்த மூலமாக இருப்பதால், உயர் இரத்த அழுத்தம் மற்றும் இதய நோய்கள் உள்ள நோயாளிகளுக்கு இது மிகவும் நல்ல சமையல் ஊடகமாக செயல்படுகிறது. 2. தசை வாத நோய்க்கு 
டயாபோரெடிக் மருந்தாக உலர்ந்த பூக்களின் சூடான கஷாயம் கொடுக்கப்படுகிறது.</v>
      </c>
      <c r="AX124" s="3" t="s">
        <v>2509</v>
      </c>
      <c r="AY124" s="3"/>
      <c r="AZ124" s="3"/>
      <c r="BA124" s="3"/>
      <c r="BB124" s="3"/>
      <c r="BC124" s="3"/>
      <c r="BD124" s="3"/>
      <c r="BE124" s="3"/>
      <c r="BF124" s="3"/>
    </row>
    <row r="125" spans="1:58" ht="56" x14ac:dyDescent="0.15">
      <c r="A125" s="3">
        <v>124</v>
      </c>
      <c r="B125" s="3" t="str">
        <f ca="1">IFERROR(__xludf.DUMMYFUNCTION("GOOGLETRANSLATE(C125,""en"",""ta"")"),"கரம் கார்வி")</f>
        <v>கரம் கார்வி</v>
      </c>
      <c r="C125" s="4" t="s">
        <v>1539</v>
      </c>
      <c r="D125" s="3" t="str">
        <f ca="1">IFERROR(__xludf.DUMMYFUNCTION("GOOGLETRANSLATE(E125,""en"",""ta"")"),"சுஷாவி")</f>
        <v>சுஷாவி</v>
      </c>
      <c r="E125" s="4" t="s">
        <v>1540</v>
      </c>
      <c r="F125" s="3" t="str">
        <f ca="1">IFERROR(__xludf.DUMMYFUNCTION("GOOGLETRANSLATE(G125,""en"",""ta"")"),"சோம்பு")</f>
        <v>சோம்பு</v>
      </c>
      <c r="G125" s="4" t="s">
        <v>1541</v>
      </c>
      <c r="H125" s="3" t="str">
        <f ca="1">IFERROR(__xludf.DUMMYFUNCTION("GOOGLETRANSLATE(I125,""en"",""ta"")"),"காரவே விதைகள்")</f>
        <v>காரவே விதைகள்</v>
      </c>
      <c r="I125" s="4" t="s">
        <v>1542</v>
      </c>
      <c r="J125" s="3" t="str">
        <f ca="1">IFERROR(__xludf.DUMMYFUNCTION("GOOGLETRANSLATE(K125,""en"",""ta"")"),"ஷிமாய் சாபு")</f>
        <v>ஷிமாய் சாபு</v>
      </c>
      <c r="K125" s="4" t="s">
        <v>1543</v>
      </c>
      <c r="L125" s="3" t="str">
        <f ca="1">IFERROR(__xludf.DUMMYFUNCTION("GOOGLETRANSLATE(M125,""en"",""ta"")"),"பெருஞ்சீரகம்")</f>
        <v>பெருஞ்சீரகம்</v>
      </c>
      <c r="M125" s="4" t="s">
        <v>1544</v>
      </c>
      <c r="N125" s="3" t="str">
        <f ca="1">IFERROR(__xludf.DUMMYFUNCTION("GOOGLETRANSLATE(O125,""en"",""ta"")"),"காலா ஜிரா")</f>
        <v>காலா ஜிரா</v>
      </c>
      <c r="O125" s="4" t="s">
        <v>1545</v>
      </c>
      <c r="P125" s="3"/>
      <c r="Q125" s="3" t="str">
        <f ca="1">IFERROR(__xludf.DUMMYFUNCTION("GOOGLETRANSLATE(R125,""en"",""ta"")"),"வருடாந்திர அல்லது வற்றாத மூலிகை. இலைகள் சிதைவடையும். மலர்கள் வெள்ளை நிறத்தில், பலதார மணம் கொண்டவை, மலட்டுத்தன்மை கொண்ட பூக்கள் பெரும்பாலும் கூட்டு அம்பல்களில் காணப்படும். பழங்கள் முட்டை வடிவானது, நீள்வட்ட வடிவமானது அல்லது நீள்வட்டமானது பக்கவாட்டில் சுருக்"&amp;"கப்பட்டது. விதைகள் வளையமானது, தட்டையானது மற்றும் உட்புற மேற்பரப்பில் சேனல்கள் கொண்டது.")</f>
        <v>வருடாந்திர அல்லது வற்றாத மூலிகை. இலைகள் சிதைவடையும். மலர்கள் வெள்ளை நிறத்தில், பலதார மணம் கொண்டவை, மலட்டுத்தன்மை கொண்ட பூக்கள் பெரும்பாலும் கூட்டு அம்பல்களில் காணப்படும். பழங்கள் முட்டை வடிவானது, நீள்வட்ட வடிவமானது அல்லது நீள்வட்டமானது பக்கவாட்டில் சுருக்கப்பட்டது. விதைகள் வளையமானது, தட்டையானது மற்றும் உட்புற மேற்பரப்பில் சேனல்கள் கொண்டது.</v>
      </c>
      <c r="R125" s="4" t="s">
        <v>1546</v>
      </c>
      <c r="S125" s="3" t="str">
        <f ca="1">IFERROR(__xludf.DUMMYFUNCTION("GOOGLETRANSLATE(T125,""en"",""ta"")"),"#VALUE!")</f>
        <v>#VALUE!</v>
      </c>
      <c r="T125" s="3"/>
      <c r="U125" s="3" t="str">
        <f ca="1">IFERROR(__xludf.DUMMYFUNCTION("GOOGLETRANSLATE(V125,""en"",""ta"")"),"#VALUE!")</f>
        <v>#VALUE!</v>
      </c>
      <c r="V125" s="3"/>
      <c r="W125" s="3" t="str">
        <f ca="1">IFERROR(__xludf.DUMMYFUNCTION("GOOGLETRANSLATE(X125,""en"",""ta"")"),"#VALUE!")</f>
        <v>#VALUE!</v>
      </c>
      <c r="X125" s="3"/>
      <c r="Y125" s="3" t="str">
        <f ca="1">IFERROR(__xludf.DUMMYFUNCTION("GOOGLETRANSLATE(Z125,""en"",""ta"")"),"#VALUE!")</f>
        <v>#VALUE!</v>
      </c>
      <c r="Z125" s="3"/>
      <c r="AA125" s="3" t="str">
        <f ca="1">IFERROR(__xludf.DUMMYFUNCTION("GOOGLETRANSLATE(AB125,""en"",""ta"")"),"#VALUE!")</f>
        <v>#VALUE!</v>
      </c>
      <c r="AB125" s="3"/>
      <c r="AC125" s="3" t="str">
        <f ca="1">IFERROR(__xludf.DUMMYFUNCTION("GOOGLETRANSLATE(AD125,""en"",""ta"")"),"#VALUE!")</f>
        <v>#VALUE!</v>
      </c>
      <c r="AD125" s="3"/>
      <c r="AE125" s="3" t="str">
        <f ca="1">IFERROR(__xludf.DUMMYFUNCTION("GOOGLETRANSLATE(AF125,""en"",""ta"")"),"#VALUE!")</f>
        <v>#VALUE!</v>
      </c>
      <c r="AF125" s="3"/>
      <c r="AG125" s="3" t="str">
        <f ca="1">IFERROR(__xludf.DUMMYFUNCTION("GOOGLETRANSLATE(AH125,""en"",""ta"")"),"#VALUE!")</f>
        <v>#VALUE!</v>
      </c>
      <c r="AH125" s="3"/>
      <c r="AI125" s="3" t="str">
        <f ca="1">IFERROR(__xludf.DUMMYFUNCTION("GOOGLETRANSLATE(AJ125,""en"",""ta"")"),"#VALUE!")</f>
        <v>#VALUE!</v>
      </c>
      <c r="AJ125" s="3"/>
      <c r="AK125" s="3" t="str">
        <f ca="1">IFERROR(__xludf.DUMMYFUNCTION("GOOGLETRANSLATE(AL125,""en"",""ta"")"),"#VALUE!")</f>
        <v>#VALUE!</v>
      </c>
      <c r="AL125" s="3"/>
      <c r="AM125" s="3" t="str">
        <f ca="1">IFERROR(__xludf.DUMMYFUNCTION("GOOGLETRANSLATE(AN125,""en"",""ta"")"),"#VALUE!")</f>
        <v>#VALUE!</v>
      </c>
      <c r="AN125" s="3"/>
      <c r="AO125" s="3" t="str">
        <f ca="1">IFERROR(__xludf.DUMMYFUNCTION("GOOGLETRANSLATE(AP125,""en"",""ta"")"),"#VALUE!")</f>
        <v>#VALUE!</v>
      </c>
      <c r="AP125" s="3"/>
      <c r="AQ125" s="3"/>
      <c r="AR125" s="3" t="str">
        <f ca="1">IFERROR(__xludf.DUMMYFUNCTION("GOOGLETRANSLATE(AS125,""en"",""ta"")"),"நறுமணப் பொருள், தூண்டுதல் மருந்து, இரைப்பை குடல் வலி நிவாரணி, செரிமான மருந்து, இதய டானிக், அழற்சி எதிர்ப்பு மருந்து.")</f>
        <v>நறுமணப் பொருள், தூண்டுதல் மருந்து, இரைப்பை குடல் வலி நிவாரணி, செரிமான மருந்து, இதய டானிக், அழற்சி எதிர்ப்பு மருந்து.</v>
      </c>
      <c r="AS125" s="4" t="s">
        <v>1547</v>
      </c>
      <c r="AT125" s="3" t="str">
        <f ca="1">IFERROR(__xludf.DUMMYFUNCTION("GOOGLETRANSLATE(AU125,""en"",""ta"")"),"தைமால், பி-ஃபெல்லான்ரீன், அம்பெல்லிஃபெரோன், க்வெர்செடின், கேம்ப்ஃபெரால், ஏ-&amp;பி-பினென் ஸ்கோபொலெடின், கார்வோன் மற்றும் சிடோஸ்டெரால்.")</f>
        <v>தைமால், பி-ஃபெல்லான்ரீன், அம்பெல்லிஃபெரோன், க்வெர்செடின், கேம்ப்ஃபெரால், ஏ-&amp;பி-பினென் ஸ்கோபொலெடின், கார்வோன் மற்றும் சிடோஸ்டெரால்.</v>
      </c>
      <c r="AU125" s="4" t="s">
        <v>1548</v>
      </c>
      <c r="AV125" s="3"/>
      <c r="AW125" s="3" t="str">
        <f ca="1">IFERROR(__xludf.DUMMYFUNCTION("GOOGLETRANSLATE(AX125,""en"",""ta"")"),"விதைகளிலிருந்து தயாரிக்கப்படும் தேநீர் 
வாய்வு வயிற்று வலி 2 க்கு சிகிச்சையளிக்கப் பயன்படுகிறது. 
அஜீரணக் கோளாறுக்கு உடனடி நிவாரணம் அளிக்க விதையை பச்சையாக மென்று சாப்பிடலாம்.")</f>
        <v>விதைகளிலிருந்து தயாரிக்கப்படும் தேநீர் 
வாய்வு வயிற்று வலி 2 க்கு சிகிச்சையளிக்கப் பயன்படுகிறது. 
அஜீரணக் கோளாறுக்கு உடனடி நிவாரணம் அளிக்க விதையை பச்சையாக மென்று சாப்பிடலாம்.</v>
      </c>
      <c r="AX125" s="3" t="s">
        <v>2510</v>
      </c>
      <c r="AY125" s="3"/>
      <c r="AZ125" s="3"/>
      <c r="BA125" s="3"/>
      <c r="BB125" s="3"/>
      <c r="BC125" s="3"/>
      <c r="BD125" s="3"/>
      <c r="BE125" s="3"/>
      <c r="BF125" s="3"/>
    </row>
    <row r="126" spans="1:58" ht="112" x14ac:dyDescent="0.15">
      <c r="A126" s="3">
        <v>125</v>
      </c>
      <c r="B126" s="3" t="str">
        <f ca="1">IFERROR(__xludf.DUMMYFUNCTION("GOOGLETRANSLATE(C126,""en"",""ta"")"),"காரியோட்டா யூரன்ஸ்")</f>
        <v>காரியோட்டா யூரன்ஸ்</v>
      </c>
      <c r="C126" s="4" t="s">
        <v>1550</v>
      </c>
      <c r="D126" s="3" t="str">
        <f ca="1">IFERROR(__xludf.DUMMYFUNCTION("GOOGLETRANSLATE(E126,""en"",""ta"")"),"மேடா")</f>
        <v>மேடா</v>
      </c>
      <c r="E126" s="4" t="s">
        <v>1551</v>
      </c>
      <c r="F126" s="3" t="str">
        <f ca="1">IFERROR(__xludf.DUMMYFUNCTION("GOOGLETRANSLATE(G126,""en"",""ta"")"),"கொண்டா பனை")</f>
        <v>கொண்டா பனை</v>
      </c>
      <c r="G126" s="4" t="s">
        <v>1552</v>
      </c>
      <c r="H126" s="3" t="str">
        <f ca="1">IFERROR(__xludf.DUMMYFUNCTION("GOOGLETRANSLATE(I126,""en"",""ta"")"),"குதிரை வால் பனை")</f>
        <v>குதிரை வால் பனை</v>
      </c>
      <c r="I126" s="4" t="s">
        <v>1553</v>
      </c>
      <c r="J126" s="3" t="str">
        <f ca="1">IFERROR(__xludf.DUMMYFUNCTION("GOOGLETRANSLATE(K126,""en"",""ta"")"),"ஜீலுகு சேட்டு")</f>
        <v>ஜீலுகு சேட்டு</v>
      </c>
      <c r="K126" s="4" t="s">
        <v>1554</v>
      </c>
      <c r="L126" s="3" t="str">
        <f ca="1">IFERROR(__xludf.DUMMYFUNCTION("GOOGLETRANSLATE(M126,""en"",""ta"")"),"இறம்பனை")</f>
        <v>இறம்பனை</v>
      </c>
      <c r="M126" s="4" t="s">
        <v>1555</v>
      </c>
      <c r="N126" s="3" t="str">
        <f ca="1">IFERROR(__xludf.DUMMYFUNCTION("GOOGLETRANSLATE(O126,""en"",""ta"")"),"பங்கஜூர்")</f>
        <v>பங்கஜூர்</v>
      </c>
      <c r="O126" s="4" t="s">
        <v>1556</v>
      </c>
      <c r="P126" s="3"/>
      <c r="Q126" s="3" t="str">
        <f ca="1">IFERROR(__xludf.DUMMYFUNCTION("GOOGLETRANSLATE(R126,""en"",""ta"")"),"உயரமான, வளைய வடிவ, நிர்வாணமான அல்லது உறை போன்ற உயரமான பனை மரம். இலைகள் வளைந்தவை, மிகக் குறைவு, மிகப் பெரியவை மற்றும் இருமுனை வடிவ. இலைகள் விசிறி வடிவிலானவை மற்றும் நுனி முனையில் வட்டமானவை. மஞ்சரி ஸ்பேடிக்ஸ். பூக்கள் முக்கோண வடிவிலானவை. பழங்கள் கோள வடிவமான"&amp;"து, விதைகள் நிமிர்ந்தவை, கரு சிறியது.")</f>
        <v>உயரமான, வளைய வடிவ, நிர்வாணமான அல்லது உறை போன்ற உயரமான பனை மரம். இலைகள் வளைந்தவை, மிகக் குறைவு, மிகப் பெரியவை மற்றும் இருமுனை வடிவ. இலைகள் விசிறி வடிவிலானவை மற்றும் நுனி முனையில் வட்டமானவை. மஞ்சரி ஸ்பேடிக்ஸ். பூக்கள் முக்கோண வடிவிலானவை. பழங்கள் கோள வடிவமானது, விதைகள் நிமிர்ந்தவை, கரு சிறியது.</v>
      </c>
      <c r="R126" s="4" t="s">
        <v>1557</v>
      </c>
      <c r="S126" s="3" t="str">
        <f ca="1">IFERROR(__xludf.DUMMYFUNCTION("GOOGLETRANSLATE(T126,""en"",""ta"")"),"#VALUE!")</f>
        <v>#VALUE!</v>
      </c>
      <c r="T126" s="3"/>
      <c r="U126" s="3" t="str">
        <f ca="1">IFERROR(__xludf.DUMMYFUNCTION("GOOGLETRANSLATE(V126,""en"",""ta"")"),"#VALUE!")</f>
        <v>#VALUE!</v>
      </c>
      <c r="V126" s="3"/>
      <c r="W126" s="3" t="str">
        <f ca="1">IFERROR(__xludf.DUMMYFUNCTION("GOOGLETRANSLATE(X126,""en"",""ta"")"),"#VALUE!")</f>
        <v>#VALUE!</v>
      </c>
      <c r="X126" s="3"/>
      <c r="Y126" s="3" t="str">
        <f ca="1">IFERROR(__xludf.DUMMYFUNCTION("GOOGLETRANSLATE(Z126,""en"",""ta"")"),"#VALUE!")</f>
        <v>#VALUE!</v>
      </c>
      <c r="Z126" s="3"/>
      <c r="AA126" s="3" t="str">
        <f ca="1">IFERROR(__xludf.DUMMYFUNCTION("GOOGLETRANSLATE(AB126,""en"",""ta"")"),"#VALUE!")</f>
        <v>#VALUE!</v>
      </c>
      <c r="AB126" s="3"/>
      <c r="AC126" s="3" t="str">
        <f ca="1">IFERROR(__xludf.DUMMYFUNCTION("GOOGLETRANSLATE(AD126,""en"",""ta"")"),"#VALUE!")</f>
        <v>#VALUE!</v>
      </c>
      <c r="AD126" s="3"/>
      <c r="AE126" s="3" t="str">
        <f ca="1">IFERROR(__xludf.DUMMYFUNCTION("GOOGLETRANSLATE(AF126,""en"",""ta"")"),"#VALUE!")</f>
        <v>#VALUE!</v>
      </c>
      <c r="AF126" s="3"/>
      <c r="AG126" s="3" t="str">
        <f ca="1">IFERROR(__xludf.DUMMYFUNCTION("GOOGLETRANSLATE(AH126,""en"",""ta"")"),"#VALUE!")</f>
        <v>#VALUE!</v>
      </c>
      <c r="AH126" s="3"/>
      <c r="AI126" s="3" t="str">
        <f ca="1">IFERROR(__xludf.DUMMYFUNCTION("GOOGLETRANSLATE(AJ126,""en"",""ta"")"),"#VALUE!")</f>
        <v>#VALUE!</v>
      </c>
      <c r="AJ126" s="3"/>
      <c r="AK126" s="3" t="str">
        <f ca="1">IFERROR(__xludf.DUMMYFUNCTION("GOOGLETRANSLATE(AL126,""en"",""ta"")"),"#VALUE!")</f>
        <v>#VALUE!</v>
      </c>
      <c r="AL126" s="3"/>
      <c r="AM126" s="3" t="str">
        <f ca="1">IFERROR(__xludf.DUMMYFUNCTION("GOOGLETRANSLATE(AN126,""en"",""ta"")"),"கொட்டைகள் மற்றும் சாறு: ஹெமிக்ரேனியா, சிறுநீர் கோளாறுகள், முடி டானிக் 
மற்றும் விந்து பலவீனம்.")</f>
        <v>கொட்டைகள் மற்றும் சாறு: ஹெமிக்ரேனியா, சிறுநீர் கோளாறுகள், முடி டானிக் 
மற்றும் விந்து பலவீனம்.</v>
      </c>
      <c r="AN126" s="3" t="s">
        <v>1558</v>
      </c>
      <c r="AO126" s="3" t="str">
        <f ca="1">IFERROR(__xludf.DUMMYFUNCTION("GOOGLETRANSLATE(AP126,""en"",""ta"")"),"#VALUE!")</f>
        <v>#VALUE!</v>
      </c>
      <c r="AP126" s="3"/>
      <c r="AQ126" s="3"/>
      <c r="AR126" s="3" t="str">
        <f ca="1">IFERROR(__xludf.DUMMYFUNCTION("GOOGLETRANSLATE(AS126,""en"",""ta"")"),"பாலுணர்வூக்கி மற்றும் மலமிளக்கி")</f>
        <v>பாலுணர்வூக்கி மற்றும் மலமிளக்கி</v>
      </c>
      <c r="AS126" s="4" t="s">
        <v>1559</v>
      </c>
      <c r="AT126" s="3" t="str">
        <f ca="1">IFERROR(__xludf.DUMMYFUNCTION("GOOGLETRANSLATE(AU126,""en"",""ta"")"),"ஹெமிக்ரேனியாவில் 
நெற்றியில் கொட்டைகளை பேஸ்டாகப் பூசுகிறார்கள். 2. விதை பலவீனம் மற்றும் சிறுநீர் கோளாறுகளுக்கு கொட்டைகளின் கஷாயம் கொடுக்கப்படுகிறது.")</f>
        <v>ஹெமிக்ரேனியாவில் 
நெற்றியில் கொட்டைகளை பேஸ்டாகப் பூசுகிறார்கள். 2. விதை பலவீனம் மற்றும் சிறுநீர் கோளாறுகளுக்கு கொட்டைகளின் கஷாயம் கொடுக்கப்படுகிறது.</v>
      </c>
      <c r="AU126" s="3" t="s">
        <v>2511</v>
      </c>
      <c r="AV126" s="3"/>
      <c r="AW126" s="3" t="str">
        <f ca="1">IFERROR(__xludf.DUMMYFUNCTION("GOOGLETRANSLATE(AX126,""en"",""ta"")"),"#VALUE!")</f>
        <v>#VALUE!</v>
      </c>
      <c r="AX126" s="3"/>
      <c r="AY126" s="3"/>
      <c r="AZ126" s="3"/>
      <c r="BA126" s="3"/>
      <c r="BB126" s="3"/>
      <c r="BC126" s="3"/>
      <c r="BD126" s="3"/>
      <c r="BE126" s="3"/>
      <c r="BF126" s="3"/>
    </row>
    <row r="127" spans="1:58" ht="56" x14ac:dyDescent="0.15">
      <c r="A127" s="3">
        <v>126</v>
      </c>
      <c r="B127" s="3" t="str">
        <f ca="1">IFERROR(__xludf.DUMMYFUNCTION("GOOGLETRANSLATE(C127,""en"",""ta"")"),"காசியா அலட்டா")</f>
        <v>காசியா அலட்டா</v>
      </c>
      <c r="C127" s="4" t="s">
        <v>1560</v>
      </c>
      <c r="D127" s="3" t="str">
        <f ca="1">IFERROR(__xludf.DUMMYFUNCTION("GOOGLETRANSLATE(E127,""en"",""ta"")"),"தத்ருக்னா")</f>
        <v>தத்ருக்னா</v>
      </c>
      <c r="E127" s="4" t="s">
        <v>1561</v>
      </c>
      <c r="F127" s="3" t="str">
        <f ca="1">IFERROR(__xludf.DUMMYFUNCTION("GOOGLETRANSLATE(G127,""en"",""ta"")"),"சீமை-அகதி")</f>
        <v>சீமை-அகதி</v>
      </c>
      <c r="G127" s="4" t="s">
        <v>1562</v>
      </c>
      <c r="H127" s="3" t="str">
        <f ca="1">IFERROR(__xludf.DUMMYFUNCTION("GOOGLETRANSLATE(I127,""en"",""ta"")"),"ரிங்வோர்ம் புதர்")</f>
        <v>ரிங்வோர்ம் புதர்</v>
      </c>
      <c r="I127" s="4" t="s">
        <v>1563</v>
      </c>
      <c r="J127" s="3" t="str">
        <f ca="1">IFERROR(__xludf.DUMMYFUNCTION("GOOGLETRANSLATE(K127,""en"",""ta"")"),"மெட்டா தமாரா")</f>
        <v>மெட்டா தமாரா</v>
      </c>
      <c r="K127" s="4" t="s">
        <v>1564</v>
      </c>
      <c r="L127" s="3" t="str">
        <f ca="1">IFERROR(__xludf.DUMMYFUNCTION("GOOGLETRANSLATE(M127,""en"",""ta"")"),"சீமா அகதி")</f>
        <v>சீமா அகதி</v>
      </c>
      <c r="M127" s="4" t="s">
        <v>1565</v>
      </c>
      <c r="N127" s="3" t="str">
        <f ca="1">IFERROR(__xludf.DUMMYFUNCTION("GOOGLETRANSLATE(O127,""en"",""ta"")"),"டாட்முர்தான்")</f>
        <v>டாட்முர்தான்</v>
      </c>
      <c r="O127" s="4" t="s">
        <v>1566</v>
      </c>
      <c r="P127" s="3"/>
      <c r="Q127" s="3" t="str">
        <f ca="1">IFERROR(__xludf.DUMMYFUNCTION("GOOGLETRANSLATE(R127,""en"",""ta"")"),"ஒரு பெரிய அழகான புதர். இலைகள் கூர்மையாக பின்னேட் போன்ற கூட்டு இலைக்கோணத்துடன், கீழ் காம்புடையதாக, தண்டுப்பகுதி சுரப்பிகளுடன் காணப்படும். மலர்கள் பொதுவாக மஞ்சள் நிறத்தில், பெரும்பாலும் பெரியதாகவும், இலைக்கோணங்களில் காணப்படும் பேனிகுலேட் ரேசீமில் அழகாகவும் "&amp;"இருக்கும். பழங்கள் அகன்ற இறக்கையுடன், விதைகள் குறுக்காகவும் முக்கோணமாகவும் இருக்கும்.")</f>
        <v>ஒரு பெரிய அழகான புதர். இலைகள் கூர்மையாக பின்னேட் போன்ற கூட்டு இலைக்கோணத்துடன், கீழ் காம்புடையதாக, தண்டுப்பகுதி சுரப்பிகளுடன் காணப்படும். மலர்கள் பொதுவாக மஞ்சள் நிறத்தில், பெரும்பாலும் பெரியதாகவும், இலைக்கோணங்களில் காணப்படும் பேனிகுலேட் ரேசீமில் அழகாகவும் இருக்கும். பழங்கள் அகன்ற இறக்கையுடன், விதைகள் குறுக்காகவும் முக்கோணமாகவும் இருக்கும்.</v>
      </c>
      <c r="R127" s="4" t="s">
        <v>1567</v>
      </c>
      <c r="S127" s="3" t="str">
        <f ca="1">IFERROR(__xludf.DUMMYFUNCTION("GOOGLETRANSLATE(T127,""en"",""ta"")"),"#VALUE!")</f>
        <v>#VALUE!</v>
      </c>
      <c r="T127" s="3"/>
      <c r="U127" s="3" t="str">
        <f ca="1">IFERROR(__xludf.DUMMYFUNCTION("GOOGLETRANSLATE(V127,""en"",""ta"")"),"#VALUE!")</f>
        <v>#VALUE!</v>
      </c>
      <c r="V127" s="3"/>
      <c r="W127" s="3" t="str">
        <f ca="1">IFERROR(__xludf.DUMMYFUNCTION("GOOGLETRANSLATE(X127,""en"",""ta"")"),"எக்ஸிமா, வாஷர்மேன் அரிப்பு, சிபிலிஸ், மைக்கோசிஸ், ஹெர்பெஸ், மூச்சுக்குழாய் அழற்சி, மூச்சுத் திணறல் மற்றும் ஸ்டோமாடிடிஸ்.")</f>
        <v>எக்ஸிமா, வாஷர்மேன் அரிப்பு, சிபிலிஸ், மைக்கோசிஸ், ஹெர்பெஸ், மூச்சுக்குழாய் அழற்சி, மூச்சுத் திணறல் மற்றும் ஸ்டோமாடிடிஸ்.</v>
      </c>
      <c r="X127" s="4" t="s">
        <v>1568</v>
      </c>
      <c r="Y127" s="3" t="str">
        <f ca="1">IFERROR(__xludf.DUMMYFUNCTION("GOOGLETRANSLATE(Z127,""en"",""ta"")"),"மூச்சுக்குழாய் அழற்சி, ஸ்டோமாடிடிஸ், ஹெர்பெஸ், எக்ஸிமா, ரிங்வோர்ம்")</f>
        <v>மூச்சுக்குழாய் அழற்சி, ஸ்டோமாடிடிஸ், ஹெர்பெஸ், எக்ஸிமா, ரிங்வோர்ம்</v>
      </c>
      <c r="Z127" s="4" t="s">
        <v>1569</v>
      </c>
      <c r="AA127" s="3" t="str">
        <f ca="1">IFERROR(__xludf.DUMMYFUNCTION("GOOGLETRANSLATE(AB127,""en"",""ta"")"),"#VALUE!")</f>
        <v>#VALUE!</v>
      </c>
      <c r="AB127" s="3"/>
      <c r="AC127" s="3" t="str">
        <f ca="1">IFERROR(__xludf.DUMMYFUNCTION("GOOGLETRANSLATE(AD127,""en"",""ta"")"),"#VALUE!")</f>
        <v>#VALUE!</v>
      </c>
      <c r="AD127" s="3"/>
      <c r="AE127" s="3" t="str">
        <f ca="1">IFERROR(__xludf.DUMMYFUNCTION("GOOGLETRANSLATE(AF127,""en"",""ta"")"),"#VALUE!")</f>
        <v>#VALUE!</v>
      </c>
      <c r="AF127" s="3"/>
      <c r="AG127" s="3" t="str">
        <f ca="1">IFERROR(__xludf.DUMMYFUNCTION("GOOGLETRANSLATE(AH127,""en"",""ta"")"),"#VALUE!")</f>
        <v>#VALUE!</v>
      </c>
      <c r="AH127" s="3"/>
      <c r="AI127" s="3" t="str">
        <f ca="1">IFERROR(__xludf.DUMMYFUNCTION("GOOGLETRANSLATE(AJ127,""en"",""ta"")"),"#VALUE!")</f>
        <v>#VALUE!</v>
      </c>
      <c r="AJ127" s="3"/>
      <c r="AK127" s="3" t="str">
        <f ca="1">IFERROR(__xludf.DUMMYFUNCTION("GOOGLETRANSLATE(AL127,""en"",""ta"")"),"#VALUE!")</f>
        <v>#VALUE!</v>
      </c>
      <c r="AL127" s="3"/>
      <c r="AM127" s="3" t="str">
        <f ca="1">IFERROR(__xludf.DUMMYFUNCTION("GOOGLETRANSLATE(AN127,""en"",""ta"")"),"#VALUE!")</f>
        <v>#VALUE!</v>
      </c>
      <c r="AN127" s="3"/>
      <c r="AO127" s="3" t="str">
        <f ca="1">IFERROR(__xludf.DUMMYFUNCTION("GOOGLETRANSLATE(AP127,""en"",""ta"")"),"#VALUE!")</f>
        <v>#VALUE!</v>
      </c>
      <c r="AP127" s="3"/>
      <c r="AQ127" s="3"/>
      <c r="AR127" s="3" t="str">
        <f ca="1">IFERROR(__xludf.DUMMYFUNCTION("GOOGLETRANSLATE(AS127,""en"",""ta"")"),"ஒட்டுண்ணி எதிர்ப்பு, பூஞ்சை எதிர்ப்பு, டானிக், சுத்திகரிப்பு, டையூரிடிக் மற்றும் அழற்சி எதிர்ப்பு.")</f>
        <v>ஒட்டுண்ணி எதிர்ப்பு, பூஞ்சை எதிர்ப்பு, டானிக், சுத்திகரிப்பு, டையூரிடிக் மற்றும் அழற்சி எதிர்ப்பு.</v>
      </c>
      <c r="AS127" s="4" t="s">
        <v>1570</v>
      </c>
      <c r="AT127" s="3" t="str">
        <f ca="1">IFERROR(__xludf.DUMMYFUNCTION("GOOGLETRANSLATE(AU127,""en"",""ta"")"),"ஐசோக்ரைசோபனல், கிரைசோபனிக் அமிலம், கிளைகோசைடுகள், கிரைசோபனால், காசியாசான்தோன், கேம்ப்ஃபெரால், ரீன் மற்றும் அலோ-எமோடின்")</f>
        <v>ஐசோக்ரைசோபனல், கிரைசோபனிக் அமிலம், கிளைகோசைடுகள், கிரைசோபனால், காசியாசான்தோன், கேம்ப்ஃபெரால், ரீன் மற்றும் அலோ-எமோடின்</v>
      </c>
      <c r="AU127" s="4" t="s">
        <v>1571</v>
      </c>
      <c r="AV127" s="3"/>
      <c r="AW127" s="3" t="str">
        <f ca="1">IFERROR(__xludf.DUMMYFUNCTION("GOOGLETRANSLATE(AX127,""en"",""ta"")"),"i) பூக்களின் வலுவான கஷாயம் அரிக்கும் தோலழற்சிக்கு நல்லது.
ii) எலுமிச்சை சாற்றில் அரைத்த இலைகள் பூஞ்சை தொற்று மற்றும் பிற தோல் நோய்களுக்கு வெளிப்புறமாகப் பயன்படுத்தப்படுகின்றன.")</f>
        <v>i) பூக்களின் வலுவான கஷாயம் அரிக்கும் தோலழற்சிக்கு நல்லது.
ii) எலுமிச்சை சாற்றில் அரைத்த இலைகள் பூஞ்சை தொற்று மற்றும் பிற தோல் நோய்களுக்கு வெளிப்புறமாகப் பயன்படுத்தப்படுகின்றன.</v>
      </c>
      <c r="AX127" s="3" t="s">
        <v>2512</v>
      </c>
      <c r="AY127" s="3"/>
      <c r="AZ127" s="3"/>
      <c r="BA127" s="3"/>
      <c r="BB127" s="3"/>
      <c r="BC127" s="3"/>
      <c r="BD127" s="3"/>
      <c r="BE127" s="3"/>
      <c r="BF127" s="3"/>
    </row>
    <row r="128" spans="1:58" ht="56" x14ac:dyDescent="0.15">
      <c r="A128" s="3">
        <v>127</v>
      </c>
      <c r="B128" s="3" t="str">
        <f ca="1">IFERROR(__xludf.DUMMYFUNCTION("GOOGLETRANSLATE(C128,""en"",""ta"")"),"காசியா ஆரிகுலாட்டா")</f>
        <v>காசியா ஆரிகுலாட்டா</v>
      </c>
      <c r="C128" s="4" t="s">
        <v>1573</v>
      </c>
      <c r="D128" s="3" t="str">
        <f ca="1">IFERROR(__xludf.DUMMYFUNCTION("GOOGLETRANSLATE(E128,""en"",""ta"")"),"அவார்டகி")</f>
        <v>அவார்டகி</v>
      </c>
      <c r="E128" s="4" t="s">
        <v>1574</v>
      </c>
      <c r="F128" s="3" t="str">
        <f ca="1">IFERROR(__xludf.DUMMYFUNCTION("GOOGLETRANSLATE(G128,""en"",""ta"")"),"ஆவாரை")</f>
        <v>ஆவாரை</v>
      </c>
      <c r="G128" s="4" t="s">
        <v>1575</v>
      </c>
      <c r="H128" s="3" t="str">
        <f ca="1">IFERROR(__xludf.DUMMYFUNCTION("GOOGLETRANSLATE(I128,""en"",""ta"")"),"டானரின் காசியா")</f>
        <v>டானரின் காசியா</v>
      </c>
      <c r="I128" s="4" t="s">
        <v>1576</v>
      </c>
      <c r="J128" s="3" t="str">
        <f ca="1">IFERROR(__xludf.DUMMYFUNCTION("GOOGLETRANSLATE(K128,""en"",""ta"")"),"டாங்கெடு")</f>
        <v>டாங்கெடு</v>
      </c>
      <c r="K128" s="4" t="s">
        <v>1577</v>
      </c>
      <c r="L128" s="3" t="str">
        <f ca="1">IFERROR(__xludf.DUMMYFUNCTION("GOOGLETRANSLATE(M128,""en"",""ta"")"),"அவீரம்")</f>
        <v>அவீரம்</v>
      </c>
      <c r="M128" s="4" t="s">
        <v>1578</v>
      </c>
      <c r="N128" s="3" t="str">
        <f ca="1">IFERROR(__xludf.DUMMYFUNCTION("GOOGLETRANSLATE(O128,""en"",""ta"")"),"தர்வார்")</f>
        <v>தர்வார்</v>
      </c>
      <c r="O128" s="4" t="s">
        <v>1579</v>
      </c>
      <c r="P128" s="3"/>
      <c r="Q128" s="3" t="str">
        <f ca="1">IFERROR(__xludf.DUMMYFUNCTION("GOOGLETRANSLATE(R128,""en"",""ta"")"),"பொதுவாக ஒரு புதர், இலைகள் கூட்டு மற்றும் 8-12 ஜோடி சிற்றிலைகளுக்கு இடையில் நுண் சுரப்பிகளுடன் காணப்படும். பூக்கள் அடிப்பகுதி அச்சுகளில் இருக்கும். பழங்கள் காய்கள், விதைகள் குறுக்காக இருக்கும்.")</f>
        <v>பொதுவாக ஒரு புதர், இலைகள் கூட்டு மற்றும் 8-12 ஜோடி சிற்றிலைகளுக்கு இடையில் நுண் சுரப்பிகளுடன் காணப்படும். பூக்கள் அடிப்பகுதி அச்சுகளில் இருக்கும். பழங்கள் காய்கள், விதைகள் குறுக்காக இருக்கும்.</v>
      </c>
      <c r="R128" s="4" t="s">
        <v>1580</v>
      </c>
      <c r="S128" s="3" t="str">
        <f ca="1">IFERROR(__xludf.DUMMYFUNCTION("GOOGLETRANSLATE(T128,""en"",""ta"")"),"#VALUE!")</f>
        <v>#VALUE!</v>
      </c>
      <c r="T128" s="3"/>
      <c r="U128" s="3" t="str">
        <f ca="1">IFERROR(__xludf.DUMMYFUNCTION("GOOGLETRANSLATE(V128,""en"",""ta"")"),"கண்சவ்வு அழற்சி, நீரிழிவு நோய்.")</f>
        <v>கண்சவ்வு அழற்சி, நீரிழிவு நோய்.</v>
      </c>
      <c r="V128" s="4" t="s">
        <v>1581</v>
      </c>
      <c r="W128" s="3" t="str">
        <f ca="1">IFERROR(__xludf.DUMMYFUNCTION("GOOGLETRANSLATE(X128,""en"",""ta"")"),"தலைச்சுற்றல், எலும்பு முறிவு, தோல் நோய்கள் தொழுநோய்")</f>
        <v>தலைச்சுற்றல், எலும்பு முறிவு, தோல் நோய்கள் தொழுநோய்</v>
      </c>
      <c r="X128" s="4" t="s">
        <v>1582</v>
      </c>
      <c r="Y128" s="3" t="str">
        <f ca="1">IFERROR(__xludf.DUMMYFUNCTION("GOOGLETRANSLATE(Z128,""en"",""ta"")"),"கருப்பை டானிக், நீரிழிவு நோய், இரவு நேர உமிழ்வுகள்")</f>
        <v>கருப்பை டானிக், நீரிழிவு நோய், இரவு நேர உமிழ்வுகள்</v>
      </c>
      <c r="Z128" s="4" t="s">
        <v>1583</v>
      </c>
      <c r="AA128" s="3" t="str">
        <f ca="1">IFERROR(__xludf.DUMMYFUNCTION("GOOGLETRANSLATE(AB128,""en"",""ta"")"),"தொண்டை வலி, வாத நோய், நீரிழிவு நோய், எனிமா.")</f>
        <v>தொண்டை வலி, வாத நோய், நீரிழிவு நோய், எனிமா.</v>
      </c>
      <c r="AB128" s="4" t="s">
        <v>1584</v>
      </c>
      <c r="AC128" s="3" t="str">
        <f ca="1">IFERROR(__xludf.DUMMYFUNCTION("GOOGLETRANSLATE(AD128,""en"",""ta"")"),"சிறுநீர் வெளியேற்றம், கீல்வாதம், கோனோரியா, இருமல்.")</f>
        <v>சிறுநீர் வெளியேற்றம், கீல்வாதம், கோனோரியா, இருமல்.</v>
      </c>
      <c r="AD128" s="4" t="s">
        <v>1585</v>
      </c>
      <c r="AE128" s="3" t="str">
        <f ca="1">IFERROR(__xludf.DUMMYFUNCTION("GOOGLETRANSLATE(AF128,""en"",""ta"")"),"#VALUE!")</f>
        <v>#VALUE!</v>
      </c>
      <c r="AF128" s="3"/>
      <c r="AG128" s="3" t="str">
        <f ca="1">IFERROR(__xludf.DUMMYFUNCTION("GOOGLETRANSLATE(AH128,""en"",""ta"")"),"#VALUE!")</f>
        <v>#VALUE!</v>
      </c>
      <c r="AH128" s="3"/>
      <c r="AI128" s="3" t="str">
        <f ca="1">IFERROR(__xludf.DUMMYFUNCTION("GOOGLETRANSLATE(AJ128,""en"",""ta"")"),"#VALUE!")</f>
        <v>#VALUE!</v>
      </c>
      <c r="AJ128" s="3"/>
      <c r="AK128" s="3" t="str">
        <f ca="1">IFERROR(__xludf.DUMMYFUNCTION("GOOGLETRANSLATE(AL128,""en"",""ta"")"),"#VALUE!")</f>
        <v>#VALUE!</v>
      </c>
      <c r="AL128" s="3"/>
      <c r="AM128" s="3" t="str">
        <f ca="1">IFERROR(__xludf.DUMMYFUNCTION("GOOGLETRANSLATE(AN128,""en"",""ta"")"),"#VALUE!")</f>
        <v>#VALUE!</v>
      </c>
      <c r="AN128" s="3"/>
      <c r="AO128" s="3" t="str">
        <f ca="1">IFERROR(__xludf.DUMMYFUNCTION("GOOGLETRANSLATE(AP128,""en"",""ta"")"),"#VALUE!")</f>
        <v>#VALUE!</v>
      </c>
      <c r="AP128" s="3"/>
      <c r="AQ128" s="3"/>
      <c r="AR128" s="3" t="str">
        <f ca="1">IFERROR(__xludf.DUMMYFUNCTION("GOOGLETRANSLATE(AS128,""en"",""ta"")"),"குளிர்பதனப் பொருள், மெருகூட்டி, டானிக் மற்றும் மாற்றுப் பொருள்.")</f>
        <v>குளிர்பதனப் பொருள், மெருகூட்டி, டானிக் மற்றும் மாற்றுப் பொருள்.</v>
      </c>
      <c r="AS128" s="4" t="s">
        <v>1586</v>
      </c>
      <c r="AT128" s="3" t="str">
        <f ca="1">IFERROR(__xludf.DUMMYFUNCTION("GOOGLETRANSLATE(AU128,""en"",""ta"")"),"ஆரிகாசிடின், ருடின், நோனாகோசோன், பி-சிட்டோஸ்டெரால், கேம்ப்ஃபெரால், கொழுப்பு கீட்டோ ஆல்கஹால்கள் மற்றும் ஈமோடின்.")</f>
        <v>ஆரிகாசிடின், ருடின், நோனாகோசோன், பி-சிட்டோஸ்டெரால், கேம்ப்ஃபெரால், கொழுப்பு கீட்டோ ஆல்கஹால்கள் மற்றும் ஈமோடின்.</v>
      </c>
      <c r="AU128" s="4" t="s">
        <v>1587</v>
      </c>
      <c r="AV128" s="3"/>
      <c r="AW128" s="3" t="str">
        <f ca="1">IFERROR(__xludf.DUMMYFUNCTION("GOOGLETRANSLATE(AX128,""en"",""ta"")"),"i) நீரிழிவு நோய்க்கு முழு தாவரத்தின் கஷாயம் உட்புறமாக கொடுக்கப்படுகிறது. 
ii) கண்புரைக்கு தேங்காய் எண்ணெயுடன் கலந்த விதைப் பொடியைப் பயன்படுத்த வேண்டும்.")</f>
        <v>i) நீரிழிவு நோய்க்கு முழு தாவரத்தின் கஷாயம் உட்புறமாக கொடுக்கப்படுகிறது. 
ii) கண்புரைக்கு தேங்காய் எண்ணெயுடன் கலந்த விதைப் பொடியைப் பயன்படுத்த வேண்டும்.</v>
      </c>
      <c r="AX128" s="3" t="s">
        <v>2513</v>
      </c>
      <c r="AY128" s="3"/>
      <c r="AZ128" s="3"/>
      <c r="BA128" s="3"/>
      <c r="BB128" s="3"/>
      <c r="BC128" s="3"/>
      <c r="BD128" s="3"/>
      <c r="BE128" s="3"/>
      <c r="BF128" s="3"/>
    </row>
    <row r="129" spans="1:58" ht="70" x14ac:dyDescent="0.15">
      <c r="A129" s="3">
        <v>128</v>
      </c>
      <c r="B129" s="3" t="str">
        <f ca="1">IFERROR(__xludf.DUMMYFUNCTION("GOOGLETRANSLATE(C129,""en"",""ta"")"),"காசியா ஃபிஸ்துலா")</f>
        <v>காசியா ஃபிஸ்துலா</v>
      </c>
      <c r="C129" s="4" t="s">
        <v>1589</v>
      </c>
      <c r="D129" s="3" t="str">
        <f ca="1">IFERROR(__xludf.DUMMYFUNCTION("GOOGLETRANSLATE(E129,""en"",""ta"")"),"ஆராக்வாதா")</f>
        <v>ஆராக்வாதா</v>
      </c>
      <c r="E129" s="4" t="s">
        <v>1590</v>
      </c>
      <c r="F129" s="3" t="str">
        <f ca="1">IFERROR(__xludf.DUMMYFUNCTION("GOOGLETRANSLATE(G129,""en"",""ta"")"),"சரக்கொண்டரை")</f>
        <v>சரக்கொண்டரை</v>
      </c>
      <c r="G129" s="4" t="s">
        <v>1591</v>
      </c>
      <c r="H129" s="3" t="str">
        <f ca="1">IFERROR(__xludf.DUMMYFUNCTION("GOOGLETRANSLATE(I129,""en"",""ta"")"),"தங்க மழை")</f>
        <v>தங்க மழை</v>
      </c>
      <c r="I129" s="4" t="s">
        <v>1592</v>
      </c>
      <c r="J129" s="3" t="str">
        <f ca="1">IFERROR(__xludf.DUMMYFUNCTION("GOOGLETRANSLATE(K129,""en"",""ta"")"),"கோண்ட்ரா காய்")</f>
        <v>கோண்ட்ரா காய்</v>
      </c>
      <c r="K129" s="4" t="s">
        <v>1593</v>
      </c>
      <c r="L129" s="3" t="str">
        <f ca="1">IFERROR(__xludf.DUMMYFUNCTION("GOOGLETRANSLATE(M129,""en"",""ta"")"),"கொன்னா")</f>
        <v>கொன்னா</v>
      </c>
      <c r="M129" s="4" t="s">
        <v>1594</v>
      </c>
      <c r="N129" s="3" t="str">
        <f ca="1">IFERROR(__xludf.DUMMYFUNCTION("GOOGLETRANSLATE(O129,""en"",""ta"")"),"அமுல்தாஸ்")</f>
        <v>அமுல்தாஸ்</v>
      </c>
      <c r="O129" s="3" t="s">
        <v>1595</v>
      </c>
      <c r="P129" s="3"/>
      <c r="Q129" s="3" t="str">
        <f ca="1">IFERROR(__xludf.DUMMYFUNCTION("GOOGLETRANSLATE(R129,""en"",""ta"")"),"ஒரு இலையுதிர், நடுத்தர அளவிலான மரம். இலைகள் கூட்டு, சிற்றிலைகள் 4-8 ஜோடிகள், முட்டை வடிவானது, கூரியது. மலர்கள் பொதுவாக மஞ்சள் நிறத்தில், பெரும்பாலும் பெரியதாகவும், தொங்கும் ரேசீம்களில் அழகாகவும் இருக்கும். பழங்கள் பிரிக்கப்படாதவை, உருளை வடிவமானவை, தொங்கும"&amp;"் தன்மை கொண்டவை, மென்மையான மற்றும் கடினமான காய்கள். விதைகள் வெளிர் பழுப்பு நிறமாகவும், மென்மையானதாகவும், குறுக்காகவும் இருக்கும்.")</f>
        <v>ஒரு இலையுதிர், நடுத்தர அளவிலான மரம். இலைகள் கூட்டு, சிற்றிலைகள் 4-8 ஜோடிகள், முட்டை வடிவானது, கூரியது. மலர்கள் பொதுவாக மஞ்சள் நிறத்தில், பெரும்பாலும் பெரியதாகவும், தொங்கும் ரேசீம்களில் அழகாகவும் இருக்கும். பழங்கள் பிரிக்கப்படாதவை, உருளை வடிவமானவை, தொங்கும் தன்மை கொண்டவை, மென்மையான மற்றும் கடினமான காய்கள். விதைகள் வெளிர் பழுப்பு நிறமாகவும், மென்மையானதாகவும், குறுக்காகவும் இருக்கும்.</v>
      </c>
      <c r="R129" s="4" t="s">
        <v>1596</v>
      </c>
      <c r="S129" s="3" t="str">
        <f ca="1">IFERROR(__xludf.DUMMYFUNCTION("GOOGLETRANSLATE(T129,""en"",""ta"")"),"காய்ச்சல், இதய நோய், மலம் கழித்தல் மற்றும் பித்தம்.")</f>
        <v>காய்ச்சல், இதய நோய், மலம் கழித்தல் மற்றும் பித்தம்.</v>
      </c>
      <c r="T129" s="4" t="s">
        <v>1597</v>
      </c>
      <c r="U129" s="3" t="str">
        <f ca="1">IFERROR(__xludf.DUMMYFUNCTION("GOOGLETRANSLATE(V129,""en"",""ta"")"),"#VALUE!")</f>
        <v>#VALUE!</v>
      </c>
      <c r="V129" s="3"/>
      <c r="W129" s="3" t="str">
        <f ca="1">IFERROR(__xludf.DUMMYFUNCTION("GOOGLETRANSLATE(X129,""en"",""ta"")"),"மஞ்சள் காமாலை, மூல நோய், வளையப்புழு, அரிக்கும் தோலழற்சி, ப்ரூரிகோ, வாத நோய், பக்கவாதம், மூளை பாதிப்புகள்.")</f>
        <v>மஞ்சள் காமாலை, மூல நோய், வளையப்புழு, அரிக்கும் தோலழற்சி, ப்ரூரிகோ, வாத நோய், பக்கவாதம், மூளை பாதிப்புகள்.</v>
      </c>
      <c r="X129" s="4" t="s">
        <v>1598</v>
      </c>
      <c r="Y129" s="3" t="str">
        <f ca="1">IFERROR(__xludf.DUMMYFUNCTION("GOOGLETRANSLATE(Z129,""en"",""ta"")"),"வயிற்று பிரச்சனைகள்.")</f>
        <v>வயிற்று பிரச்சனைகள்.</v>
      </c>
      <c r="Z129" s="4" t="s">
        <v>1599</v>
      </c>
      <c r="AA129" s="3" t="str">
        <f ca="1">IFERROR(__xludf.DUMMYFUNCTION("GOOGLETRANSLATE(AB129,""en"",""ta"")"),"வயிற்று வலி, மேற்பூச்சு புண்கள், தோல் புகார்கள்.")</f>
        <v>வயிற்று வலி, மேற்பூச்சு புண்கள், தோல் புகார்கள்.</v>
      </c>
      <c r="AB129" s="4" t="s">
        <v>1600</v>
      </c>
      <c r="AC129" s="3" t="str">
        <f ca="1">IFERROR(__xludf.DUMMYFUNCTION("GOOGLETRANSLATE(AD129,""en"",""ta"")"),"#VALUE!")</f>
        <v>#VALUE!</v>
      </c>
      <c r="AD129" s="3"/>
      <c r="AE129" s="3" t="str">
        <f ca="1">IFERROR(__xludf.DUMMYFUNCTION("GOOGLETRANSLATE(AF129,""en"",""ta"")"),"#VALUE!")</f>
        <v>#VALUE!</v>
      </c>
      <c r="AF129" s="3"/>
      <c r="AG129" s="3" t="str">
        <f ca="1">IFERROR(__xludf.DUMMYFUNCTION("GOOGLETRANSLATE(AH129,""en"",""ta"")"),"#VALUE!")</f>
        <v>#VALUE!</v>
      </c>
      <c r="AH129" s="3"/>
      <c r="AI129" s="3" t="str">
        <f ca="1">IFERROR(__xludf.DUMMYFUNCTION("GOOGLETRANSLATE(AJ129,""en"",""ta"")"),"#VALUE!")</f>
        <v>#VALUE!</v>
      </c>
      <c r="AJ129" s="3"/>
      <c r="AK129" s="3" t="str">
        <f ca="1">IFERROR(__xludf.DUMMYFUNCTION("GOOGLETRANSLATE(AL129,""en"",""ta"")"),"#VALUE!")</f>
        <v>#VALUE!</v>
      </c>
      <c r="AL129" s="3"/>
      <c r="AM129" s="3" t="str">
        <f ca="1">IFERROR(__xludf.DUMMYFUNCTION("GOOGLETRANSLATE(AN129,""en"",""ta"")"),"நீரிழிவு நோய், பித்தப்பை கோளாறு.")</f>
        <v>நீரிழிவு நோய், பித்தப்பை கோளாறு.</v>
      </c>
      <c r="AN129" s="4" t="s">
        <v>1601</v>
      </c>
      <c r="AO129" s="3" t="str">
        <f ca="1">IFERROR(__xludf.DUMMYFUNCTION("GOOGLETRANSLATE(AP129,""en"",""ta"")"),"#VALUE!")</f>
        <v>#VALUE!</v>
      </c>
      <c r="AP129" s="3"/>
      <c r="AQ129" s="3"/>
      <c r="AR129" s="3" t="str">
        <f ca="1">IFERROR(__xludf.DUMMYFUNCTION("GOOGLETRANSLATE(AS129,""en"",""ta"")"),"சுத்திகரிப்பு, டானிக், ஃபெப்ரிஃபியூஜ், கார்மினேட்டிவ், பித்த எதிர்ப்பு, அழற்சி எதிர்ப்பு &amp; வலி நிவாரணி.")</f>
        <v>சுத்திகரிப்பு, டானிக், ஃபெப்ரிஃபியூஜ், கார்மினேட்டிவ், பித்த எதிர்ப்பு, அழற்சி எதிர்ப்பு &amp; வலி நிவாரணி.</v>
      </c>
      <c r="AS129" s="4" t="s">
        <v>1602</v>
      </c>
      <c r="AT129" s="3" t="str">
        <f ca="1">IFERROR(__xludf.DUMMYFUNCTION("GOOGLETRANSLATE(AU129,""en"",""ta"")"),"சென்னோசைடுகள் A&amp;B, கிரைசோபனால், ஃபிஸ்டுகாசிடின், பியூட்ரிக் அமிலம், ரீன், கேலக்டோமன்னோஸ், D கேலக்டோஸ் மற்றும் D-மேனோஸ், ஃபிஸ்துலிக் அமிலம், லுகோபெலர்கோனிடின் மற்றும் கேம்ப்ஃபெரால்.")</f>
        <v>சென்னோசைடுகள் A&amp;B, கிரைசோபனால், ஃபிஸ்டுகாசிடின், பியூட்ரிக் அமிலம், ரீன், கேலக்டோமன்னோஸ், D கேலக்டோஸ் மற்றும் D-மேனோஸ், ஃபிஸ்துலிக் அமிலம், லுகோபெலர்கோனிடின் மற்றும் கேம்ப்ஃபெரால்.</v>
      </c>
      <c r="AU129" s="4" t="s">
        <v>1603</v>
      </c>
      <c r="AV129" s="3"/>
      <c r="AW129" s="3" t="str">
        <f ca="1">IFERROR(__xludf.DUMMYFUNCTION("GOOGLETRANSLATE(AX129,""en"",""ta"")"),"i) முழு விதைப் பொடி குடல் அமீபியாசிஸை குணப்படுத்துகிறது. 
ii) பழத்தின் கூழ் குழந்தைகள் மற்றும் கர்ப்பிணிப் பெண்களுக்கு பாதுகாப்பான மலமிளக்கியாகும்.")</f>
        <v>i) முழு விதைப் பொடி குடல் அமீபியாசிஸை குணப்படுத்துகிறது. 
ii) பழத்தின் கூழ் குழந்தைகள் மற்றும் கர்ப்பிணிப் பெண்களுக்கு பாதுகாப்பான மலமிளக்கியாகும்.</v>
      </c>
      <c r="AX129" s="3" t="s">
        <v>2514</v>
      </c>
      <c r="AY129" s="3"/>
      <c r="AZ129" s="3"/>
      <c r="BA129" s="3"/>
      <c r="BB129" s="3"/>
      <c r="BC129" s="3"/>
      <c r="BD129" s="3"/>
      <c r="BE129" s="3"/>
      <c r="BF129" s="3"/>
    </row>
    <row r="130" spans="1:58" ht="70" x14ac:dyDescent="0.15">
      <c r="A130" s="3">
        <v>129</v>
      </c>
      <c r="B130" s="3" t="str">
        <f ca="1">IFERROR(__xludf.DUMMYFUNCTION("GOOGLETRANSLATE(C130,""en"",""ta"")"),"காசியா ஆக்சிடென்டலிஸ்")</f>
        <v>காசியா ஆக்சிடென்டலிஸ்</v>
      </c>
      <c r="C130" s="4" t="s">
        <v>1605</v>
      </c>
      <c r="D130" s="3" t="str">
        <f ca="1">IFERROR(__xludf.DUMMYFUNCTION("GOOGLETRANSLATE(E130,""en"",""ta"")"),"கசமர்தா")</f>
        <v>கசமர்தா</v>
      </c>
      <c r="E130" s="4" t="s">
        <v>1606</v>
      </c>
      <c r="F130" s="3" t="str">
        <f ca="1">IFERROR(__xludf.DUMMYFUNCTION("GOOGLETRANSLATE(G130,""en"",""ta"")"),"பொன்னவரை")</f>
        <v>பொன்னவரை</v>
      </c>
      <c r="G130" s="4" t="s">
        <v>1607</v>
      </c>
      <c r="H130" s="3" t="str">
        <f ca="1">IFERROR(__xludf.DUMMYFUNCTION("GOOGLETRANSLATE(I130,""en"",""ta"")"),"துர்நாற்றம் வீசும் களை")</f>
        <v>துர்நாற்றம் வீசும் களை</v>
      </c>
      <c r="I130" s="4" t="s">
        <v>1608</v>
      </c>
      <c r="J130" s="3" t="str">
        <f ca="1">IFERROR(__xludf.DUMMYFUNCTION("GOOGLETRANSLATE(K130,""en"",""ta"")"),"காசிந்தா")</f>
        <v>காசிந்தா</v>
      </c>
      <c r="K130" s="4" t="s">
        <v>1609</v>
      </c>
      <c r="L130" s="3" t="str">
        <f ca="1">IFERROR(__xludf.DUMMYFUNCTION("GOOGLETRANSLATE(M130,""en"",""ta"")"),"நாட்ரம் தகாரா")</f>
        <v>நாட்ரம் தகாரா</v>
      </c>
      <c r="M130" s="4" t="s">
        <v>1610</v>
      </c>
      <c r="N130" s="3" t="str">
        <f ca="1">IFERROR(__xludf.DUMMYFUNCTION("GOOGLETRANSLATE(O130,""en"",""ta"")"),"கசோண்டி")</f>
        <v>கசோண்டி</v>
      </c>
      <c r="O130" s="4" t="s">
        <v>1611</v>
      </c>
      <c r="P130" s="3"/>
      <c r="Q130" s="3" t="str">
        <f ca="1">IFERROR(__xludf.DUMMYFUNCTION("GOOGLETRANSLATE(R130,""en"",""ta"")"),"நிமிர்ந்த வருடாந்திர மூலிகை. இலைகள் கூட்டு மற்றும் மாற்று இலைகள், ஒவ்வொரு இலையிலும் 5 சிற்றிலைகள் சவ்வு மற்றும் முட்டை வடிவத்தைக் கொண்டுள்ளன. பூக்கள் குறுகிய ரேசீம்களில் மஞ்சள் நிறத்தில் உள்ளன. பருப்பு வகைகள் நீளமாகவும், மெல்லியதாகவும், மீண்டும் வளைந்ததாக"&amp;"வும், உரோமங்களற்றதாகவும், வட்டமாகவும் இருக்கும். விதைகள் 10-30, அடர், ஆலிவ் பச்சை நிறத்தில் இருக்கும்.")</f>
        <v>நிமிர்ந்த வருடாந்திர மூலிகை. இலைகள் கூட்டு மற்றும் மாற்று இலைகள், ஒவ்வொரு இலையிலும் 5 சிற்றிலைகள் சவ்வு மற்றும் முட்டை வடிவத்தைக் கொண்டுள்ளன. பூக்கள் குறுகிய ரேசீம்களில் மஞ்சள் நிறத்தில் உள்ளன. பருப்பு வகைகள் நீளமாகவும், மெல்லியதாகவும், மீண்டும் வளைந்ததாகவும், உரோமங்களற்றதாகவும், வட்டமாகவும் இருக்கும். விதைகள் 10-30, அடர், ஆலிவ் பச்சை நிறத்தில் இருக்கும்.</v>
      </c>
      <c r="R130" s="4" t="s">
        <v>1612</v>
      </c>
      <c r="S130" s="3" t="str">
        <f ca="1">IFERROR(__xludf.DUMMYFUNCTION("GOOGLETRANSLATE(T130,""en"",""ta"")"),"மாற்று மருந்து, காய்ச்சல், நரம்புத் தளர்ச்சி.")</f>
        <v>மாற்று மருந்து, காய்ச்சல், நரம்புத் தளர்ச்சி.</v>
      </c>
      <c r="T130" s="4" t="s">
        <v>1613</v>
      </c>
      <c r="U130" s="3" t="str">
        <f ca="1">IFERROR(__xludf.DUMMYFUNCTION("GOOGLETRANSLATE(V130,""en"",""ta"")"),"வலிப்பு, இருமல், கக்குவான் இருமல், குளிர்கால இருமல், இரத்த சுத்திகரிப்பான்.")</f>
        <v>வலிப்பு, இருமல், கக்குவான் இருமல், குளிர்கால இருமல், இரத்த சுத்திகரிப்பான்.</v>
      </c>
      <c r="V130" s="4" t="s">
        <v>1614</v>
      </c>
      <c r="W130" s="3" t="str">
        <f ca="1">IFERROR(__xludf.DUMMYFUNCTION("GOOGLETRANSLATE(X130,""en"",""ta"")"),"புண்கள், அரிப்பு, கொப்புளங்கள், ஹிஸ்டீரியா, டிஸ்பெப்சியா.")</f>
        <v>புண்கள், அரிப்பு, கொப்புளங்கள், ஹிஸ்டீரியா, டிஸ்பெப்சியா.</v>
      </c>
      <c r="X130" s="4" t="s">
        <v>1615</v>
      </c>
      <c r="Y130" s="3" t="str">
        <f ca="1">IFERROR(__xludf.DUMMYFUNCTION("GOOGLETRANSLATE(Z130,""en"",""ta"")"),"#VALUE!")</f>
        <v>#VALUE!</v>
      </c>
      <c r="Z130" s="3"/>
      <c r="AA130" s="3" t="str">
        <f ca="1">IFERROR(__xludf.DUMMYFUNCTION("GOOGLETRANSLATE(AB130,""en"",""ta"")"),"#VALUE!")</f>
        <v>#VALUE!</v>
      </c>
      <c r="AB130" s="3"/>
      <c r="AC130" s="3" t="str">
        <f ca="1">IFERROR(__xludf.DUMMYFUNCTION("GOOGLETRANSLATE(AD130,""en"",""ta"")"),"#VALUE!")</f>
        <v>#VALUE!</v>
      </c>
      <c r="AD130" s="3"/>
      <c r="AE130" s="3" t="str">
        <f ca="1">IFERROR(__xludf.DUMMYFUNCTION("GOOGLETRANSLATE(AF130,""en"",""ta"")"),"#VALUE!")</f>
        <v>#VALUE!</v>
      </c>
      <c r="AF130" s="3"/>
      <c r="AG130" s="3" t="str">
        <f ca="1">IFERROR(__xludf.DUMMYFUNCTION("GOOGLETRANSLATE(AH130,""en"",""ta"")"),"#VALUE!")</f>
        <v>#VALUE!</v>
      </c>
      <c r="AH130" s="3"/>
      <c r="AI130" s="3" t="str">
        <f ca="1">IFERROR(__xludf.DUMMYFUNCTION("GOOGLETRANSLATE(AJ130,""en"",""ta"")"),"#VALUE!")</f>
        <v>#VALUE!</v>
      </c>
      <c r="AJ130" s="3"/>
      <c r="AK130" s="3" t="str">
        <f ca="1">IFERROR(__xludf.DUMMYFUNCTION("GOOGLETRANSLATE(AL130,""en"",""ta"")"),"#VALUE!")</f>
        <v>#VALUE!</v>
      </c>
      <c r="AL130" s="3"/>
      <c r="AM130" s="3" t="str">
        <f ca="1">IFERROR(__xludf.DUMMYFUNCTION("GOOGLETRANSLATE(AN130,""en"",""ta"")"),"#VALUE!")</f>
        <v>#VALUE!</v>
      </c>
      <c r="AN130" s="3"/>
      <c r="AO130" s="3" t="str">
        <f ca="1">IFERROR(__xludf.DUMMYFUNCTION("GOOGLETRANSLATE(AP130,""en"",""ta"")"),"#VALUE!")</f>
        <v>#VALUE!</v>
      </c>
      <c r="AP130" s="3"/>
      <c r="AQ130" s="3"/>
      <c r="AR130" s="3" t="str">
        <f ca="1">IFERROR(__xludf.DUMMYFUNCTION("GOOGLETRANSLATE(AS130,""en"",""ta"")"),"சுத்திகரிப்பு, காய்ச்சல் மருந்து, சிறுநீர் பெருக்கி, ஆண்டிபீரியோடிக், பாக்டீரியா எதிர்ப்பு மற்றும் பூஞ்சை எதிர்ப்பு")</f>
        <v>சுத்திகரிப்பு, காய்ச்சல் மருந்து, சிறுநீர் பெருக்கி, ஆண்டிபீரியோடிக், பாக்டீரியா எதிர்ப்பு மற்றும் பூஞ்சை எதிர்ப்பு</v>
      </c>
      <c r="AS130" s="4" t="s">
        <v>1616</v>
      </c>
      <c r="AT130" s="3" t="str">
        <f ca="1">IFERROR(__xludf.DUMMYFUNCTION("GOOGLETRANSLATE(AU130,""en"",""ta"")"),"ஒலின், மார்கரின், டானிக் அமிலம், எமாடின், செல்லுலோஸ், பின்செலின், கார்தார்தின், கிரைசோபனால், காசியோலின், ஜேசிடின்-7-ராம்னோசைடு, மேட்யூசினோல்-7-ராம்னோசைடு மற்றும் டாக்ஸால்புமின்.")</f>
        <v>ஒலின், மார்கரின், டானிக் அமிலம், எமாடின், செல்லுலோஸ், பின்செலின், கார்தார்தின், கிரைசோபனால், காசியோலின், ஜேசிடின்-7-ராம்னோசைடு, மேட்யூசினோல்-7-ராம்னோசைடு மற்றும் டாக்ஸால்புமின்.</v>
      </c>
      <c r="AU130" s="4" t="s">
        <v>1617</v>
      </c>
      <c r="AV130" s="3"/>
      <c r="AW130" s="3" t="str">
        <f ca="1">IFERROR(__xludf.DUMMYFUNCTION("GOOGLETRANSLATE(AX130,""en"",""ta"")"),"i) பாலுடன் சேர்த்து உலர்ந்த செடி பொடியை பல்வேறு தோல் நோய்களுக்கு உள்ளே எடுத்துக் கொள்ளலாம்.
ii) விதை பொடியின் கஷாயம் லேசான மலமிளக்கியாகும் மற்றும் மலச்சிக்கலுக்குப் பயன்படுத்தப்படுகிறது.")</f>
        <v>i) பாலுடன் சேர்த்து உலர்ந்த செடி பொடியை பல்வேறு தோல் நோய்களுக்கு உள்ளே எடுத்துக் கொள்ளலாம்.
ii) விதை பொடியின் கஷாயம் லேசான மலமிளக்கியாகும் மற்றும் மலச்சிக்கலுக்குப் பயன்படுத்தப்படுகிறது.</v>
      </c>
      <c r="AX130" s="4" t="s">
        <v>2515</v>
      </c>
      <c r="AY130" s="3"/>
      <c r="AZ130" s="3"/>
      <c r="BA130" s="3"/>
      <c r="BB130" s="3"/>
      <c r="BC130" s="3"/>
      <c r="BD130" s="3"/>
      <c r="BE130" s="3"/>
      <c r="BF130" s="3"/>
    </row>
    <row r="131" spans="1:58" ht="56" x14ac:dyDescent="0.15">
      <c r="A131" s="3">
        <v>130</v>
      </c>
      <c r="B131" s="3" t="str">
        <f ca="1">IFERROR(__xludf.DUMMYFUNCTION("GOOGLETRANSLATE(C131,""en"",""ta"")"),"காசியா சென்னா")</f>
        <v>காசியா சென்னா</v>
      </c>
      <c r="C131" s="4" t="s">
        <v>1619</v>
      </c>
      <c r="D131" s="3" t="str">
        <f ca="1">IFERROR(__xludf.DUMMYFUNCTION("GOOGLETRANSLATE(E131,""en"",""ta"")"),"பூமியாரி")</f>
        <v>பூமியாரி</v>
      </c>
      <c r="E131" s="4" t="s">
        <v>1620</v>
      </c>
      <c r="F131" s="3" t="str">
        <f ca="1">IFERROR(__xludf.DUMMYFUNCTION("GOOGLETRANSLATE(G131,""en"",""ta"")"),"நிலவாகை")</f>
        <v>நிலவாகை</v>
      </c>
      <c r="G131" s="4" t="s">
        <v>1621</v>
      </c>
      <c r="H131" s="3" t="str">
        <f ca="1">IFERROR(__xludf.DUMMYFUNCTION("GOOGLETRANSLATE(I131,""en"",""ta"")"),"டின்னெவெல்லி சென்னா")</f>
        <v>டின்னெவெல்லி சென்னா</v>
      </c>
      <c r="I131" s="3" t="s">
        <v>1622</v>
      </c>
      <c r="J131" s="3" t="str">
        <f ca="1">IFERROR(__xludf.DUMMYFUNCTION("GOOGLETRANSLATE(K131,""en"",""ta"")"),"நீலா புன்னா")</f>
        <v>நீலா புன்னா</v>
      </c>
      <c r="K131" s="4" t="s">
        <v>1623</v>
      </c>
      <c r="L131" s="3" t="str">
        <f ca="1">IFERROR(__xludf.DUMMYFUNCTION("GOOGLETRANSLATE(M131,""en"",""ta"")"),"நிலவாகா")</f>
        <v>நிலவாகா</v>
      </c>
      <c r="M131" s="4" t="s">
        <v>1624</v>
      </c>
      <c r="N131" s="3" t="str">
        <f ca="1">IFERROR(__xludf.DUMMYFUNCTION("GOOGLETRANSLATE(O131,""en"",""ta"")"),"பூய்காசா")</f>
        <v>பூய்காசா</v>
      </c>
      <c r="O131" s="4" t="s">
        <v>1625</v>
      </c>
      <c r="P131" s="3"/>
      <c r="Q131" s="3" t="str">
        <f ca="1">IFERROR(__xludf.DUMMYFUNCTION("GOOGLETRANSLATE(R131,""en"",""ta"")"),"ஒரு புதர், இலைகள் பின்னே போன்ற கூட்டு இலைகள், சிற்றிலைகள் காம்பற்றவை. மலர்கள் பொதுவாக மஞ்சள் நிறத்தில் இருக்கும், ரேஸ்மோஸ் மஞ்சரிகளில் காணப்படும், இலைக்கோணங்களில் அல்லது முனையத்தில் இருக்கும். பழங்கள் காய்கள். விதைகள் குறுக்காக, அரிதாக நீளமாக இருக்கும்.")</f>
        <v>ஒரு புதர், இலைகள் பின்னே போன்ற கூட்டு இலைகள், சிற்றிலைகள் காம்பற்றவை. மலர்கள் பொதுவாக மஞ்சள் நிறத்தில் இருக்கும், ரேஸ்மோஸ் மஞ்சரிகளில் காணப்படும், இலைக்கோணங்களில் அல்லது முனையத்தில் இருக்கும். பழங்கள் காய்கள். விதைகள் குறுக்காக, அரிதாக நீளமாக இருக்கும்.</v>
      </c>
      <c r="R131" s="4" t="s">
        <v>1626</v>
      </c>
      <c r="S131" s="3" t="str">
        <f ca="1">IFERROR(__xludf.DUMMYFUNCTION("GOOGLETRANSLATE(T131,""en"",""ta"")"),"#VALUE!")</f>
        <v>#VALUE!</v>
      </c>
      <c r="T131" s="3"/>
      <c r="U131" s="3" t="str">
        <f ca="1">IFERROR(__xludf.DUMMYFUNCTION("GOOGLETRANSLATE(V131,""en"",""ta"")"),"#VALUE!")</f>
        <v>#VALUE!</v>
      </c>
      <c r="V131" s="3"/>
      <c r="W131" s="3" t="str">
        <f ca="1">IFERROR(__xludf.DUMMYFUNCTION("GOOGLETRANSLATE(X131,""en"",""ta"")"),"மலச்சிக்கல், தோல் நோய்கள், அமீபிக் வயிற்றுப்போக்கு, பித்தப்பை, கீல்வாதம், மஞ்சள் காமாலை.")</f>
        <v>மலச்சிக்கல், தோல் நோய்கள், அமீபிக் வயிற்றுப்போக்கு, பித்தப்பை, கீல்வாதம், மஞ்சள் காமாலை.</v>
      </c>
      <c r="X131" s="4" t="s">
        <v>1627</v>
      </c>
      <c r="Y131" s="3" t="str">
        <f ca="1">IFERROR(__xludf.DUMMYFUNCTION("GOOGLETRANSLATE(Z131,""en"",""ta"")"),"#VALUE!")</f>
        <v>#VALUE!</v>
      </c>
      <c r="Z131" s="3"/>
      <c r="AA131" s="3" t="str">
        <f ca="1">IFERROR(__xludf.DUMMYFUNCTION("GOOGLETRANSLATE(AB131,""en"",""ta"")"),"#VALUE!")</f>
        <v>#VALUE!</v>
      </c>
      <c r="AB131" s="3"/>
      <c r="AC131" s="3" t="str">
        <f ca="1">IFERROR(__xludf.DUMMYFUNCTION("GOOGLETRANSLATE(AD131,""en"",""ta"")"),"#VALUE!")</f>
        <v>#VALUE!</v>
      </c>
      <c r="AD131" s="3"/>
      <c r="AE131" s="3" t="str">
        <f ca="1">IFERROR(__xludf.DUMMYFUNCTION("GOOGLETRANSLATE(AF131,""en"",""ta"")"),"மலச்சிக்கல், பித்தப்பை")</f>
        <v>மலச்சிக்கல், பித்தப்பை</v>
      </c>
      <c r="AF131" s="4" t="s">
        <v>1628</v>
      </c>
      <c r="AG131" s="3" t="str">
        <f ca="1">IFERROR(__xludf.DUMMYFUNCTION("GOOGLETRANSLATE(AH131,""en"",""ta"")"),"#VALUE!")</f>
        <v>#VALUE!</v>
      </c>
      <c r="AH131" s="3"/>
      <c r="AI131" s="3" t="str">
        <f ca="1">IFERROR(__xludf.DUMMYFUNCTION("GOOGLETRANSLATE(AJ131,""en"",""ta"")"),"#VALUE!")</f>
        <v>#VALUE!</v>
      </c>
      <c r="AJ131" s="3"/>
      <c r="AK131" s="3" t="str">
        <f ca="1">IFERROR(__xludf.DUMMYFUNCTION("GOOGLETRANSLATE(AL131,""en"",""ta"")"),"#VALUE!")</f>
        <v>#VALUE!</v>
      </c>
      <c r="AL131" s="3"/>
      <c r="AM131" s="3" t="str">
        <f ca="1">IFERROR(__xludf.DUMMYFUNCTION("GOOGLETRANSLATE(AN131,""en"",""ta"")"),"#VALUE!")</f>
        <v>#VALUE!</v>
      </c>
      <c r="AN131" s="3"/>
      <c r="AO131" s="3" t="str">
        <f ca="1">IFERROR(__xludf.DUMMYFUNCTION("GOOGLETRANSLATE(AP131,""en"",""ta"")"),"#VALUE!")</f>
        <v>#VALUE!</v>
      </c>
      <c r="AP131" s="3"/>
      <c r="AQ131" s="3"/>
      <c r="AR131" s="3" t="str">
        <f ca="1">IFERROR(__xludf.DUMMYFUNCTION("GOOGLETRANSLATE(AS131,""en"",""ta"")"),"அழற்சி எதிர்ப்பு, செரிமான, சுத்திகரிப்பு மற்றும் சிறுநீர் பெருக்கி.")</f>
        <v>அழற்சி எதிர்ப்பு, செரிமான, சுத்திகரிப்பு மற்றும் சிறுநீர் பெருக்கி.</v>
      </c>
      <c r="AS131" s="4" t="s">
        <v>1629</v>
      </c>
      <c r="AT131" s="3" t="str">
        <f ca="1">IFERROR(__xludf.DUMMYFUNCTION("GOOGLETRANSLATE(AU131,""en"",""ta"")"),"சென்னாசைட் ஏ, பி&amp;சி, செனிடின்கள், கிரைசோபனால், ரியம்-எமோடின், பிசியோன், அலோ எமோடின் மற்றும் டின்னெவெல்லின் குளுக்கோசிஸ்")</f>
        <v>சென்னாசைட் ஏ, பி&amp;சி, செனிடின்கள், கிரைசோபனால், ரியம்-எமோடின், பிசியோன், அலோ எமோடின் மற்றும் டின்னெவெல்லின் குளுக்கோசிஸ்</v>
      </c>
      <c r="AU131" s="4" t="s">
        <v>1630</v>
      </c>
      <c r="AV131" s="3"/>
      <c r="AW131" s="3" t="str">
        <f ca="1">IFERROR(__xludf.DUMMYFUNCTION("GOOGLETRANSLATE(AX131,""en"",""ta"")"),"i) முழு மூலிகையையும் உலர் பொடியாக இஞ்சி அல்லது கிராம்புடன் சேர்த்து கலந்து குடிப்பது வழக்கமான மலச்சிக்கலுக்கு பயனுள்ளதாக இருக்கும்.
ii) வினிகரில் பொடித்த இலைகளை காயங்கள், பருக்கள் மற்றும் பருக்களை நீக்க தடவலாம்.")</f>
        <v>i) முழு மூலிகையையும் உலர் பொடியாக இஞ்சி அல்லது கிராம்புடன் சேர்த்து கலந்து குடிப்பது வழக்கமான மலச்சிக்கலுக்கு பயனுள்ளதாக இருக்கும்.
ii) வினிகரில் பொடித்த இலைகளை காயங்கள், பருக்கள் மற்றும் பருக்களை நீக்க தடவலாம்.</v>
      </c>
      <c r="AX131" s="3" t="s">
        <v>2516</v>
      </c>
      <c r="AY131" s="3"/>
      <c r="AZ131" s="3"/>
      <c r="BA131" s="3"/>
      <c r="BB131" s="3"/>
      <c r="BC131" s="3"/>
      <c r="BD131" s="3"/>
      <c r="BE131" s="3"/>
      <c r="BF131" s="3"/>
    </row>
    <row r="132" spans="1:58" ht="70" x14ac:dyDescent="0.15">
      <c r="A132" s="3">
        <v>131</v>
      </c>
      <c r="B132" s="3" t="str">
        <f ca="1">IFERROR(__xludf.DUMMYFUNCTION("GOOGLETRANSLATE(C132,""en"",""ta"")"),"காசியா டோரா")</f>
        <v>காசியா டோரா</v>
      </c>
      <c r="C132" s="4" t="s">
        <v>1632</v>
      </c>
      <c r="D132" s="3" t="str">
        <f ca="1">IFERROR(__xludf.DUMMYFUNCTION("GOOGLETRANSLATE(E132,""en"",""ta"")"),"சக்ர மர்தா")</f>
        <v>சக்ர மர்தா</v>
      </c>
      <c r="E132" s="4" t="s">
        <v>1633</v>
      </c>
      <c r="F132" s="3" t="str">
        <f ca="1">IFERROR(__xludf.DUMMYFUNCTION("GOOGLETRANSLATE(G132,""en"",""ta"")"),"ஊசி தகரை")</f>
        <v>ஊசி தகரை</v>
      </c>
      <c r="G132" s="4" t="s">
        <v>1634</v>
      </c>
      <c r="H132" s="3" t="str">
        <f ca="1">IFERROR(__xludf.DUMMYFUNCTION("GOOGLETRANSLATE(I132,""en"",""ta"")"),"கரு காசியா")</f>
        <v>கரு காசியா</v>
      </c>
      <c r="I132" s="4" t="s">
        <v>1635</v>
      </c>
      <c r="J132" s="3" t="str">
        <f ca="1">IFERROR(__xludf.DUMMYFUNCTION("GOOGLETRANSLATE(K132,""en"",""ta"")"),"தகிராசா")</f>
        <v>தகிராசா</v>
      </c>
      <c r="K132" s="4" t="s">
        <v>1636</v>
      </c>
      <c r="L132" s="3" t="str">
        <f ca="1">IFERROR(__xludf.DUMMYFUNCTION("GOOGLETRANSLATE(M132,""en"",""ta"")"),"டகாரா")</f>
        <v>டகாரா</v>
      </c>
      <c r="M132" s="4" t="s">
        <v>1637</v>
      </c>
      <c r="N132" s="3" t="str">
        <f ca="1">IFERROR(__xludf.DUMMYFUNCTION("GOOGLETRANSLATE(O132,""en"",""ta"")"),"பனேவர்")</f>
        <v>பனேவர்</v>
      </c>
      <c r="O132" s="4" t="s">
        <v>1638</v>
      </c>
      <c r="P132" s="3"/>
      <c r="Q132" s="3" t="str">
        <f ca="1">IFERROR(__xludf.DUMMYFUNCTION("GOOGLETRANSLATE(R132,""en"",""ta"")"),"ஒரு மெல்லிய, வருடாந்திர மூலிகை. இலைகளுக்கு இடையில் மெல்லிய சுரப்பிகளைக் கொண்ட இலைகள், இலைக்காம்பு அடிப்பகுதியில் எதுவும் இல்லை, இலைக்காம்புகள் 3 ஜோடிகள், முட்டை வடிவானது. மலர்கள் இலைக்கோண ஜோடிகளில் சிறியவை. பழங்கள் காய்கள், மெல்லிய துணை நான்காம் வடிவானது."&amp;" விதைகள் பச்சை 25-30.")</f>
        <v>ஒரு மெல்லிய, வருடாந்திர மூலிகை. இலைகளுக்கு இடையில் மெல்லிய சுரப்பிகளைக் கொண்ட இலைகள், இலைக்காம்பு அடிப்பகுதியில் எதுவும் இல்லை, இலைக்காம்புகள் 3 ஜோடிகள், முட்டை வடிவானது. மலர்கள் இலைக்கோண ஜோடிகளில் சிறியவை. பழங்கள் காய்கள், மெல்லிய துணை நான்காம் வடிவானது. விதைகள் பச்சை 25-30.</v>
      </c>
      <c r="R132" s="4" t="s">
        <v>1639</v>
      </c>
      <c r="S132" s="3" t="str">
        <f ca="1">IFERROR(__xludf.DUMMYFUNCTION("GOOGLETRANSLATE(T132,""en"",""ta"")"),"கீல்வாதம், சியாட்டிகா மற்றும் ரிங்வோர்ம் தொற்று")</f>
        <v>கீல்வாதம், சியாட்டிகா மற்றும் ரிங்வோர்ம் தொற்று</v>
      </c>
      <c r="T132" s="4" t="s">
        <v>1640</v>
      </c>
      <c r="U132" s="3" t="str">
        <f ca="1">IFERROR(__xludf.DUMMYFUNCTION("GOOGLETRANSLATE(V132,""en"",""ta"")"),"தொழுநோய், தடிப்புத் தோல் அழற்சி, செலாய்டு கட்டிகள், தோல் நோய்கள், பாம்பு கடி, இரத்த சுத்திகரிப்பான்.")</f>
        <v>தொழுநோய், தடிப்புத் தோல் அழற்சி, செலாய்டு கட்டிகள், தோல் நோய்கள், பாம்பு கடி, இரத்த சுத்திகரிப்பான்.</v>
      </c>
      <c r="V132" s="4" t="s">
        <v>1641</v>
      </c>
      <c r="W132" s="3" t="str">
        <f ca="1">IFERROR(__xludf.DUMMYFUNCTION("GOOGLETRANSLATE(X132,""en"",""ta"")"),"புண், கீல்வாதம், சியாட்டிகா, எலும்பு முறிவுகள் மற்றும் வாத நோய்.")</f>
        <v>புண், கீல்வாதம், சியாட்டிகா, எலும்பு முறிவுகள் மற்றும் வாத நோய்.</v>
      </c>
      <c r="X132" s="4" t="s">
        <v>1642</v>
      </c>
      <c r="Y132" s="3" t="str">
        <f ca="1">IFERROR(__xludf.DUMMYFUNCTION("GOOGLETRANSLATE(Z132,""en"",""ta"")"),"#VALUE!")</f>
        <v>#VALUE!</v>
      </c>
      <c r="Z132" s="3"/>
      <c r="AA132" s="3" t="str">
        <f ca="1">IFERROR(__xludf.DUMMYFUNCTION("GOOGLETRANSLATE(AB132,""en"",""ta"")"),"#VALUE!")</f>
        <v>#VALUE!</v>
      </c>
      <c r="AB132" s="3"/>
      <c r="AC132" s="3" t="str">
        <f ca="1">IFERROR(__xludf.DUMMYFUNCTION("GOOGLETRANSLATE(AD132,""en"",""ta"")"),"#VALUE!")</f>
        <v>#VALUE!</v>
      </c>
      <c r="AD132" s="3"/>
      <c r="AE132" s="3" t="str">
        <f ca="1">IFERROR(__xludf.DUMMYFUNCTION("GOOGLETRANSLATE(AF132,""en"",""ta"")"),"#VALUE!")</f>
        <v>#VALUE!</v>
      </c>
      <c r="AF132" s="3"/>
      <c r="AG132" s="3" t="str">
        <f ca="1">IFERROR(__xludf.DUMMYFUNCTION("GOOGLETRANSLATE(AH132,""en"",""ta"")"),"#VALUE!")</f>
        <v>#VALUE!</v>
      </c>
      <c r="AH132" s="3"/>
      <c r="AI132" s="3" t="str">
        <f ca="1">IFERROR(__xludf.DUMMYFUNCTION("GOOGLETRANSLATE(AJ132,""en"",""ta"")"),"#VALUE!")</f>
        <v>#VALUE!</v>
      </c>
      <c r="AJ132" s="3"/>
      <c r="AK132" s="3" t="str">
        <f ca="1">IFERROR(__xludf.DUMMYFUNCTION("GOOGLETRANSLATE(AL132,""en"",""ta"")"),"#VALUE!")</f>
        <v>#VALUE!</v>
      </c>
      <c r="AL132" s="3"/>
      <c r="AM132" s="3" t="str">
        <f ca="1">IFERROR(__xludf.DUMMYFUNCTION("GOOGLETRANSLATE(AN132,""en"",""ta"")"),"#VALUE!")</f>
        <v>#VALUE!</v>
      </c>
      <c r="AN132" s="3"/>
      <c r="AO132" s="3" t="str">
        <f ca="1">IFERROR(__xludf.DUMMYFUNCTION("GOOGLETRANSLATE(AP132,""en"",""ta"")"),"#VALUE!")</f>
        <v>#VALUE!</v>
      </c>
      <c r="AP132" s="3"/>
      <c r="AQ132" s="3"/>
      <c r="AR132" s="3" t="str">
        <f ca="1">IFERROR(__xludf.DUMMYFUNCTION("GOOGLETRANSLATE(AS132,""en"",""ta"")"),"ஆன்டிபராசிடிக், ஏபிரியண்ட், கிருமி நாசினி, பாக்டீரியா எதிர்ப்பு, பூஞ்சை எதிர்ப்பு, ஆன்டெல்மிண்டிக், ஆன்டிபீரியாடிக்.")</f>
        <v>ஆன்டிபராசிடிக், ஏபிரியண்ட், கிருமி நாசினி, பாக்டீரியா எதிர்ப்பு, பூஞ்சை எதிர்ப்பு, ஆன்டெல்மிண்டிக், ஆன்டிபீரியாடிக்.</v>
      </c>
      <c r="AS132" s="4" t="s">
        <v>1643</v>
      </c>
      <c r="AT132" s="3" t="str">
        <f ca="1">IFERROR(__xludf.DUMMYFUNCTION("GOOGLETRANSLATE(AU132,""en"",""ta"")"),"கிரிசோபானிக் அமிலம்-9-ஆந்த்ரோன், மையோயினோசிட்டால், ஜுக்லானின், யூரிண்டின், ரூப்ரோஃபுசரின், எமோடின், அஸ்ட்ராகலின், பி-சிட்டோஸ்டெரால் மற்றும் நாப்டோ-பைரோன்.")</f>
        <v>கிரிசோபானிக் அமிலம்-9-ஆந்த்ரோன், மையோயினோசிட்டால், ஜுக்லானின், யூரிண்டின், ரூப்ரோஃபுசரின், எமோடின், அஸ்ட்ராகலின், பி-சிட்டோஸ்டெரால் மற்றும் நாப்டோ-பைரோன்.</v>
      </c>
      <c r="AU132" s="4" t="s">
        <v>1644</v>
      </c>
      <c r="AV132" s="3"/>
      <c r="AW132" s="3" t="str">
        <f ca="1">IFERROR(__xludf.DUMMYFUNCTION("GOOGLETRANSLATE(AX132,""en"",""ta"")"),"i) வெட்டுக்கள், காயங்கள் மற்றும் புண்கள் மீது இலைகளை அரைத்து தடவினால் சீழ் வடிதல் விரைவுபடுத்தப்படும். 
ii) வேரை எலுமிச்சை சாறுடன் சேர்த்து அரைப்பது வளையப்புழுவுக்கு ஒரு தீர்வாகும்.")</f>
        <v>i) வெட்டுக்கள், காயங்கள் மற்றும் புண்கள் மீது இலைகளை அரைத்து தடவினால் சீழ் வடிதல் விரைவுபடுத்தப்படும். 
ii) வேரை எலுமிச்சை சாறுடன் சேர்த்து அரைப்பது வளையப்புழுவுக்கு ஒரு தீர்வாகும்.</v>
      </c>
      <c r="AX132" s="3" t="s">
        <v>2517</v>
      </c>
      <c r="AY132" s="3"/>
      <c r="AZ132" s="3"/>
      <c r="BA132" s="3"/>
      <c r="BB132" s="3"/>
      <c r="BC132" s="3"/>
      <c r="BD132" s="3"/>
      <c r="BE132" s="3"/>
      <c r="BF132" s="3"/>
    </row>
    <row r="133" spans="1:58" ht="56" x14ac:dyDescent="0.15">
      <c r="A133" s="3">
        <v>132</v>
      </c>
      <c r="B133" s="3" t="str">
        <f ca="1">IFERROR(__xludf.DUMMYFUNCTION("GOOGLETRANSLATE(C133,""en"",""ta"")"),"காசிதா ஃபிலிஃபார்மிஸ்")</f>
        <v>காசிதா ஃபிலிஃபார்மிஸ்</v>
      </c>
      <c r="C133" s="4" t="s">
        <v>1646</v>
      </c>
      <c r="D133" s="3" t="str">
        <f ca="1">IFERROR(__xludf.DUMMYFUNCTION("GOOGLETRANSLATE(E133,""en"",""ta"")"),"ஆகாசவல்லி")</f>
        <v>ஆகாசவல்லி</v>
      </c>
      <c r="E133" s="4" t="s">
        <v>1647</v>
      </c>
      <c r="F133" s="3" t="str">
        <f ca="1">IFERROR(__xludf.DUMMYFUNCTION("GOOGLETRANSLATE(G133,""en"",""ta"")"),"கோத்தன்")</f>
        <v>கோத்தன்</v>
      </c>
      <c r="G133" s="4" t="s">
        <v>1648</v>
      </c>
      <c r="H133" s="3" t="str">
        <f ca="1">IFERROR(__xludf.DUMMYFUNCTION("GOOGLETRANSLATE(I133,""en"",""ta"")"),"டாடர்-லாரல்")</f>
        <v>டாடர்-லாரல்</v>
      </c>
      <c r="I133" s="4" t="s">
        <v>1649</v>
      </c>
      <c r="J133" s="3" t="str">
        <f ca="1">IFERROR(__xludf.DUMMYFUNCTION("GOOGLETRANSLATE(K133,""en"",""ta"")"),"நுலுதேகா")</f>
        <v>நுலுதேகா</v>
      </c>
      <c r="K133" s="4" t="s">
        <v>1650</v>
      </c>
      <c r="L133" s="3" t="str">
        <f ca="1">IFERROR(__xludf.DUMMYFUNCTION("GOOGLETRANSLATE(M133,""en"",""ta"")"),"மூடிலா தாலி")</f>
        <v>மூடிலா தாலி</v>
      </c>
      <c r="M133" s="4" t="s">
        <v>1651</v>
      </c>
      <c r="N133" s="3" t="str">
        <f ca="1">IFERROR(__xludf.DUMMYFUNCTION("GOOGLETRANSLATE(O133,""en"",""ta"")"),"அமர்பெலி")</f>
        <v>அமர்பெலி</v>
      </c>
      <c r="O133" s="4" t="s">
        <v>1652</v>
      </c>
      <c r="P133" s="3"/>
      <c r="Q133" s="3" t="str">
        <f ca="1">IFERROR(__xludf.DUMMYFUNCTION("GOOGLETRANSLATE(R133,""en"",""ta"")"),"ஒரு மூலிகை, ஒட்டுண்ணி, இலையற்ற இரட்டையர்கள். தண்டு மஞ்சள் நிற பச்சை நிறத்தில், மெல்லியதாக, இலையற்ற வடங்களின் வலையை உருவாக்குகிறது. பூக்கள் பக்கவாட்டு கூர்முனைகளில் சிறிய வெள்ளை நிறத்தில் இருக்கும். பழங்கள் கருப்பு நிறத்தில், கோள வடிவமாக, சதைப்பற்றுள்ள பெர"&amp;"ியான்த் மடல்களில் மூடப்பட்டிருக்கும்.")</f>
        <v>ஒரு மூலிகை, ஒட்டுண்ணி, இலையற்ற இரட்டையர்கள். தண்டு மஞ்சள் நிற பச்சை நிறத்தில், மெல்லியதாக, இலையற்ற வடங்களின் வலையை உருவாக்குகிறது. பூக்கள் பக்கவாட்டு கூர்முனைகளில் சிறிய வெள்ளை நிறத்தில் இருக்கும். பழங்கள் கருப்பு நிறத்தில், கோள வடிவமாக, சதைப்பற்றுள்ள பெரியான்த் மடல்களில் மூடப்பட்டிருக்கும்.</v>
      </c>
      <c r="R133" s="4" t="s">
        <v>1653</v>
      </c>
      <c r="S133" s="3" t="str">
        <f ca="1">IFERROR(__xludf.DUMMYFUNCTION("GOOGLETRANSLATE(T133,""en"",""ta"")"),"சிறுநீர்க்குழாய் அழற்சி")</f>
        <v>சிறுநீர்க்குழாய் அழற்சி</v>
      </c>
      <c r="T133" s="4" t="s">
        <v>1654</v>
      </c>
      <c r="U133" s="3" t="str">
        <f ca="1">IFERROR(__xludf.DUMMYFUNCTION("GOOGLETRANSLATE(V133,""en"",""ta"")"),"சிறுநீர்க்குழாய் அழற்சி")</f>
        <v>சிறுநீர்க்குழாய் அழற்சி</v>
      </c>
      <c r="V133" s="4" t="s">
        <v>1654</v>
      </c>
      <c r="W133" s="3" t="str">
        <f ca="1">IFERROR(__xludf.DUMMYFUNCTION("GOOGLETRANSLATE(X133,""en"",""ta"")"),"இரத்தக் கசிவு, சிறுநீர்க்குழாய் அழற்சி, நாள்பட்ட வயிற்றுப்போக்கு, தோல் நோய்கள் மற்றும் பித்தப்பை.")</f>
        <v>இரத்தக் கசிவு, சிறுநீர்க்குழாய் அழற்சி, நாள்பட்ட வயிற்றுப்போக்கு, தோல் நோய்கள் மற்றும் பித்தப்பை.</v>
      </c>
      <c r="X133" s="4" t="s">
        <v>1655</v>
      </c>
      <c r="Y133" s="3" t="str">
        <f ca="1">IFERROR(__xludf.DUMMYFUNCTION("GOOGLETRANSLATE(Z133,""en"",""ta"")"),"இரத்தக்கசிவு")</f>
        <v>இரத்தக்கசிவு</v>
      </c>
      <c r="Z133" s="4" t="s">
        <v>1656</v>
      </c>
      <c r="AA133" s="3" t="str">
        <f ca="1">IFERROR(__xludf.DUMMYFUNCTION("GOOGLETRANSLATE(AB133,""en"",""ta"")"),"#VALUE!")</f>
        <v>#VALUE!</v>
      </c>
      <c r="AB133" s="3"/>
      <c r="AC133" s="3" t="str">
        <f ca="1">IFERROR(__xludf.DUMMYFUNCTION("GOOGLETRANSLATE(AD133,""en"",""ta"")"),"#VALUE!")</f>
        <v>#VALUE!</v>
      </c>
      <c r="AD133" s="3"/>
      <c r="AE133" s="3" t="str">
        <f ca="1">IFERROR(__xludf.DUMMYFUNCTION("GOOGLETRANSLATE(AF133,""en"",""ta"")"),"#VALUE!")</f>
        <v>#VALUE!</v>
      </c>
      <c r="AF133" s="3"/>
      <c r="AG133" s="3" t="str">
        <f ca="1">IFERROR(__xludf.DUMMYFUNCTION("GOOGLETRANSLATE(AH133,""en"",""ta"")"),"#VALUE!")</f>
        <v>#VALUE!</v>
      </c>
      <c r="AH133" s="3"/>
      <c r="AI133" s="3" t="str">
        <f ca="1">IFERROR(__xludf.DUMMYFUNCTION("GOOGLETRANSLATE(AJ133,""en"",""ta"")"),"#VALUE!")</f>
        <v>#VALUE!</v>
      </c>
      <c r="AJ133" s="3"/>
      <c r="AK133" s="3" t="str">
        <f ca="1">IFERROR(__xludf.DUMMYFUNCTION("GOOGLETRANSLATE(AL133,""en"",""ta"")"),"#VALUE!")</f>
        <v>#VALUE!</v>
      </c>
      <c r="AL133" s="3"/>
      <c r="AM133" s="3" t="str">
        <f ca="1">IFERROR(__xludf.DUMMYFUNCTION("GOOGLETRANSLATE(AN133,""en"",""ta"")"),"உண்ணக்கூடியது")</f>
        <v>உண்ணக்கூடியது</v>
      </c>
      <c r="AN133" s="4" t="s">
        <v>1657</v>
      </c>
      <c r="AO133" s="3" t="str">
        <f ca="1">IFERROR(__xludf.DUMMYFUNCTION("GOOGLETRANSLATE(AP133,""en"",""ta"")"),"#VALUE!")</f>
        <v>#VALUE!</v>
      </c>
      <c r="AP133" s="3"/>
      <c r="AQ133" s="3"/>
      <c r="AR133" s="3" t="str">
        <f ca="1">IFERROR(__xludf.DUMMYFUNCTION("GOOGLETRANSLATE(AS133,""en"",""ta"")"),"துவர்ப்பு மருந்து, சிறுநீர் பெருக்கி, பூச்சிக்கொல்லி.")</f>
        <v>துவர்ப்பு மருந்து, சிறுநீர் பெருக்கி, பூச்சிக்கொல்லி.</v>
      </c>
      <c r="AS133" s="4" t="s">
        <v>1658</v>
      </c>
      <c r="AT133" s="3" t="str">
        <f ca="1">IFERROR(__xludf.DUMMYFUNCTION("GOOGLETRANSLATE(AU133,""en"",""ta"")"),"காஸ்ஸமெரிடின், காஸ்மெடின், காசிதைன், காசிதிசின் நியோலிட்சின், காசிதிடின், லௌனோபைன், புல்போகாப்னைன், ஆக்டினோடாபினின்.")</f>
        <v>காஸ்ஸமெரிடின், காஸ்மெடின், காசிதைன், காசிதிசின் நியோலிட்சின், காசிதிடின், லௌனோபைன், புல்போகாப்னைன், ஆக்டினோடாபினின்.</v>
      </c>
      <c r="AU133" s="4" t="s">
        <v>1659</v>
      </c>
      <c r="AV133" s="3"/>
      <c r="AW133" s="3" t="str">
        <f ca="1">IFERROR(__xludf.DUMMYFUNCTION("GOOGLETRANSLATE(AX133,""en"",""ta"")"),"i) செடியின் கஷாயம் ரத்தக் கசிவைத் தடுக்கிறது. ii) செடியின் உலர்ந்த பொடியை எள் எண்ணெயுடன் கொதிக்க வைத்து ஹேர்-டானிக்காகப் பயன்படுத்தப்படுகிறது.")</f>
        <v>i) செடியின் கஷாயம் ரத்தக் கசிவைத் தடுக்கிறது. ii) செடியின் உலர்ந்த பொடியை எள் எண்ணெயுடன் கொதிக்க வைத்து ஹேர்-டானிக்காகப் பயன்படுத்தப்படுகிறது.</v>
      </c>
      <c r="AX133" s="4" t="s">
        <v>2518</v>
      </c>
      <c r="AY133" s="3"/>
      <c r="AZ133" s="3"/>
      <c r="BA133" s="3"/>
      <c r="BB133" s="3"/>
      <c r="BC133" s="3"/>
      <c r="BD133" s="3"/>
      <c r="BE133" s="3"/>
      <c r="BF133" s="3"/>
    </row>
    <row r="134" spans="1:58" ht="56" x14ac:dyDescent="0.15">
      <c r="A134" s="3">
        <v>133</v>
      </c>
      <c r="B134" s="3" t="str">
        <f ca="1">IFERROR(__xludf.DUMMYFUNCTION("GOOGLETRANSLATE(C134,""en"",""ta"")"),"கதரந்தஸ் ரோஸஸ்")</f>
        <v>கதரந்தஸ் ரோஸஸ்</v>
      </c>
      <c r="C134" s="4" t="s">
        <v>1661</v>
      </c>
      <c r="D134" s="3" t="str">
        <f ca="1">IFERROR(__xludf.DUMMYFUNCTION("GOOGLETRANSLATE(E134,""en"",""ta"")"),"நித்ரியா கல்யாணி")</f>
        <v>நித்ரியா கல்யாணி</v>
      </c>
      <c r="E134" s="4" t="s">
        <v>1662</v>
      </c>
      <c r="F134" s="3" t="str">
        <f ca="1">IFERROR(__xludf.DUMMYFUNCTION("GOOGLETRANSLATE(G134,""en"",""ta"")"),"நித்திய கல்யாணி")</f>
        <v>நித்திய கல்யாணி</v>
      </c>
      <c r="G134" s="4" t="s">
        <v>1663</v>
      </c>
      <c r="H134" s="3" t="str">
        <f ca="1">IFERROR(__xludf.DUMMYFUNCTION("GOOGLETRANSLATE(I134,""en"",""ta"")"),"மடகாஸ்கர் பெரிவிங்கிள்")</f>
        <v>மடகாஸ்கர் பெரிவிங்கிள்</v>
      </c>
      <c r="I134" s="4" t="s">
        <v>1664</v>
      </c>
      <c r="J134" s="3" t="str">
        <f ca="1">IFERROR(__xludf.DUMMYFUNCTION("GOOGLETRANSLATE(K134,""en"",""ta"")"),"பில்லகன்நேரு")</f>
        <v>பில்லகன்நேரு</v>
      </c>
      <c r="K134" s="4" t="s">
        <v>1665</v>
      </c>
      <c r="L134" s="3" t="str">
        <f ca="1">IFERROR(__xludf.DUMMYFUNCTION("GOOGLETRANSLATE(M134,""en"",""ta"")"),"உஷாமலாரி")</f>
        <v>உஷாமலாரி</v>
      </c>
      <c r="M134" s="4" t="s">
        <v>1666</v>
      </c>
      <c r="N134" s="3" t="str">
        <f ca="1">IFERROR(__xludf.DUMMYFUNCTION("GOOGLETRANSLATE(O134,""en"",""ta"")"),"சதாபஹார்")</f>
        <v>சதாபஹார்</v>
      </c>
      <c r="O134" s="4" t="s">
        <v>1667</v>
      </c>
      <c r="P134" s="3"/>
      <c r="Q134" s="3" t="str">
        <f ca="1">IFERROR(__xludf.DUMMYFUNCTION("GOOGLETRANSLATE(R134,""en"",""ta"")"),"நிமிர்ந்த, கிளைகளைக் கொண்ட வருடாந்திர அல்லது வற்றாத மூலிகை. தண்டு, இலைகள் மற்றும் பழங்கள் லேடெக்ஸுடன் காணப்படுகின்றன. இலைகள் எளிமையானவை, நீள்வட்டமானவை, சப்செசில் எதிரெதிர் மற்றும் டெக்குசசேட். மலர்கள் இளஞ்சிவப்பு ஊதா நிறத்தில், முனையத்தில் அல்லது இலைக்கோண"&amp;"ங்களில் உள்ள கோரிம்போஸ் சைம்களில், இருபால் மற்றும் வழக்கமானவை. பழங்கள் ரோமங்கள் நிறைந்த கருப்பு மற்றும் பல விதைகளைக் கொண்ட சிறிய நுண்ணறை.")</f>
        <v>நிமிர்ந்த, கிளைகளைக் கொண்ட வருடாந்திர அல்லது வற்றாத மூலிகை. தண்டு, இலைகள் மற்றும் பழங்கள் லேடெக்ஸுடன் காணப்படுகின்றன. இலைகள் எளிமையானவை, நீள்வட்டமானவை, சப்செசில் எதிரெதிர் மற்றும் டெக்குசசேட். மலர்கள் இளஞ்சிவப்பு ஊதா நிறத்தில், முனையத்தில் அல்லது இலைக்கோணங்களில் உள்ள கோரிம்போஸ் சைம்களில், இருபால் மற்றும் வழக்கமானவை. பழங்கள் ரோமங்கள் நிறைந்த கருப்பு மற்றும் பல விதைகளைக் கொண்ட சிறிய நுண்ணறை.</v>
      </c>
      <c r="R134" s="4" t="s">
        <v>1668</v>
      </c>
      <c r="S134" s="3" t="str">
        <f ca="1">IFERROR(__xludf.DUMMYFUNCTION("GOOGLETRANSLATE(T134,""en"",""ta"")"),"இதய டானிக்")</f>
        <v>இதய டானிக்</v>
      </c>
      <c r="T134" s="4" t="s">
        <v>1669</v>
      </c>
      <c r="U134" s="3" t="str">
        <f ca="1">IFERROR(__xludf.DUMMYFUNCTION("GOOGLETRANSLATE(V134,""en"",""ta"")"),"#VALUE!")</f>
        <v>#VALUE!</v>
      </c>
      <c r="V134" s="3"/>
      <c r="W134" s="3" t="str">
        <f ca="1">IFERROR(__xludf.DUMMYFUNCTION("GOOGLETRANSLATE(X134,""en"",""ta"")"),"இரத்த புற்றுநோய், நீரிழிவு நோய், மாதவிடாய் நிறுத்தம், குளவி கொட்டுதல் மற்றும் இதய டானிக்.")</f>
        <v>இரத்த புற்றுநோய், நீரிழிவு நோய், மாதவிடாய் நிறுத்தம், குளவி கொட்டுதல் மற்றும் இதய டானிக்.</v>
      </c>
      <c r="X134" s="4" t="s">
        <v>1670</v>
      </c>
      <c r="Y134" s="3" t="str">
        <f ca="1">IFERROR(__xludf.DUMMYFUNCTION("GOOGLETRANSLATE(Z134,""en"",""ta"")"),"மாதவிடாய் நிறுத்தம்")</f>
        <v>மாதவிடாய் நிறுத்தம்</v>
      </c>
      <c r="Z134" s="4" t="s">
        <v>1671</v>
      </c>
      <c r="AA134" s="3" t="str">
        <f ca="1">IFERROR(__xludf.DUMMYFUNCTION("GOOGLETRANSLATE(AB134,""en"",""ta"")"),"நீரிழிவு நோய்")</f>
        <v>நீரிழிவு நோய்</v>
      </c>
      <c r="AB134" s="4" t="s">
        <v>1223</v>
      </c>
      <c r="AC134" s="3" t="str">
        <f ca="1">IFERROR(__xludf.DUMMYFUNCTION("GOOGLETRANSLATE(AD134,""en"",""ta"")"),"#VALUE!")</f>
        <v>#VALUE!</v>
      </c>
      <c r="AD134" s="3"/>
      <c r="AE134" s="3" t="str">
        <f ca="1">IFERROR(__xludf.DUMMYFUNCTION("GOOGLETRANSLATE(AF134,""en"",""ta"")"),"#VALUE!")</f>
        <v>#VALUE!</v>
      </c>
      <c r="AF134" s="3"/>
      <c r="AG134" s="3" t="str">
        <f ca="1">IFERROR(__xludf.DUMMYFUNCTION("GOOGLETRANSLATE(AH134,""en"",""ta"")"),"#VALUE!")</f>
        <v>#VALUE!</v>
      </c>
      <c r="AH134" s="3"/>
      <c r="AI134" s="3" t="str">
        <f ca="1">IFERROR(__xludf.DUMMYFUNCTION("GOOGLETRANSLATE(AJ134,""en"",""ta"")"),"#VALUE!")</f>
        <v>#VALUE!</v>
      </c>
      <c r="AJ134" s="3"/>
      <c r="AK134" s="3" t="str">
        <f ca="1">IFERROR(__xludf.DUMMYFUNCTION("GOOGLETRANSLATE(AL134,""en"",""ta"")"),"#VALUE!")</f>
        <v>#VALUE!</v>
      </c>
      <c r="AL134" s="3"/>
      <c r="AM134" s="3" t="str">
        <f ca="1">IFERROR(__xludf.DUMMYFUNCTION("GOOGLETRANSLATE(AN134,""en"",""ta"")"),"#VALUE!")</f>
        <v>#VALUE!</v>
      </c>
      <c r="AN134" s="3"/>
      <c r="AO134" s="3" t="str">
        <f ca="1">IFERROR(__xludf.DUMMYFUNCTION("GOOGLETRANSLATE(AP134,""en"",""ta"")"),"#VALUE!")</f>
        <v>#VALUE!</v>
      </c>
      <c r="AP134" s="3"/>
      <c r="AQ134" s="3"/>
      <c r="AR134" s="3" t="str">
        <f ca="1">IFERROR(__xludf.DUMMYFUNCTION("GOOGLETRANSLATE(AS134,""en"",""ta"")"),"வயிற்றுக்கு மருந்து, டானிக், மயக்க மருந்து, புற்றுநோய் எதிர்ப்பு.")</f>
        <v>வயிற்றுக்கு மருந்து, டானிக், மயக்க மருந்து, புற்றுநோய் எதிர்ப்பு.</v>
      </c>
      <c r="AS134" s="4" t="s">
        <v>1672</v>
      </c>
      <c r="AT134" s="3" t="str">
        <f ca="1">IFERROR(__xludf.DUMMYFUNCTION("GOOGLETRANSLATE(AU134,""en"",""ta"")"),"வின்கிறிஸ்டின், வின்பிளாஸ்டின், லியூரோசின், வின்கோபின், டேபர்சோனின், வின்காதிசின், வினாமிடின், பெரிவைன், டீஹைட்ரோலோகனின் மற்றும் வின்கோலின்.")</f>
        <v>வின்கிறிஸ்டின், வின்பிளாஸ்டின், லியூரோசின், வின்கோபின், டேபர்சோனின், வின்காதிசின், வினாமிடின், பெரிவைன், டீஹைட்ரோலோகனின் மற்றும் வின்கோலின்.</v>
      </c>
      <c r="AU134" s="4" t="s">
        <v>1673</v>
      </c>
      <c r="AV134" s="3"/>
      <c r="AW134" s="3" t="str">
        <f ca="1">IFERROR(__xludf.DUMMYFUNCTION("GOOGLETRANSLATE(AX134,""en"",""ta"")"),"i) வீரியம் மிக்க நோய்களுக்கு பூவின் சாறு உட்புறமாக கொடுக்கப்படுகிறது. 
ii) குறைந்த இரத்த அழுத்தத்தில் வேர் கஷாயம் கொடுக்கப்படுகிறது.")</f>
        <v>i) வீரியம் மிக்க நோய்களுக்கு பூவின் சாறு உட்புறமாக கொடுக்கப்படுகிறது. 
ii) குறைந்த இரத்த அழுத்தத்தில் வேர் கஷாயம் கொடுக்கப்படுகிறது.</v>
      </c>
      <c r="AX134" s="3" t="s">
        <v>2519</v>
      </c>
      <c r="AY134" s="3"/>
      <c r="AZ134" s="3"/>
      <c r="BA134" s="3"/>
      <c r="BB134" s="3"/>
      <c r="BC134" s="3"/>
      <c r="BD134" s="3"/>
      <c r="BE134" s="3"/>
      <c r="BF134" s="3"/>
    </row>
    <row r="135" spans="1:58" ht="56" x14ac:dyDescent="0.15">
      <c r="A135" s="3">
        <v>134</v>
      </c>
      <c r="B135" s="3" t="str">
        <f ca="1">IFERROR(__xludf.DUMMYFUNCTION("GOOGLETRANSLATE(C135,""en"",""ta"")"),"செட்ரஸ் தியோதரா")</f>
        <v>செட்ரஸ் தியோதரா</v>
      </c>
      <c r="C135" s="4" t="s">
        <v>1675</v>
      </c>
      <c r="D135" s="3" t="str">
        <f ca="1">IFERROR(__xludf.DUMMYFUNCTION("GOOGLETRANSLATE(E135,""en"",""ta"")"),"தேவதாரு")</f>
        <v>தேவதாரு</v>
      </c>
      <c r="E135" s="4" t="s">
        <v>1676</v>
      </c>
      <c r="F135" s="3" t="str">
        <f ca="1">IFERROR(__xludf.DUMMYFUNCTION("GOOGLETRANSLATE(G135,""en"",""ta"")"),"தேவதாரு")</f>
        <v>தேவதாரு</v>
      </c>
      <c r="G135" s="4" t="s">
        <v>1676</v>
      </c>
      <c r="H135" s="3" t="str">
        <f ca="1">IFERROR(__xludf.DUMMYFUNCTION("GOOGLETRANSLATE(I135,""en"",""ta"")"),"இமயமலை சிடார்")</f>
        <v>இமயமலை சிடார்</v>
      </c>
      <c r="I135" s="4" t="s">
        <v>1677</v>
      </c>
      <c r="J135" s="3" t="str">
        <f ca="1">IFERROR(__xludf.DUMMYFUNCTION("GOOGLETRANSLATE(K135,""en"",""ta"")"),"தேவதாரி")</f>
        <v>தேவதாரி</v>
      </c>
      <c r="K135" s="4" t="s">
        <v>1678</v>
      </c>
      <c r="L135" s="3" t="str">
        <f ca="1">IFERROR(__xludf.DUMMYFUNCTION("GOOGLETRANSLATE(M135,""en"",""ta"")"),"தேவதாரம்")</f>
        <v>தேவதாரம்</v>
      </c>
      <c r="M135" s="4" t="s">
        <v>1679</v>
      </c>
      <c r="N135" s="3" t="str">
        <f ca="1">IFERROR(__xludf.DUMMYFUNCTION("GOOGLETRANSLATE(O135,""en"",""ta"")"),"தேவதர்")</f>
        <v>தேவதர்</v>
      </c>
      <c r="O135" s="4" t="s">
        <v>1680</v>
      </c>
      <c r="P135" s="3"/>
      <c r="Q135" s="3" t="str">
        <f ca="1">IFERROR(__xludf.DUMMYFUNCTION("GOOGLETRANSLATE(R135,""en"",""ta"")"),"ஒரு பெரிய பசுமையான ஊசியிலை மரம், தண்டு பெரியதாக நிமிர்ந்து, பட்டை அடர்த்தியாகவும் விரிசலுடனும் இருக்கும். இலைகள் அடர் பச்சை, முக்கோண, நீல நிற அல்லது வெள்ளி நிறத்தில், நீளமான, குறுகலான முனைகளுடன் இருக்கும். பூக்கள் ஆண் மற்றும் பெண் கூம்புகளுடன் தனித்தனி கி"&amp;"ளைகளாகவும் கொத்தாகவும் தோன்றும். விதைகள் அகன்ற இறக்கைகளுடன் முக்கோண வடிவிலானவை.")</f>
        <v>ஒரு பெரிய பசுமையான ஊசியிலை மரம், தண்டு பெரியதாக நிமிர்ந்து, பட்டை அடர்த்தியாகவும் விரிசலுடனும் இருக்கும். இலைகள் அடர் பச்சை, முக்கோண, நீல நிற அல்லது வெள்ளி நிறத்தில், நீளமான, குறுகலான முனைகளுடன் இருக்கும். பூக்கள் ஆண் மற்றும் பெண் கூம்புகளுடன் தனித்தனி கிளைகளாகவும் கொத்தாகவும் தோன்றும். விதைகள் அகன்ற இறக்கைகளுடன் முக்கோண வடிவிலானவை.</v>
      </c>
      <c r="R135" s="4" t="s">
        <v>1681</v>
      </c>
      <c r="S135" s="3" t="str">
        <f ca="1">IFERROR(__xludf.DUMMYFUNCTION("GOOGLETRANSLATE(T135,""en"",""ta"")"),"#VALUE!")</f>
        <v>#VALUE!</v>
      </c>
      <c r="U135" s="3" t="str">
        <f ca="1">IFERROR(__xludf.DUMMYFUNCTION("GOOGLETRANSLATE(V135,""en"",""ta"")"),"#VALUE!")</f>
        <v>#VALUE!</v>
      </c>
      <c r="V135" s="3"/>
      <c r="W135" s="3" t="str">
        <f ca="1">IFERROR(__xludf.DUMMYFUNCTION("GOOGLETRANSLATE(X135,""en"",""ta"")"),"#VALUE!")</f>
        <v>#VALUE!</v>
      </c>
      <c r="X135" s="3"/>
      <c r="Y135" s="3" t="str">
        <f ca="1">IFERROR(__xludf.DUMMYFUNCTION("GOOGLETRANSLATE(Z135,""en"",""ta"")"),"#VALUE!")</f>
        <v>#VALUE!</v>
      </c>
      <c r="Z135" s="3"/>
      <c r="AA135" s="3" t="str">
        <f ca="1">IFERROR(__xludf.DUMMYFUNCTION("GOOGLETRANSLATE(AB135,""en"",""ta"")"),"இடைவிடாத மற்றும் இடைவிடாத காய்ச்சல், வயிற்றுப்போக்கு மற்றும் வயிற்றுப்போக்கு.")</f>
        <v>இடைவிடாத மற்றும் இடைவிடாத காய்ச்சல், வயிற்றுப்போக்கு மற்றும் வயிற்றுப்போக்கு.</v>
      </c>
      <c r="AB135" s="4" t="s">
        <v>1682</v>
      </c>
      <c r="AC135" s="3" t="str">
        <f ca="1">IFERROR(__xludf.DUMMYFUNCTION("GOOGLETRANSLATE(AD135,""en"",""ta"")"),"#VALUE!")</f>
        <v>#VALUE!</v>
      </c>
      <c r="AD135" s="3"/>
      <c r="AE135" s="3" t="str">
        <f ca="1">IFERROR(__xludf.DUMMYFUNCTION("GOOGLETRANSLATE(AF135,""en"",""ta"")"),"#VALUE!")</f>
        <v>#VALUE!</v>
      </c>
      <c r="AF135" s="3"/>
      <c r="AG135" s="3" t="str">
        <f ca="1">IFERROR(__xludf.DUMMYFUNCTION("GOOGLETRANSLATE(AH135,""en"",""ta"")"),"#VALUE!")</f>
        <v>#VALUE!</v>
      </c>
      <c r="AH135" s="3"/>
      <c r="AI135" s="3" t="str">
        <f ca="1">IFERROR(__xludf.DUMMYFUNCTION("GOOGLETRANSLATE(AJ135,""en"",""ta"")"),"#VALUE!")</f>
        <v>#VALUE!</v>
      </c>
      <c r="AJ135" s="3"/>
      <c r="AK135" s="3" t="str">
        <f ca="1">IFERROR(__xludf.DUMMYFUNCTION("GOOGLETRANSLATE(AL135,""en"",""ta"")"),"புண்கள், தோல் நோய்கள் மற்றும் மூட்டு வலிகள்.")</f>
        <v>புண்கள், தோல் நோய்கள் மற்றும் மூட்டு வலிகள்.</v>
      </c>
      <c r="AL135" s="4" t="s">
        <v>1683</v>
      </c>
      <c r="AM135" s="3" t="str">
        <f ca="1">IFERROR(__xludf.DUMMYFUNCTION("GOOGLETRANSLATE(AN135,""en"",""ta"")"),"#VALUE!")</f>
        <v>#VALUE!</v>
      </c>
      <c r="AN135" s="3"/>
      <c r="AO135" s="3" t="str">
        <f ca="1">IFERROR(__xludf.DUMMYFUNCTION("GOOGLETRANSLATE(AP135,""en"",""ta"")"),"#VALUE!")</f>
        <v>#VALUE!</v>
      </c>
      <c r="AP135" s="3"/>
      <c r="AQ135" s="3"/>
      <c r="AR135" s="3" t="str">
        <f ca="1">IFERROR(__xludf.DUMMYFUNCTION("GOOGLETRANSLATE(AS135,""en"",""ta"")"),"கார்மினேட்டிவ், ஃபெப்ரிஃபியூஜ், டயாபோரெடிக், அஸ்ட்ரிஜென்ட், ஆண்டிஸ்பாஸ்மோடிக் மற்றும் அழற்சி எதிர்ப்பு.")</f>
        <v>கார்மினேட்டிவ், ஃபெப்ரிஃபியூஜ், டயாபோரெடிக், அஸ்ட்ரிஜென்ட், ஆண்டிஸ்பாஸ்மோடிக் மற்றும் அழற்சி எதிர்ப்பு.</v>
      </c>
      <c r="AS135" s="4" t="s">
        <v>1684</v>
      </c>
      <c r="AT135" s="3" t="str">
        <f ca="1">IFERROR(__xludf.DUMMYFUNCTION("GOOGLETRANSLATE(AU135,""en"",""ta"")"),"டியோடரோன், டியோடார்டியோன், டானின்கள், டியோடரின், செட்ருசின், டாக்ஸிஃபோலின், லிமோனீன், கார்பாக்சிலிக் அமிலம், ஆக்ஸிடோ ஹிமாச்சலீன் &amp; ஐசோஹிமாச்சலோன்,")</f>
        <v>டியோடரோன், டியோடார்டியோன், டானின்கள், டியோடரின், செட்ருசின், டாக்ஸிஃபோலின், லிமோனீன், கார்பாக்சிலிக் அமிலம், ஆக்ஸிடோ ஹிமாச்சலீன் &amp; ஐசோஹிமாச்சலோன்,</v>
      </c>
      <c r="AU135" s="4" t="s">
        <v>1685</v>
      </c>
      <c r="AV135" s="3"/>
      <c r="AW135" s="3" t="str">
        <f ca="1">IFERROR(__xludf.DUMMYFUNCTION("GOOGLETRANSLATE(AX135,""en"",""ta"")"),"i) பட்டை கஷாயம் பித்தப்பை காய்ச்சல், இன்டர்ன்-மிட்டன்ட் மற்றும் ரெர்னிடென்ட் காய்ச்சலுக்கு ஒரு நல்ல மருந்தாகும். 
ii) மரத்திலிருந்து எடுக்கப்படும் டர்பெண்டைன் புண்கள் மற்றும் தோல் நோய்களுக்குப் பயன்படுத்தப்படுகிறது.")</f>
        <v>i) பட்டை கஷாயம் பித்தப்பை காய்ச்சல், இன்டர்ன்-மிட்டன்ட் மற்றும் ரெர்னிடென்ட் காய்ச்சலுக்கு ஒரு நல்ல மருந்தாகும். 
ii) மரத்திலிருந்து எடுக்கப்படும் டர்பெண்டைன் புண்கள் மற்றும் தோல் நோய்களுக்குப் பயன்படுத்தப்படுகிறது.</v>
      </c>
      <c r="AX135" s="3" t="s">
        <v>2520</v>
      </c>
      <c r="AY135" s="3"/>
      <c r="AZ135" s="3"/>
      <c r="BA135" s="3"/>
      <c r="BB135" s="3"/>
      <c r="BC135" s="3"/>
      <c r="BD135" s="3"/>
      <c r="BE135" s="3"/>
      <c r="BF135" s="3"/>
    </row>
    <row r="136" spans="1:58" ht="70" x14ac:dyDescent="0.15">
      <c r="A136" s="3">
        <v>135</v>
      </c>
      <c r="B136" s="3" t="str">
        <f ca="1">IFERROR(__xludf.DUMMYFUNCTION("GOOGLETRANSLATE(C136,""en"",""ta"")"),"செலஸ்ட்ரஸ் பானிகுலட்டஸ்")</f>
        <v>செலஸ்ட்ரஸ் பானிகுலட்டஸ்</v>
      </c>
      <c r="C136" s="4" t="s">
        <v>1687</v>
      </c>
      <c r="D136" s="3" t="str">
        <f ca="1">IFERROR(__xludf.DUMMYFUNCTION("GOOGLETRANSLATE(E136,""en"",""ta"")"),"ஜோதிஷ் மதி")</f>
        <v>ஜோதிஷ் மதி</v>
      </c>
      <c r="E136" s="4" t="s">
        <v>1688</v>
      </c>
      <c r="F136" s="3" t="str">
        <f ca="1">IFERROR(__xludf.DUMMYFUNCTION("GOOGLETRANSLATE(G136,""en"",""ta"")"),"வழுழுவை")</f>
        <v>வழுழுவை</v>
      </c>
      <c r="G136" s="4" t="s">
        <v>1689</v>
      </c>
      <c r="H136" s="3" t="str">
        <f ca="1">IFERROR(__xludf.DUMMYFUNCTION("GOOGLETRANSLATE(I136,""en"",""ta"")"),"ஏறும் ஊழியர்கள்")</f>
        <v>ஏறும் ஊழியர்கள்</v>
      </c>
      <c r="I136" s="4" t="s">
        <v>1690</v>
      </c>
      <c r="J136" s="3" t="str">
        <f ca="1">IFERROR(__xludf.DUMMYFUNCTION("GOOGLETRANSLATE(K136,""en"",""ta"")"),"தந்தி சீட்டு")</f>
        <v>தந்தி சீட்டு</v>
      </c>
      <c r="K136" s="4" t="s">
        <v>1691</v>
      </c>
      <c r="L136" s="3" t="str">
        <f ca="1">IFERROR(__xludf.DUMMYFUNCTION("GOOGLETRANSLATE(M136,""en"",""ta"")"),"வழுழுவை")</f>
        <v>வழுழுவை</v>
      </c>
      <c r="M136" s="4" t="s">
        <v>1689</v>
      </c>
      <c r="N136" s="3" t="str">
        <f ca="1">IFERROR(__xludf.DUMMYFUNCTION("GOOGLETRANSLATE(O136,""en"",""ta"")"),"மல்காங்னி")</f>
        <v>மல்காங்னி</v>
      </c>
      <c r="O136" s="4" t="s">
        <v>1692</v>
      </c>
      <c r="P136" s="3"/>
      <c r="Q136" s="3" t="str">
        <f ca="1">IFERROR(__xludf.DUMMYFUNCTION("GOOGLETRANSLATE(R136,""en"",""ta"")"),"ஒரு பெரிய மரத்தாலான ஏறும் புதர். இலைகள் எளிமையானவை, மாற்று வழி, முழு முட்டை வடிவானது, நீள்வட்டமானது அல்லது பிறை போன்றது. பூக்கள் வெள்ளை நிறமானது, பலதார மணம் கொண்டவை, முனையத்தில் அல்லது இலைக்கோணங்களில் அல்லது தொங்கும் பேனிக்கிள்களில் காணப்படும். பழங்கள் கா"&amp;"ப்ஸ்யூல், கோள வடிவமானது, மஞ்சள் நிறமானது, 1-6 விதைகள் குறுக்காக சுருக்கப்பட்டவை. விதைகள் நீள்வட்ட வடிவானது அல்லது முட்டை வடிவானது.")</f>
        <v>ஒரு பெரிய மரத்தாலான ஏறும் புதர். இலைகள் எளிமையானவை, மாற்று வழி, முழு முட்டை வடிவானது, நீள்வட்டமானது அல்லது பிறை போன்றது. பூக்கள் வெள்ளை நிறமானது, பலதார மணம் கொண்டவை, முனையத்தில் அல்லது இலைக்கோணங்களில் அல்லது தொங்கும் பேனிக்கிள்களில் காணப்படும். பழங்கள் காப்ஸ்யூல், கோள வடிவமானது, மஞ்சள் நிறமானது, 1-6 விதைகள் குறுக்காக சுருக்கப்பட்டவை. விதைகள் நீள்வட்ட வடிவானது அல்லது முட்டை வடிவானது.</v>
      </c>
      <c r="R136" s="4" t="s">
        <v>1693</v>
      </c>
      <c r="S136" s="3" t="str">
        <f ca="1">IFERROR(__xludf.DUMMYFUNCTION("GOOGLETRANSLATE(T136,""en"",""ta"")"),"#VALUE!")</f>
        <v>#VALUE!</v>
      </c>
      <c r="T136" s="3"/>
      <c r="U136" s="3" t="str">
        <f ca="1">IFERROR(__xludf.DUMMYFUNCTION("GOOGLETRANSLATE(V136,""en"",""ta"")"),"வாத நோய், கீல்வாதம், பக்கவாதம், தொழுநோய் மற்றும் அறிவுத்திறனை ஊக்குவித்தல்.")</f>
        <v>வாத நோய், கீல்வாதம், பக்கவாதம், தொழுநோய் மற்றும் அறிவுத்திறனை ஊக்குவித்தல்.</v>
      </c>
      <c r="V136" s="4" t="s">
        <v>1694</v>
      </c>
      <c r="W136" s="3" t="str">
        <f ca="1">IFERROR(__xludf.DUMMYFUNCTION("GOOGLETRANSLATE(X136,""en"",""ta"")"),"#VALUE!")</f>
        <v>#VALUE!</v>
      </c>
      <c r="X136" s="3"/>
      <c r="Y136" s="3" t="str">
        <f ca="1">IFERROR(__xludf.DUMMYFUNCTION("GOOGLETRANSLATE(Z136,""en"",""ta"")"),"#VALUE!")</f>
        <v>#VALUE!</v>
      </c>
      <c r="Z136" s="3"/>
      <c r="AA136" s="3" t="str">
        <f ca="1">IFERROR(__xludf.DUMMYFUNCTION("GOOGLETRANSLATE(AB136,""en"",""ta"")"),"#VALUE!")</f>
        <v>#VALUE!</v>
      </c>
      <c r="AB136" s="3"/>
      <c r="AC136" s="3" t="str">
        <f ca="1">IFERROR(__xludf.DUMMYFUNCTION("GOOGLETRANSLATE(AD136,""en"",""ta"")"),"#VALUE!")</f>
        <v>#VALUE!</v>
      </c>
      <c r="AD136" s="3"/>
      <c r="AE136" s="3" t="str">
        <f ca="1">IFERROR(__xludf.DUMMYFUNCTION("GOOGLETRANSLATE(AF136,""en"",""ta"")"),"#VALUE!")</f>
        <v>#VALUE!</v>
      </c>
      <c r="AF136" s="3"/>
      <c r="AG136" s="3" t="str">
        <f ca="1">IFERROR(__xludf.DUMMYFUNCTION("GOOGLETRANSLATE(AH136,""en"",""ta"")"),"#VALUE!")</f>
        <v>#VALUE!</v>
      </c>
      <c r="AH136" s="3"/>
      <c r="AI136" s="3" t="str">
        <f ca="1">IFERROR(__xludf.DUMMYFUNCTION("GOOGLETRANSLATE(AJ136,""en"",""ta"")"),"#VALUE!")</f>
        <v>#VALUE!</v>
      </c>
      <c r="AJ136" s="3"/>
      <c r="AK136" s="3" t="str">
        <f ca="1">IFERROR(__xludf.DUMMYFUNCTION("GOOGLETRANSLATE(AL136,""en"",""ta"")"),"பெரி-பெரி, வாத வலிகள் மற்றும் பக்கவாதம்.")</f>
        <v>பெரி-பெரி, வாத வலிகள் மற்றும் பக்கவாதம்.</v>
      </c>
      <c r="AL136" s="4" t="s">
        <v>1695</v>
      </c>
      <c r="AM136" s="3" t="str">
        <f ca="1">IFERROR(__xludf.DUMMYFUNCTION("GOOGLETRANSLATE(AN136,""en"",""ta"")"),"#VALUE!")</f>
        <v>#VALUE!</v>
      </c>
      <c r="AN136" s="3"/>
      <c r="AO136" s="3" t="str">
        <f ca="1">IFERROR(__xludf.DUMMYFUNCTION("GOOGLETRANSLATE(AP136,""en"",""ta"")"),"#VALUE!")</f>
        <v>#VALUE!</v>
      </c>
      <c r="AP136" s="3"/>
      <c r="AQ136" s="3"/>
      <c r="AR136" s="3" t="str">
        <f ca="1">IFERROR(__xludf.DUMMYFUNCTION("GOOGLETRANSLATE(AS136,""en"",""ta"")"),"நரம்பு டானிக், மாற்று மருந்து, தூண்டுதல், அழற்சி எதிர்ப்பு, பைரெடிக் எதிர்ப்பு, அல்சரோஜெனிக் எதிர்ப்பு மற்றும் ருபேசியன்ட்.")</f>
        <v>நரம்பு டானிக், மாற்று மருந்து, தூண்டுதல், அழற்சி எதிர்ப்பு, பைரெடிக் எதிர்ப்பு, அல்சரோஜெனிக் எதிர்ப்பு மற்றும் ருபேசியன்ட்.</v>
      </c>
      <c r="AS136" s="4" t="s">
        <v>1696</v>
      </c>
      <c r="AT136" s="3" t="str">
        <f ca="1">IFERROR(__xludf.DUMMYFUNCTION("GOOGLETRANSLATE(AU136,""en"",""ta"")"),"செலஸ்ட்ரோல், செலபனிஜின், பானிகுலடடியோல், ஜெய்லாஸ்டெரோன், ஜெய்லாஸ்டெரல், பிரிஸ்டிமெரின், மல்காங்குனியோல், ட்ரைடர்பெனீடியன் மற்றும் செலபனைன்.")</f>
        <v>செலஸ்ட்ரோல், செலபனிஜின், பானிகுலடடியோல், ஜெய்லாஸ்டெரோன், ஜெய்லாஸ்டெரல், பிரிஸ்டிமெரின், மல்காங்குனியோல், ட்ரைடர்பெனீடியன் மற்றும் செலபனைன்.</v>
      </c>
      <c r="AU136" s="4" t="s">
        <v>1697</v>
      </c>
      <c r="AV136" s="3"/>
      <c r="AW136" s="3" t="str">
        <f ca="1">IFERROR(__xludf.DUMMYFUNCTION("GOOGLETRANSLATE(AX136,""en"",""ta"")"),"i) வாத நோய் மற்றும் பக்கவாதத்திற்கு விதைகளின் கஷாயம் கொடுக்கப்படுகிறது. 
ii) வீக்கம் மற்றும் புண்களுக்கு விதைகளின் ஆல்கஹால் சாறு ஒரு மயக்க மருந்தாக கொடுக்கப்படுகிறது.")</f>
        <v>i) வாத நோய் மற்றும் பக்கவாதத்திற்கு விதைகளின் கஷாயம் கொடுக்கப்படுகிறது. 
ii) வீக்கம் மற்றும் புண்களுக்கு விதைகளின் ஆல்கஹால் சாறு ஒரு மயக்க மருந்தாக கொடுக்கப்படுகிறது.</v>
      </c>
      <c r="AX136" s="3" t="s">
        <v>2521</v>
      </c>
      <c r="AY136" s="3"/>
      <c r="AZ136" s="3"/>
      <c r="BA136" s="3"/>
      <c r="BB136" s="3"/>
      <c r="BC136" s="3"/>
      <c r="BD136" s="3"/>
      <c r="BE136" s="3"/>
      <c r="BF136" s="3"/>
    </row>
    <row r="137" spans="1:58" ht="70" x14ac:dyDescent="0.15">
      <c r="A137" s="3">
        <v>136</v>
      </c>
      <c r="B137" s="3" t="str">
        <f ca="1">IFERROR(__xludf.DUMMYFUNCTION("GOOGLETRANSLATE(C137,""en"",""ta"")"),"செலோசியா அர்ஜென்டியா")</f>
        <v>செலோசியா அர்ஜென்டியா</v>
      </c>
      <c r="C137" s="4" t="s">
        <v>1699</v>
      </c>
      <c r="D137" s="3" t="str">
        <f ca="1">IFERROR(__xludf.DUMMYFUNCTION("GOOGLETRANSLATE(E137,""en"",""ta"")"),"விடுன்னா")</f>
        <v>விடுன்னா</v>
      </c>
      <c r="E137" s="4" t="s">
        <v>1700</v>
      </c>
      <c r="F137" s="3" t="str">
        <f ca="1">IFERROR(__xludf.DUMMYFUNCTION("GOOGLETRANSLATE(G137,""en"",""ta"")"),"பண்ணைக்கீரை")</f>
        <v>பண்ணைக்கீரை</v>
      </c>
      <c r="G137" s="4" t="s">
        <v>2522</v>
      </c>
      <c r="H137" s="3" t="str">
        <f ca="1">IFERROR(__xludf.DUMMYFUNCTION("GOOGLETRANSLATE(I137,""en"",""ta"")"),"வெள்ளி கூர்முனை சேவல் சீப்பு")</f>
        <v>வெள்ளி கூர்முனை சேவல் சீப்பு</v>
      </c>
      <c r="I137" s="4" t="s">
        <v>1701</v>
      </c>
      <c r="J137" s="3" t="str">
        <f ca="1">IFERROR(__xludf.DUMMYFUNCTION("GOOGLETRANSLATE(K137,""en"",""ta"")"),"குருகு")</f>
        <v>குருகு</v>
      </c>
      <c r="K137" s="4" t="s">
        <v>1702</v>
      </c>
      <c r="L137" s="3" t="str">
        <f ca="1">IFERROR(__xludf.DUMMYFUNCTION("GOOGLETRANSLATE(M137,""en"",""ta"")"),"எரிகாடா")</f>
        <v>எரிகாடா</v>
      </c>
      <c r="M137" s="4" t="s">
        <v>1703</v>
      </c>
      <c r="N137" s="3" t="str">
        <f ca="1">IFERROR(__xludf.DUMMYFUNCTION("GOOGLETRANSLATE(O137,""en"",""ta"")"),"சுஃபைத் முர்கா")</f>
        <v>சுஃபைத் முர்கா</v>
      </c>
      <c r="O137" s="4" t="s">
        <v>1704</v>
      </c>
      <c r="P137" s="3"/>
      <c r="Q137" s="3" t="str">
        <f ca="1">IFERROR(__xludf.DUMMYFUNCTION("GOOGLETRANSLATE(R137,""en"",""ta"")"),"நிமிர்ந்த, உரோமங்களற்ற வருடாந்திர மூலிகை. கீழே மரத்தாலான தண்டு மற்றும் மேலே மூலிகை. இலைகள் எளிமையானவை, மாற்று வழி, நேரியல், அரிதாக முட்டை வடிவானது அல்லது ஈட்டி வடிவானது. மலர்கள் அடர்த்தியானவை, தடித்தவை, உறைந்தவை மற்றும் இறகுகள் கொண்ட கூம்பு முதல் நீள்வட்ட"&amp;" கூம்பு வடிவ கூர்முனைகளில் சற்று இளஞ்சிவப்பு அல்லது வெள்ளை நிறத்தில் மின்னும். பளபளப்பான விதைகளுடன் கூடிய பழக் காப்ஸ்யூல்.")</f>
        <v>நிமிர்ந்த, உரோமங்களற்ற வருடாந்திர மூலிகை. கீழே மரத்தாலான தண்டு மற்றும் மேலே மூலிகை. இலைகள் எளிமையானவை, மாற்று வழி, நேரியல், அரிதாக முட்டை வடிவானது அல்லது ஈட்டி வடிவானது. மலர்கள் அடர்த்தியானவை, தடித்தவை, உறைந்தவை மற்றும் இறகுகள் கொண்ட கூம்பு முதல் நீள்வட்ட கூம்பு வடிவ கூர்முனைகளில் சற்று இளஞ்சிவப்பு அல்லது வெள்ளை நிறத்தில் மின்னும். பளபளப்பான விதைகளுடன் கூடிய பழக் காப்ஸ்யூல்.</v>
      </c>
      <c r="R137" s="4" t="s">
        <v>1705</v>
      </c>
      <c r="S137" s="3" t="str">
        <f ca="1">IFERROR(__xludf.DUMMYFUNCTION("GOOGLETRANSLATE(T137,""en"",""ta"")"),"#VALUE!")</f>
        <v>#VALUE!</v>
      </c>
      <c r="T137" s="3"/>
      <c r="U137" s="3" t="str">
        <f ca="1">IFERROR(__xludf.DUMMYFUNCTION("GOOGLETRANSLATE(V137,""en"",""ta"")"),"வயிற்றுப்போக்கு, வயிற்றுப்போக்கு, புண்கள், காசநோய்")</f>
        <v>வயிற்றுப்போக்கு, வயிற்றுப்போக்கு, புண்கள், காசநோய்</v>
      </c>
      <c r="V137" s="4" t="s">
        <v>1706</v>
      </c>
      <c r="W137" s="3" t="str">
        <f ca="1">IFERROR(__xludf.DUMMYFUNCTION("GOOGLETRANSLATE(X137,""en"",""ta"")"),"வயிற்றுப்போக்கு, வயிற்றுப்போக்கு, தோல் வெடிப்பு, காயங்கள், புண்கள், புண்கள், ஹிஸ்டீரியா மற்றும் காசநோய்.")</f>
        <v>வயிற்றுப்போக்கு, வயிற்றுப்போக்கு, தோல் வெடிப்பு, காயங்கள், புண்கள், புண்கள், ஹிஸ்டீரியா மற்றும் காசநோய்.</v>
      </c>
      <c r="X137" s="4" t="s">
        <v>1707</v>
      </c>
      <c r="Y137" s="3" t="str">
        <f ca="1">IFERROR(__xludf.DUMMYFUNCTION("GOOGLETRANSLATE(Z137,""en"",""ta"")"),"#VALUE!")</f>
        <v>#VALUE!</v>
      </c>
      <c r="Z137" s="3"/>
      <c r="AA137" s="3" t="str">
        <f ca="1">IFERROR(__xludf.DUMMYFUNCTION("GOOGLETRANSLATE(AB137,""en"",""ta"")"),"#VALUE!")</f>
        <v>#VALUE!</v>
      </c>
      <c r="AB137" s="3"/>
      <c r="AC137" s="3" t="str">
        <f ca="1">IFERROR(__xludf.DUMMYFUNCTION("GOOGLETRANSLATE(AD137,""en"",""ta"")"),"#VALUE!")</f>
        <v>#VALUE!</v>
      </c>
      <c r="AD137" s="3"/>
      <c r="AE137" s="3" t="str">
        <f ca="1">IFERROR(__xludf.DUMMYFUNCTION("GOOGLETRANSLATE(AF137,""en"",""ta"")"),"#VALUE!")</f>
        <v>#VALUE!</v>
      </c>
      <c r="AF137" s="3"/>
      <c r="AG137" s="3" t="str">
        <f ca="1">IFERROR(__xludf.DUMMYFUNCTION("GOOGLETRANSLATE(AH137,""en"",""ta"")"),"#VALUE!")</f>
        <v>#VALUE!</v>
      </c>
      <c r="AH137" s="3"/>
      <c r="AI137" s="3" t="str">
        <f ca="1">IFERROR(__xludf.DUMMYFUNCTION("GOOGLETRANSLATE(AJ137,""en"",""ta"")"),"#VALUE!")</f>
        <v>#VALUE!</v>
      </c>
      <c r="AJ137" s="3"/>
      <c r="AK137" s="3" t="str">
        <f ca="1">IFERROR(__xludf.DUMMYFUNCTION("GOOGLETRANSLATE(AL137,""en"",""ta"")"),"#VALUE!")</f>
        <v>#VALUE!</v>
      </c>
      <c r="AL137" s="3"/>
      <c r="AM137" s="3" t="str">
        <f ca="1">IFERROR(__xludf.DUMMYFUNCTION("GOOGLETRANSLATE(AN137,""en"",""ta"")"),"#VALUE!")</f>
        <v>#VALUE!</v>
      </c>
      <c r="AN137" s="3"/>
      <c r="AO137" s="3" t="str">
        <f ca="1">IFERROR(__xludf.DUMMYFUNCTION("GOOGLETRANSLATE(AP137,""en"",""ta"")"),"#VALUE!")</f>
        <v>#VALUE!</v>
      </c>
      <c r="AP137" s="3"/>
      <c r="AQ137" s="3"/>
      <c r="AR137" s="3" t="str">
        <f ca="1">IFERROR(__xludf.DUMMYFUNCTION("GOOGLETRANSLATE(AS137,""en"",""ta"")"),"அழற்சி எதிர்ப்பு, குளிர்ச்சி, பாக்டீரியா எதிர்ப்பு.")</f>
        <v>அழற்சி எதிர்ப்பு, குளிர்ச்சி, பாக்டீரியா எதிர்ப்பு.</v>
      </c>
      <c r="AS137" s="4" t="s">
        <v>1708</v>
      </c>
      <c r="AT137" s="3" t="str">
        <f ca="1">IFERROR(__xludf.DUMMYFUNCTION("GOOGLETRANSLATE(AU137,""en"",""ta"")"),"பி-அமிரின், பி-சிட்டோஸ்டெரால், பொட்டாசியம், டாரைன், ட்ரைடர்பெனாய்டு, சபோனின்கள், பி-நிகோடினிக் அமிலம், பென்சாயிக் அமிலம், செலபாஜின், செலபானின் மற்றும் செலபானிகின்.")</f>
        <v>பி-அமிரின், பி-சிட்டோஸ்டெரால், பொட்டாசியம், டாரைன், ட்ரைடர்பெனாய்டு, சபோனின்கள், பி-நிகோடினிக் அமிலம், பென்சாயிக் அமிலம், செலபாஜின், செலபானின் மற்றும் செலபானிகின்.</v>
      </c>
      <c r="AU137" s="4" t="s">
        <v>1709</v>
      </c>
      <c r="AV137" s="3"/>
      <c r="AW137" s="3" t="str">
        <f ca="1">IFERROR(__xludf.DUMMYFUNCTION("GOOGLETRANSLATE(AX137,""en"",""ta"")"),"i) வயிற்றுப்போக்கிற்கு விதைப் பொடி கொடுக்கப்படுகிறது. 
ii) பூக்களை தண்ணீரில் கொதிக்க வைத்து சாறு அதிகப்படியான மாதவிடாய் மற்றும் கண் நோய்களுக்குப் பயன்படுத்தப்படுகிறது.")</f>
        <v>i) வயிற்றுப்போக்கிற்கு விதைப் பொடி கொடுக்கப்படுகிறது. 
ii) பூக்களை தண்ணீரில் கொதிக்க வைத்து சாறு அதிகப்படியான மாதவிடாய் மற்றும் கண் நோய்களுக்குப் பயன்படுத்தப்படுகிறது.</v>
      </c>
      <c r="AX137" s="3" t="s">
        <v>2523</v>
      </c>
      <c r="AY137" s="3"/>
      <c r="AZ137" s="3"/>
      <c r="BA137" s="3"/>
      <c r="BB137" s="3"/>
      <c r="BC137" s="3"/>
      <c r="BD137" s="3"/>
      <c r="BE137" s="3"/>
      <c r="BF137" s="3"/>
    </row>
    <row r="138" spans="1:58" ht="70" x14ac:dyDescent="0.15">
      <c r="A138" s="3">
        <v>137</v>
      </c>
      <c r="B138" s="3" t="str">
        <f ca="1">IFERROR(__xludf.DUMMYFUNCTION("GOOGLETRANSLATE(C138,""en"",""ta"")"),"சென்டெல்லா ஆசியாட்டிகா")</f>
        <v>சென்டெல்லா ஆசியாட்டிகா</v>
      </c>
      <c r="C138" s="4" t="s">
        <v>1711</v>
      </c>
      <c r="D138" s="3" t="str">
        <f ca="1">IFERROR(__xludf.DUMMYFUNCTION("GOOGLETRANSLATE(E138,""en"",""ta"")"),"மண்டூகபர்ணி")</f>
        <v>மண்டூகபர்ணி</v>
      </c>
      <c r="E138" s="4" t="s">
        <v>1712</v>
      </c>
      <c r="F138" s="3" t="str">
        <f ca="1">IFERROR(__xludf.DUMMYFUNCTION("GOOGLETRANSLATE(G138,""en"",""ta"")"),"வல்லாரை")</f>
        <v>வல்லாரை</v>
      </c>
      <c r="G138" s="4" t="s">
        <v>1713</v>
      </c>
      <c r="H138" s="3" t="str">
        <f ca="1">IFERROR(__xludf.DUMMYFUNCTION("GOOGLETRANSLATE(I138,""en"",""ta"")"),"இந்திய பென்னி வோர்ட்")</f>
        <v>இந்திய பென்னி வோர்ட்</v>
      </c>
      <c r="I138" s="4" t="s">
        <v>1714</v>
      </c>
      <c r="J138" s="3" t="str">
        <f ca="1">IFERROR(__xludf.DUMMYFUNCTION("GOOGLETRANSLATE(K138,""en"",""ta"")"),"சரஸ்வதி அகு")</f>
        <v>சரஸ்வதி அகு</v>
      </c>
      <c r="K138" s="4" t="s">
        <v>1715</v>
      </c>
      <c r="L138" s="3" t="str">
        <f ca="1">IFERROR(__xludf.DUMMYFUNCTION("GOOGLETRANSLATE(M138,""en"",""ta"")"),"கோடங்கல்")</f>
        <v>கோடங்கல்</v>
      </c>
      <c r="M138" s="4" t="s">
        <v>1716</v>
      </c>
      <c r="N138" s="3" t="str">
        <f ca="1">IFERROR(__xludf.DUMMYFUNCTION("GOOGLETRANSLATE(O138,""en"",""ta"")"),"மண்டூகி")</f>
        <v>மண்டூகி</v>
      </c>
      <c r="O138" s="4" t="s">
        <v>1717</v>
      </c>
      <c r="P138" s="3"/>
      <c r="Q138" s="3" t="str">
        <f ca="1">IFERROR(__xludf.DUMMYFUNCTION("GOOGLETRANSLATE(R138,""en"",""ta"")"),"முனைகளில் வேரூன்றி நிற்கும், வற்றாத மூலிகைகள். இலைகள் சிறுநீரக வடிவிலானவை, பல் போன்றவை, இதய வடிவிலானவை மற்றும் பெரும்பாலும் மடல் கொண்டவை, நீண்ட இலைக்காம்பு கொண்டவை. மலர்கள் சிவப்பு, இளஞ்சிவப்பு அல்லது வெள்ளை நிறத்தில் குடை வடிவ அம்பல்களில் உள்ளன. பழங்கள் "&amp;"நீள்வட்டமாக, மந்தமான பழுப்பு நிறத்தில் மற்றும் பக்கவாட்டில் சுருக்கப்பட்டவை.")</f>
        <v>முனைகளில் வேரூன்றி நிற்கும், வற்றாத மூலிகைகள். இலைகள் சிறுநீரக வடிவிலானவை, பல் போன்றவை, இதய வடிவிலானவை மற்றும் பெரும்பாலும் மடல் கொண்டவை, நீண்ட இலைக்காம்பு கொண்டவை. மலர்கள் சிவப்பு, இளஞ்சிவப்பு அல்லது வெள்ளை நிறத்தில் குடை வடிவ அம்பல்களில் உள்ளன. பழங்கள் நீள்வட்டமாக, மந்தமான பழுப்பு நிறத்தில் மற்றும் பக்கவாட்டில் சுருக்கப்பட்டவை.</v>
      </c>
      <c r="R138" s="4" t="s">
        <v>1718</v>
      </c>
      <c r="S138" s="3" t="str">
        <f ca="1">IFERROR(__xludf.DUMMYFUNCTION("GOOGLETRANSLATE(T138,""en"",""ta"")"),"#VALUE!")</f>
        <v>#VALUE!</v>
      </c>
      <c r="T138" s="3"/>
      <c r="U138" s="3" t="str">
        <f ca="1">IFERROR(__xludf.DUMMYFUNCTION("GOOGLETRANSLATE(V138,""en"",""ta"")"),"#VALUE!")</f>
        <v>#VALUE!</v>
      </c>
      <c r="V138" s="3"/>
      <c r="W138" s="3" t="str">
        <f ca="1">IFERROR(__xludf.DUMMYFUNCTION("GOOGLETRANSLATE(X138,""en"",""ta"")"),"சிறுநீரகக் கோளாறுகள், தூக்கமின்மை, குரல்வளை அழற்சி, மூச்சுக்குழாய் அழற்சி, வயிற்றுக் கோளாறுகள், தொழுநோய், தொண்டை வலி, வெள்ளைப்படுதல் மற்றும் காய்ச்சல்")</f>
        <v>சிறுநீரகக் கோளாறுகள், தூக்கமின்மை, குரல்வளை அழற்சி, மூச்சுக்குழாய் அழற்சி, வயிற்றுக் கோளாறுகள், தொழுநோய், தொண்டை வலி, வெள்ளைப்படுதல் மற்றும் காய்ச்சல்</v>
      </c>
      <c r="X138" s="4" t="s">
        <v>1719</v>
      </c>
      <c r="Y138" s="3" t="str">
        <f ca="1">IFERROR(__xludf.DUMMYFUNCTION("GOOGLETRANSLATE(Z138,""en"",""ta"")"),"#VALUE!")</f>
        <v>#VALUE!</v>
      </c>
      <c r="Z138" s="3"/>
      <c r="AA138" s="3" t="str">
        <f ca="1">IFERROR(__xludf.DUMMYFUNCTION("GOOGLETRANSLATE(AB138,""en"",""ta"")"),"#VALUE!")</f>
        <v>#VALUE!</v>
      </c>
      <c r="AB138" s="3"/>
      <c r="AC138" s="3" t="str">
        <f ca="1">IFERROR(__xludf.DUMMYFUNCTION("GOOGLETRANSLATE(AD138,""en"",""ta"")"),"#VALUE!")</f>
        <v>#VALUE!</v>
      </c>
      <c r="AD138" s="3"/>
      <c r="AE138" s="3" t="str">
        <f ca="1">IFERROR(__xludf.DUMMYFUNCTION("GOOGLETRANSLATE(AF138,""en"",""ta"")"),"#VALUE!")</f>
        <v>#VALUE!</v>
      </c>
      <c r="AF138" s="3"/>
      <c r="AG138" s="3" t="str">
        <f ca="1">IFERROR(__xludf.DUMMYFUNCTION("GOOGLETRANSLATE(AH138,""en"",""ta"")"),"#VALUE!")</f>
        <v>#VALUE!</v>
      </c>
      <c r="AH138" s="3"/>
      <c r="AI138" s="3" t="str">
        <f ca="1">IFERROR(__xludf.DUMMYFUNCTION("GOOGLETRANSLATE(AJ138,""en"",""ta"")"),"#VALUE!")</f>
        <v>#VALUE!</v>
      </c>
      <c r="AJ138" s="3"/>
      <c r="AK138" s="3" t="str">
        <f ca="1">IFERROR(__xludf.DUMMYFUNCTION("GOOGLETRANSLATE(AL138,""en"",""ta"")"),"#VALUE!")</f>
        <v>#VALUE!</v>
      </c>
      <c r="AL138" s="3"/>
      <c r="AM138" s="3" t="str">
        <f ca="1">IFERROR(__xludf.DUMMYFUNCTION("GOOGLETRANSLATE(AN138,""en"",""ta"")"),"#VALUE!")</f>
        <v>#VALUE!</v>
      </c>
      <c r="AN138" s="3"/>
      <c r="AO138" s="3" t="str">
        <f ca="1">IFERROR(__xludf.DUMMYFUNCTION("GOOGLETRANSLATE(AP138,""en"",""ta"")"),"#VALUE!")</f>
        <v>#VALUE!</v>
      </c>
      <c r="AP138" s="3"/>
      <c r="AQ138" s="3"/>
      <c r="AR138" s="3" t="str">
        <f ca="1">IFERROR(__xludf.DUMMYFUNCTION("GOOGLETRANSLATE(AS138,""en"",""ta"")"),"கூலண்ட், கார்டியாக் டானிக், நரம்பு டானிக், வயிற்று வலி நிவாரணி, தொழுநோய் எதிர்ப்பு, டையூரிடிக், ஃபெப்ரிஃபியூஜ் மற்றும் கார்மினேட்டிவ்.")</f>
        <v>கூலண்ட், கார்டியாக் டானிக், நரம்பு டானிக், வயிற்று வலி நிவாரணி, தொழுநோய் எதிர்ப்பு, டையூரிடிக், ஃபெப்ரிஃபியூஜ் மற்றும் கார்மினேட்டிவ்.</v>
      </c>
      <c r="AS138" s="4" t="s">
        <v>1720</v>
      </c>
      <c r="AT138" s="3" t="str">
        <f ca="1">IFERROR(__xludf.DUMMYFUNCTION("GOOGLETRANSLATE(AU138,""en"",""ta"")"),"ஆசியாடிகோசைடு, சென்டெல்லோசைடு, ஆக்ஸியாசிட்டிகோசைடு, பி-காரியோபிலீன், பிரம்மோசைடு, சென்டெல்லின், மடாசியாடிக் அமிலம் மற்றும் ஏ-ஹுமுலீன்.")</f>
        <v>ஆசியாடிகோசைடு, சென்டெல்லோசைடு, ஆக்ஸியாசிட்டிகோசைடு, பி-காரியோபிலீன், பிரம்மோசைடு, சென்டெல்லின், மடாசியாடிக் அமிலம் மற்றும் ஏ-ஹுமுலீன்.</v>
      </c>
      <c r="AU138" s="4" t="s">
        <v>1721</v>
      </c>
      <c r="AV138" s="3"/>
      <c r="AW138" s="3" t="str">
        <f ca="1">IFERROR(__xludf.DUMMYFUNCTION("GOOGLETRANSLATE(AX138,""en"",""ta"")"),"i) வயிற்றுப் புண்களுக்கும், மனவளர்ச்சி குன்றிய குழந்தைகளுக்கும் இலை விழுது உட்புறமாக கொடுக்கப்படுகிறது.
ii) இலை விழுது உட்புறமாகவும், வெளிப்புறமாகவும் சிபிலிடிக் நோய்க்கு பயன்படுத்தப்படுகிறது.")</f>
        <v>i) வயிற்றுப் புண்களுக்கும், மனவளர்ச்சி குன்றிய குழந்தைகளுக்கும் இலை விழுது உட்புறமாக கொடுக்கப்படுகிறது.
ii) இலை விழுது உட்புறமாகவும், வெளிப்புறமாகவும் சிபிலிடிக் நோய்க்கு பயன்படுத்தப்படுகிறது.</v>
      </c>
      <c r="AX138" s="3" t="s">
        <v>2524</v>
      </c>
      <c r="AY138" s="3"/>
      <c r="AZ138" s="3"/>
      <c r="BA138" s="3"/>
      <c r="BB138" s="3"/>
      <c r="BC138" s="3"/>
      <c r="BD138" s="3"/>
      <c r="BE138" s="3"/>
      <c r="BF138" s="3"/>
    </row>
    <row r="139" spans="1:58" ht="42" x14ac:dyDescent="0.15">
      <c r="A139" s="3">
        <v>138</v>
      </c>
      <c r="B139" s="3" t="str">
        <f ca="1">IFERROR(__xludf.DUMMYFUNCTION("GOOGLETRANSLATE(C139,""en"",""ta"")"),"செர்பெரா ஓடோம்")</f>
        <v>செர்பெரா ஓடோம்</v>
      </c>
      <c r="C139" s="4" t="s">
        <v>1723</v>
      </c>
      <c r="D139" s="3" t="str">
        <f ca="1">IFERROR(__xludf.DUMMYFUNCTION("GOOGLETRANSLATE(E139,""en"",""ta"")"),"அவுத்தலகா")</f>
        <v>அவுத்தலகா</v>
      </c>
      <c r="E139" s="4" t="s">
        <v>1724</v>
      </c>
      <c r="F139" s="3" t="str">
        <f ca="1">IFERROR(__xludf.DUMMYFUNCTION("GOOGLETRANSLATE(G139,""en"",""ta"")"),"கட்டு அரளி")</f>
        <v>கட்டு அரளி</v>
      </c>
      <c r="G139" s="4" t="s">
        <v>1725</v>
      </c>
      <c r="H139" s="3" t="str">
        <f ca="1">IFERROR(__xludf.DUMMYFUNCTION("GOOGLETRANSLATE(I139,""en"",""ta"")"),"டாக்பேன்")</f>
        <v>டாக்பேன்</v>
      </c>
      <c r="I139" s="4" t="s">
        <v>1726</v>
      </c>
      <c r="J139" s="3" t="str">
        <f ca="1">IFERROR(__xludf.DUMMYFUNCTION("GOOGLETRANSLATE(K139,""en"",""ta"")"),"அடாவ அரளி")</f>
        <v>அடாவ அரளி</v>
      </c>
      <c r="K139" s="4" t="s">
        <v>1727</v>
      </c>
      <c r="L139" s="3" t="str">
        <f ca="1">IFERROR(__xludf.DUMMYFUNCTION("GOOGLETRANSLATE(M139,""en"",""ta"")"),"சட்டர்காயா")</f>
        <v>சட்டர்காயா</v>
      </c>
      <c r="M139" s="4" t="s">
        <v>1728</v>
      </c>
      <c r="N139" s="3" t="str">
        <f ca="1">IFERROR(__xludf.DUMMYFUNCTION("GOOGLETRANSLATE(O139,""en"",""ta"")"),"பிலிகிர்பீர்")</f>
        <v>பிலிகிர்பீர்</v>
      </c>
      <c r="O139" s="4" t="s">
        <v>1729</v>
      </c>
      <c r="P139" s="3"/>
      <c r="Q139" s="3" t="str">
        <f ca="1">IFERROR(__xludf.DUMMYFUNCTION("GOOGLETRANSLATE(R139,""en"",""ta"")"),"ஒரு சிறிய பசுமையான உரோமங்களற்ற மரம். இலைகள் எளிமையானவை, கோரியேசியஸ், ஈட்டி வடிவானது, மாற்று வடிவானது, நீண்ட பிரகாசமான பச்சை மற்றும் சதைப்பற்றுள்ளவை. மஞ்சரி பெரியது, வெள்ளை அல்லது சிவப்பு நிறமானது, போலி முனைய மஞ்சரி சைம்களில் காணப்படும். பழங்கள் கோள வடிவ ந"&amp;"ீள்வட்ட ட்ரூப்ஸ். விதைகள் அகலமானவை, சுருக்கப்பட்டவை மற்றும் ஒரு விதை கொண்டவை.")</f>
        <v>ஒரு சிறிய பசுமையான உரோமங்களற்ற மரம். இலைகள் எளிமையானவை, கோரியேசியஸ், ஈட்டி வடிவானது, மாற்று வடிவானது, நீண்ட பிரகாசமான பச்சை மற்றும் சதைப்பற்றுள்ளவை. மஞ்சரி பெரியது, வெள்ளை அல்லது சிவப்பு நிறமானது, போலி முனைய மஞ்சரி சைம்களில் காணப்படும். பழங்கள் கோள வடிவ நீள்வட்ட ட்ரூப்ஸ். விதைகள் அகலமானவை, சுருக்கப்பட்டவை மற்றும் ஒரு விதை கொண்டவை.</v>
      </c>
      <c r="R139" s="4" t="s">
        <v>1730</v>
      </c>
      <c r="S139" s="3" t="str">
        <f ca="1">IFERROR(__xludf.DUMMYFUNCTION("GOOGLETRANSLATE(T139,""en"",""ta"")"),"#VALUE!")</f>
        <v>#VALUE!</v>
      </c>
      <c r="T139" s="3"/>
      <c r="U139" s="3" t="str">
        <f ca="1">IFERROR(__xludf.DUMMYFUNCTION("GOOGLETRANSLATE(V139,""en"",""ta"")"),"குற்றவியல் கருக்கலைப்பு")</f>
        <v>குற்றவியல் கருக்கலைப்பு</v>
      </c>
      <c r="V139" s="4" t="s">
        <v>1731</v>
      </c>
      <c r="W139" s="3" t="str">
        <f ca="1">IFERROR(__xludf.DUMMYFUNCTION("GOOGLETRANSLATE(X139,""en"",""ta"")"),"ரிங்வோர்ம் தொற்று")</f>
        <v>ரிங்வோர்ம் தொற்று</v>
      </c>
      <c r="X139" s="4" t="s">
        <v>1732</v>
      </c>
      <c r="Y139" s="3" t="str">
        <f ca="1">IFERROR(__xludf.DUMMYFUNCTION("GOOGLETRANSLATE(Z139,""en"",""ta"")"),"#VALUE!")</f>
        <v>#VALUE!</v>
      </c>
      <c r="Z139" s="3"/>
      <c r="AA139" s="3" t="str">
        <f ca="1">IFERROR(__xludf.DUMMYFUNCTION("GOOGLETRANSLATE(AB139,""en"",""ta"")"),"நீர் வெறுப்பு")</f>
        <v>நீர் வெறுப்பு</v>
      </c>
      <c r="AB139" s="4" t="s">
        <v>1733</v>
      </c>
      <c r="AC139" s="3" t="str">
        <f ca="1">IFERROR(__xludf.DUMMYFUNCTION("GOOGLETRANSLATE(AD139,""en"",""ta"")"),"#VALUE!")</f>
        <v>#VALUE!</v>
      </c>
      <c r="AD139" s="3"/>
      <c r="AE139" s="3" t="str">
        <f ca="1">IFERROR(__xludf.DUMMYFUNCTION("GOOGLETRANSLATE(AF139,""en"",""ta"")"),"#VALUE!")</f>
        <v>#VALUE!</v>
      </c>
      <c r="AF139" s="3"/>
      <c r="AG139" s="3" t="str">
        <f ca="1">IFERROR(__xludf.DUMMYFUNCTION("GOOGLETRANSLATE(AH139,""en"",""ta"")"),"#VALUE!")</f>
        <v>#VALUE!</v>
      </c>
      <c r="AH139" s="3"/>
      <c r="AI139" s="3" t="str">
        <f ca="1">IFERROR(__xludf.DUMMYFUNCTION("GOOGLETRANSLATE(AJ139,""en"",""ta"")"),"#VALUE!")</f>
        <v>#VALUE!</v>
      </c>
      <c r="AJ139" s="3"/>
      <c r="AK139" s="3" t="str">
        <f ca="1">IFERROR(__xludf.DUMMYFUNCTION("GOOGLETRANSLATE(AL139,""en"",""ta"")"),"#VALUE!")</f>
        <v>#VALUE!</v>
      </c>
      <c r="AL139" s="3"/>
      <c r="AM139" s="3" t="str">
        <f ca="1">IFERROR(__xludf.DUMMYFUNCTION("GOOGLETRANSLATE(AN139,""en"",""ta"")"),"#VALUE!")</f>
        <v>#VALUE!</v>
      </c>
      <c r="AN139" s="3"/>
      <c r="AO139" s="3" t="str">
        <f ca="1">IFERROR(__xludf.DUMMYFUNCTION("GOOGLETRANSLATE(AP139,""en"",""ta"")"),"#VALUE!")</f>
        <v>#VALUE!</v>
      </c>
      <c r="AP139" s="3"/>
      <c r="AQ139" s="3"/>
      <c r="AR139" s="3" t="str">
        <f ca="1">IFERROR(__xludf.DUMMYFUNCTION("GOOGLETRANSLATE(AS139,""en"",""ta"")"),"வாந்தி நீக்கி, கத்தார்டிக், மலமிளக்கி, ருபேஃபேசியன்ட் மற்றும் சுத்திகரிப்பு.")</f>
        <v>வாந்தி நீக்கி, கத்தார்டிக், மலமிளக்கி, ருபேஃபேசியன்ட் மற்றும் சுத்திகரிப்பு.</v>
      </c>
      <c r="AS139" s="4" t="s">
        <v>1734</v>
      </c>
      <c r="AT139" s="3" t="str">
        <f ca="1">IFERROR(__xludf.DUMMYFUNCTION("GOOGLETRANSLATE(AU139,""en"",""ta"")"),"சக்சினிக் அமிலம், செர்பினல், டெர்பெரிக் அமிலம், செர்பெரினிக் அமிலம்.")</f>
        <v>சக்சினிக் அமிலம், செர்பினல், டெர்பெரிக் அமிலம், செர்பெரினிக் அமிலம்.</v>
      </c>
      <c r="AU139" s="4" t="s">
        <v>1735</v>
      </c>
      <c r="AV139" s="3"/>
      <c r="AW139" s="3" t="str">
        <f ca="1">IFERROR(__xludf.DUMMYFUNCTION("GOOGLETRANSLATE(AX139,""en"",""ta"")"),"i) 
ஹைட்ரோபோபியாவுக்கு பழம் குறைந்தபட்ச அளவில் கொடுக்கப்படுகிறது. 
ii) பட்டை கஷாயம் ஒரு மலமிளக்கியாகும்.")</f>
        <v>i) 
ஹைட்ரோபோபியாவுக்கு பழம் குறைந்தபட்ச அளவில் கொடுக்கப்படுகிறது. 
ii) பட்டை கஷாயம் ஒரு மலமிளக்கியாகும்.</v>
      </c>
      <c r="AX139" s="3" t="s">
        <v>2525</v>
      </c>
      <c r="AY139" s="3"/>
      <c r="AZ139" s="3"/>
      <c r="BA139" s="3"/>
      <c r="BB139" s="3"/>
      <c r="BC139" s="3"/>
      <c r="BD139" s="3"/>
      <c r="BE139" s="3"/>
      <c r="BF139" s="3"/>
    </row>
    <row r="140" spans="1:58" ht="56" x14ac:dyDescent="0.15">
      <c r="A140" s="3">
        <v>139</v>
      </c>
      <c r="B140" s="3" t="str">
        <f ca="1">IFERROR(__xludf.DUMMYFUNCTION("GOOGLETRANSLATE(C140,""en"",""ta"")"),"சிசர் அரியெட்டினம்")</f>
        <v>சிசர் அரியெட்டினம்</v>
      </c>
      <c r="C140" s="4" t="s">
        <v>1737</v>
      </c>
      <c r="D140" s="3" t="str">
        <f ca="1">IFERROR(__xludf.DUMMYFUNCTION("GOOGLETRANSLATE(E140,""en"",""ta"")"),"சனகா")</f>
        <v>சனகா</v>
      </c>
      <c r="E140" s="4" t="s">
        <v>1738</v>
      </c>
      <c r="F140" s="3" t="str">
        <f ca="1">IFERROR(__xludf.DUMMYFUNCTION("GOOGLETRANSLATE(G140,""en"",""ta"")"),"கொண்ட கடலை")</f>
        <v>கொண்ட கடலை</v>
      </c>
      <c r="G140" s="4" t="s">
        <v>1739</v>
      </c>
      <c r="H140" s="3" t="str">
        <f ca="1">IFERROR(__xludf.DUMMYFUNCTION("GOOGLETRANSLATE(I140,""en"",""ta"")"),"கடலை பருப்பு")</f>
        <v>கடலை பருப்பு</v>
      </c>
      <c r="I140" s="4" t="s">
        <v>1740</v>
      </c>
      <c r="J140" s="3" t="str">
        <f ca="1">IFERROR(__xludf.DUMMYFUNCTION("GOOGLETRANSLATE(K140,""en"",""ta"")"),"சனகலு")</f>
        <v>சனகலு</v>
      </c>
      <c r="K140" s="4" t="s">
        <v>1741</v>
      </c>
      <c r="L140" s="3" t="str">
        <f ca="1">IFERROR(__xludf.DUMMYFUNCTION("GOOGLETRANSLATE(M140,""en"",""ta"")"),"கடலா")</f>
        <v>கடலா</v>
      </c>
      <c r="M140" s="4" t="s">
        <v>1742</v>
      </c>
      <c r="N140" s="3" t="str">
        <f ca="1">IFERROR(__xludf.DUMMYFUNCTION("GOOGLETRANSLATE(O140,""en"",""ta"")"),"சன்னா")</f>
        <v>சன்னா</v>
      </c>
      <c r="O140" s="4" t="s">
        <v>1743</v>
      </c>
      <c r="P140" s="3"/>
      <c r="Q140" s="3" t="str">
        <f ca="1">IFERROR(__xludf.DUMMYFUNCTION("GOOGLETRANSLATE(R140,""en"",""ta"")"),"வருடாந்திர மூலிகை செடி, கிளைகள் விரிந்து, உரோமங்களுடன் காணப்படும். இலைகள் பின்னே, 9-15 ஜோடிகள் சிற்றிலைகளாக, மாறி மாறி, சிறிய நீள்வட்ட வடிவமாகவும், இருபுறமும் சுரப்பி முடிகளால் மூடப்பட்டதாகவும் இருக்கும். மலர்கள் இலைக்கோணங்களில், தனித்த, இளஞ்சிவப்பு, நீலம"&amp;"் அல்லது வெள்ளை, பாப்பிலியோனேசியஸ். பழங்கள் காய்கள், 1 அல்லது 2 விதைகள் கொண்டவை.")</f>
        <v>வருடாந்திர மூலிகை செடி, கிளைகள் விரிந்து, உரோமங்களுடன் காணப்படும். இலைகள் பின்னே, 9-15 ஜோடிகள் சிற்றிலைகளாக, மாறி மாறி, சிறிய நீள்வட்ட வடிவமாகவும், இருபுறமும் சுரப்பி முடிகளால் மூடப்பட்டதாகவும் இருக்கும். மலர்கள் இலைக்கோணங்களில், தனித்த, இளஞ்சிவப்பு, நீலம் அல்லது வெள்ளை, பாப்பிலியோனேசியஸ். பழங்கள் காய்கள், 1 அல்லது 2 விதைகள் கொண்டவை.</v>
      </c>
      <c r="R140" s="4" t="s">
        <v>1744</v>
      </c>
      <c r="S140" s="3" t="str">
        <f ca="1">IFERROR(__xludf.DUMMYFUNCTION("GOOGLETRANSLATE(T140,""en"",""ta"")"),"#VALUE!")</f>
        <v>#VALUE!</v>
      </c>
      <c r="T140" s="3"/>
      <c r="U140" s="3" t="str">
        <f ca="1">IFERROR(__xludf.DUMMYFUNCTION("GOOGLETRANSLATE(V140,""en"",""ta"")"),"ஹைப்பர்டிப்சியா, எரியும் உணர்வு, ஹெபடோஸ்ப்ளெனோமேகலி, தோல் நோய் மற்றும் தொண்டை கோளாறுகள்.")</f>
        <v>ஹைப்பர்டிப்சியா, எரியும் உணர்வு, ஹெபடோஸ்ப்ளெனோமேகலி, தோல் நோய் மற்றும் தொண்டை கோளாறுகள்.</v>
      </c>
      <c r="V140" s="4" t="s">
        <v>1745</v>
      </c>
      <c r="W140" s="3" t="str">
        <f ca="1">IFERROR(__xludf.DUMMYFUNCTION("GOOGLETRANSLATE(X140,""en"",""ta"")"),"பசியின்மை, டிஸ்ஸ்பெசியா, மூச்சுக்குழாய் அழற்சி, சுளுக்கு, மலச்சிக்கல் மற்றும் கைகால்கள் இடம்பெயர்வு.")</f>
        <v>பசியின்மை, டிஸ்ஸ்பெசியா, மூச்சுக்குழாய் அழற்சி, சுளுக்கு, மலச்சிக்கல் மற்றும் கைகால்கள் இடம்பெயர்வு.</v>
      </c>
      <c r="X140" s="4" t="s">
        <v>1746</v>
      </c>
      <c r="Y140" s="3" t="str">
        <f ca="1">IFERROR(__xludf.DUMMYFUNCTION("GOOGLETRANSLATE(Z140,""en"",""ta"")"),"#VALUE!")</f>
        <v>#VALUE!</v>
      </c>
      <c r="Z140" s="3"/>
      <c r="AA140" s="3" t="str">
        <f ca="1">IFERROR(__xludf.DUMMYFUNCTION("GOOGLETRANSLATE(AB140,""en"",""ta"")"),"#VALUE!")</f>
        <v>#VALUE!</v>
      </c>
      <c r="AB140" s="3"/>
      <c r="AC140" s="3" t="str">
        <f ca="1">IFERROR(__xludf.DUMMYFUNCTION("GOOGLETRANSLATE(AD140,""en"",""ta"")"),"#VALUE!")</f>
        <v>#VALUE!</v>
      </c>
      <c r="AD140" s="3"/>
      <c r="AE140" s="3" t="str">
        <f ca="1">IFERROR(__xludf.DUMMYFUNCTION("GOOGLETRANSLATE(AF140,""en"",""ta"")"),"#VALUE!")</f>
        <v>#VALUE!</v>
      </c>
      <c r="AF140" s="3"/>
      <c r="AG140" s="3" t="str">
        <f ca="1">IFERROR(__xludf.DUMMYFUNCTION("GOOGLETRANSLATE(AH140,""en"",""ta"")"),"#VALUE!")</f>
        <v>#VALUE!</v>
      </c>
      <c r="AH140" s="3"/>
      <c r="AI140" s="3" t="str">
        <f ca="1">IFERROR(__xludf.DUMMYFUNCTION("GOOGLETRANSLATE(AJ140,""en"",""ta"")"),"#VALUE!")</f>
        <v>#VALUE!</v>
      </c>
      <c r="AJ140" s="3"/>
      <c r="AK140" s="3" t="str">
        <f ca="1">IFERROR(__xludf.DUMMYFUNCTION("GOOGLETRANSLATE(AL140,""en"",""ta"")"),"#VALUE!")</f>
        <v>#VALUE!</v>
      </c>
      <c r="AL140" s="3"/>
      <c r="AM140" s="3" t="str">
        <f ca="1">IFERROR(__xludf.DUMMYFUNCTION("GOOGLETRANSLATE(AN140,""en"",""ta"")"),"#VALUE!")</f>
        <v>#VALUE!</v>
      </c>
      <c r="AN140" s="3"/>
      <c r="AO140" s="3" t="str">
        <f ca="1">IFERROR(__xludf.DUMMYFUNCTION("GOOGLETRANSLATE(AP140,""en"",""ta"")"),"#VALUE!")</f>
        <v>#VALUE!</v>
      </c>
      <c r="AP140" s="3"/>
      <c r="AQ140" s="3"/>
      <c r="AR140" s="3" t="str">
        <f ca="1">IFERROR(__xludf.DUMMYFUNCTION("GOOGLETRANSLATE(AS140,""en"",""ta"")"),"டானிக், துவர்ப்பு மருந்து, சளி நீக்கி, பாலுணர்வூக்கி, பிலியஸ் எதிர்ப்பு, மன அழுத்த எதிர்ப்பு, ஹைப்பர்லிபிடெமிக் எதிர்ப்பு மற்றும் ஆன்டெல்மிண்டிக்")</f>
        <v>டானிக், துவர்ப்பு மருந்து, சளி நீக்கி, பாலுணர்வூக்கி, பிலியஸ் எதிர்ப்பு, மன அழுத்த எதிர்ப்பு, ஹைப்பர்லிபிடெமிக் எதிர்ப்பு மற்றும் ஆன்டெல்மிண்டிக்</v>
      </c>
      <c r="AS140" s="4" t="s">
        <v>1747</v>
      </c>
      <c r="AT140" s="3" t="str">
        <f ca="1">IFERROR(__xludf.DUMMYFUNCTION("GOOGLETRANSLATE(AU140,""en"",""ta"")"),"வெண்ணிலிக் அமிலம், பி-ஹைட்ராக்ஸி பென்சாயிக் அமிலம், ஆக்ஸாலிக் அமிலம், அசிட்டிக் அமிலம், பங்கமிகா அமிலம் மற்றும் மாலிகா அமிலங்கள்.")</f>
        <v>வெண்ணிலிக் அமிலம், பி-ஹைட்ராக்ஸி பென்சாயிக் அமிலம், ஆக்ஸாலிக் அமிலம், அசிட்டிக் அமிலம், பங்கமிகா அமிலம் மற்றும் மாலிகா அமிலங்கள்.</v>
      </c>
      <c r="AU140" s="4" t="s">
        <v>1748</v>
      </c>
      <c r="AV140" s="3"/>
      <c r="AW140" s="3" t="str">
        <f ca="1">IFERROR(__xludf.DUMMYFUNCTION("GOOGLETRANSLATE(AX140,""en"",""ta"")"),"i) புரதச் சத்து காரணமாக பருப்பாக பரவலாகப் பயன்படுத்தப்படுகிறது. 
ii) இலைச் சாறு வயிற்றுக்கு மருந்தாகவும், மலமிளக்கியாகவும் கொடுக்கப்படுகிறது.")</f>
        <v>i) புரதச் சத்து காரணமாக பருப்பாக பரவலாகப் பயன்படுத்தப்படுகிறது. 
ii) இலைச் சாறு வயிற்றுக்கு மருந்தாகவும், மலமிளக்கியாகவும் கொடுக்கப்படுகிறது.</v>
      </c>
      <c r="AX140" s="3" t="s">
        <v>2526</v>
      </c>
      <c r="AY140" s="3"/>
      <c r="AZ140" s="3"/>
      <c r="BA140" s="3"/>
      <c r="BB140" s="3"/>
      <c r="BC140" s="3"/>
      <c r="BD140" s="3"/>
      <c r="BE140" s="3"/>
      <c r="BF140" s="3"/>
    </row>
    <row r="141" spans="1:58" ht="70" x14ac:dyDescent="0.15">
      <c r="A141" s="3">
        <v>140</v>
      </c>
      <c r="B141" s="3" t="str">
        <f ca="1">IFERROR(__xludf.DUMMYFUNCTION("GOOGLETRANSLATE(C141,""en"",""ta"")"),"சிக்கோரியம் இன்டிபஸ்")</f>
        <v>சிக்கோரியம் இன்டிபஸ்</v>
      </c>
      <c r="C141" s="4" t="s">
        <v>1750</v>
      </c>
      <c r="D141" s="3" t="str">
        <f ca="1">IFERROR(__xludf.DUMMYFUNCTION("GOOGLETRANSLATE(E141,""en"",""ta"")"),"கசானி")</f>
        <v>கசானி</v>
      </c>
      <c r="E141" s="4" t="s">
        <v>1751</v>
      </c>
      <c r="F141" s="3" t="str">
        <f ca="1">IFERROR(__xludf.DUMMYFUNCTION("GOOGLETRANSLATE(G141,""en"",""ta"")"),"காசினி கீரை")</f>
        <v>காசினி கீரை</v>
      </c>
      <c r="G141" s="4" t="s">
        <v>1752</v>
      </c>
      <c r="H141" s="3" t="str">
        <f ca="1">IFERROR(__xludf.DUMMYFUNCTION("GOOGLETRANSLATE(I141,""en"",""ta"")"),"காட்டு சிக்கரி")</f>
        <v>காட்டு சிக்கரி</v>
      </c>
      <c r="I141" s="4" t="s">
        <v>1753</v>
      </c>
      <c r="J141" s="3" t="str">
        <f ca="1">IFERROR(__xludf.DUMMYFUNCTION("GOOGLETRANSLATE(K141,""en"",""ta"")"),"காசினி விட்டுலு")</f>
        <v>காசினி விட்டுலு</v>
      </c>
      <c r="K141" s="4" t="s">
        <v>1754</v>
      </c>
      <c r="L141" s="3" t="str">
        <f ca="1">IFERROR(__xludf.DUMMYFUNCTION("GOOGLETRANSLATE(M141,""en"",""ta"")"),"முன்சட்டி")</f>
        <v>முன்சட்டி</v>
      </c>
      <c r="M141" s="4" t="s">
        <v>1755</v>
      </c>
      <c r="N141" s="3" t="str">
        <f ca="1">IFERROR(__xludf.DUMMYFUNCTION("GOOGLETRANSLATE(O141,""en"",""ta"")"),"காஸ்னி")</f>
        <v>காஸ்னி</v>
      </c>
      <c r="O141" s="4" t="s">
        <v>1756</v>
      </c>
      <c r="P141" s="3"/>
      <c r="Q141" s="3" t="str">
        <f ca="1">IFERROR(__xludf.DUMMYFUNCTION("GOOGLETRANSLATE(R141,""en"",""ta"")"),"மென்மையான கிளைகளைக் கொண்ட ஒரு நிமிர்ந்த வற்றாத மூலிகை. இலைகள் இதய வடிவிலானவை, ஆம்ப்ளெக்ஸிகல், கரடுமுரடானவை மற்றும் செவ்வக வடிவிலானவை, விரும்பத்தகாத வாசனையுடன் இருக்கும். தலை மஞ்சரியில் பூ நீல நிறத்தில் மஞ்சள் நிறமாக மாறி, ஒரே மாதிரியானவை. பழங்கள் அசீன். வ"&amp;"ிதைகள் வெள்ளை அல்லது சாம்பல் நிறமாகவும், சற்று கசப்பாகவும் இருக்கும். வேர்கள் பசுவின் வாலை ஒத்திருக்கும்.")</f>
        <v>மென்மையான கிளைகளைக் கொண்ட ஒரு நிமிர்ந்த வற்றாத மூலிகை. இலைகள் இதய வடிவிலானவை, ஆம்ப்ளெக்ஸிகல், கரடுமுரடானவை மற்றும் செவ்வக வடிவிலானவை, விரும்பத்தகாத வாசனையுடன் இருக்கும். தலை மஞ்சரியில் பூ நீல நிறத்தில் மஞ்சள் நிறமாக மாறி, ஒரே மாதிரியானவை. பழங்கள் அசீன். விதைகள் வெள்ளை அல்லது சாம்பல் நிறமாகவும், சற்று கசப்பாகவும் இருக்கும். வேர்கள் பசுவின் வாலை ஒத்திருக்கும்.</v>
      </c>
      <c r="R141" s="4" t="s">
        <v>1757</v>
      </c>
      <c r="S141" s="3" t="str">
        <f ca="1">IFERROR(__xludf.DUMMYFUNCTION("GOOGLETRANSLATE(T141,""en"",""ta"")"),"டிஸ்பெப்சியா, காய்ச்சல்.")</f>
        <v>டிஸ்பெப்சியா, காய்ச்சல்.</v>
      </c>
      <c r="T141" s="4" t="s">
        <v>1758</v>
      </c>
      <c r="U141" s="3" t="str">
        <f ca="1">IFERROR(__xludf.DUMMYFUNCTION("GOOGLETRANSLATE(V141,""en"",""ta"")"),"சொட்டு மருந்து, ஒழுங்கற்ற மாதவிடாய்.")</f>
        <v>சொட்டு மருந்து, ஒழுங்கற்ற மாதவிடாய்.</v>
      </c>
      <c r="V141" s="4" t="s">
        <v>1759</v>
      </c>
      <c r="W141" s="3" t="str">
        <f ca="1">IFERROR(__xludf.DUMMYFUNCTION("GOOGLETRANSLATE(X141,""en"",""ta"")"),"#VALUE!")</f>
        <v>#VALUE!</v>
      </c>
      <c r="X141" s="3"/>
      <c r="Y141" s="3" t="str">
        <f ca="1">IFERROR(__xludf.DUMMYFUNCTION("GOOGLETRANSLATE(Z141,""en"",""ta"")"),"கல்லீரல் கோளாறுகள்.")</f>
        <v>கல்லீரல் கோளாறுகள்.</v>
      </c>
      <c r="Z141" s="4" t="s">
        <v>1760</v>
      </c>
      <c r="AA141" s="3" t="str">
        <f ca="1">IFERROR(__xludf.DUMMYFUNCTION("GOOGLETRANSLATE(AB141,""en"",""ta"")"),"#VALUE!")</f>
        <v>#VALUE!</v>
      </c>
      <c r="AB141" s="3"/>
      <c r="AC141" s="3" t="str">
        <f ca="1">IFERROR(__xludf.DUMMYFUNCTION("GOOGLETRANSLATE(AD141,""en"",""ta"")"),"#VALUE!")</f>
        <v>#VALUE!</v>
      </c>
      <c r="AD141" s="3"/>
      <c r="AE141" s="3" t="str">
        <f ca="1">IFERROR(__xludf.DUMMYFUNCTION("GOOGLETRANSLATE(AF141,""en"",""ta"")"),"#VALUE!")</f>
        <v>#VALUE!</v>
      </c>
      <c r="AF141" s="3"/>
      <c r="AG141" s="3" t="str">
        <f ca="1">IFERROR(__xludf.DUMMYFUNCTION("GOOGLETRANSLATE(AH141,""en"",""ta"")"),"#VALUE!")</f>
        <v>#VALUE!</v>
      </c>
      <c r="AH141" s="3"/>
      <c r="AI141" s="3" t="str">
        <f ca="1">IFERROR(__xludf.DUMMYFUNCTION("GOOGLETRANSLATE(AJ141,""en"",""ta"")"),"#VALUE!")</f>
        <v>#VALUE!</v>
      </c>
      <c r="AJ141" s="3"/>
      <c r="AK141" s="3" t="str">
        <f ca="1">IFERROR(__xludf.DUMMYFUNCTION("GOOGLETRANSLATE(AL141,""en"",""ta"")"),"#VALUE!")</f>
        <v>#VALUE!</v>
      </c>
      <c r="AL141" s="3"/>
      <c r="AM141" s="3" t="str">
        <f ca="1">IFERROR(__xludf.DUMMYFUNCTION("GOOGLETRANSLATE(AN141,""en"",""ta"")"),"#VALUE!")</f>
        <v>#VALUE!</v>
      </c>
      <c r="AN141" s="3"/>
      <c r="AO141" s="3" t="str">
        <f ca="1">IFERROR(__xludf.DUMMYFUNCTION("GOOGLETRANSLATE(AP141,""en"",""ta"")"),"#VALUE!")</f>
        <v>#VALUE!</v>
      </c>
      <c r="AP141" s="3"/>
      <c r="AQ141" s="3"/>
      <c r="AR141" s="3" t="str">
        <f ca="1">IFERROR(__xludf.DUMMYFUNCTION("GOOGLETRANSLATE(AS141,""en"",""ta"")"),"செரிமான, வயிற்று, டானிக், அபெரியண்ட், டையூரிடிக், ஆல்டரேட்டிவ் மற்றும் கார்மினேட்டிவ்.")</f>
        <v>செரிமான, வயிற்று, டானிக், அபெரியண்ட், டையூரிடிக், ஆல்டரேட்டிவ் மற்றும் கார்மினேட்டிவ்.</v>
      </c>
      <c r="AS141" s="4" t="s">
        <v>1761</v>
      </c>
      <c r="AT141" s="3" t="str">
        <f ca="1">IFERROR(__xludf.DUMMYFUNCTION("GOOGLETRANSLATE(AU141,""en"",""ta"")"),"சிக்கோரின், அபிஜெனின், ஸ்கோபோலட்டின், எஸ்குலின், அம்பெல்லிஃபெரோன், குர்செடின், அரபினோசைடுகள், குளோரோஜெனிக் அமிலம் மற்றும் லாக்டூசின்.")</f>
        <v>சிக்கோரின், அபிஜெனின், ஸ்கோபோலட்டின், எஸ்குலின், அம்பெல்லிஃபெரோன், குர்செடின், அரபினோசைடுகள், குளோரோஜெனிக் அமிலம் மற்றும் லாக்டூசின்.</v>
      </c>
      <c r="AU141" s="4" t="s">
        <v>1762</v>
      </c>
      <c r="AV141" s="3"/>
      <c r="AW141" s="3" t="str">
        <f ca="1">IFERROR(__xludf.DUMMYFUNCTION("GOOGLETRANSLATE(AX141,""en"",""ta"")"),"i) ஒழுங்கற்ற மாதவிடாய் சுழற்சியில் விதைகளை பொடி செய்து கஷாயம் எடுக்கப்படுகிறது. 
ii) தாவர பேஸ்ட் வெளிப்புறமாக பயன்படுத்தப்படுகிறது. 
அதன் குளிர்ச்சி பண்புகளுக்காக அழற்சி நோய்களுக்கு பயன்படுத்தப்படுகிறது.")</f>
        <v>i) ஒழுங்கற்ற மாதவிடாய் சுழற்சியில் விதைகளை பொடி செய்து கஷாயம் எடுக்கப்படுகிறது. 
ii) தாவர பேஸ்ட் வெளிப்புறமாக பயன்படுத்தப்படுகிறது. 
அதன் குளிர்ச்சி பண்புகளுக்காக அழற்சி நோய்களுக்கு பயன்படுத்தப்படுகிறது.</v>
      </c>
      <c r="AX141" s="3" t="s">
        <v>2527</v>
      </c>
      <c r="AY141" s="3"/>
      <c r="AZ141" s="3"/>
      <c r="BA141" s="3"/>
      <c r="BB141" s="3"/>
      <c r="BC141" s="3"/>
      <c r="BD141" s="3"/>
      <c r="BE141" s="3"/>
      <c r="BF141" s="3"/>
    </row>
    <row r="142" spans="1:58" ht="84" x14ac:dyDescent="0.15">
      <c r="A142" s="3">
        <v>141</v>
      </c>
      <c r="B142" s="3" t="str">
        <f ca="1">IFERROR(__xludf.DUMMYFUNCTION("GOOGLETRANSLATE(C142,""en"",""ta"")"),"சின்னமாமம் கம்போரா")</f>
        <v>சின்னமாமம் கம்போரா</v>
      </c>
      <c r="C142" s="4" t="s">
        <v>1764</v>
      </c>
      <c r="D142" s="3" t="str">
        <f ca="1">IFERROR(__xludf.DUMMYFUNCTION("GOOGLETRANSLATE(E142,""en"",""ta"")"),"கற்பூர")</f>
        <v>கற்பூர</v>
      </c>
      <c r="E142" s="4" t="s">
        <v>1765</v>
      </c>
      <c r="F142" s="3" t="str">
        <f ca="1">IFERROR(__xludf.DUMMYFUNCTION("GOOGLETRANSLATE(G142,""en"",""ta"")"),"கற்பூரம்")</f>
        <v>கற்பூரம்</v>
      </c>
      <c r="G142" s="4" t="s">
        <v>1766</v>
      </c>
      <c r="H142" s="3" t="str">
        <f ca="1">IFERROR(__xludf.DUMMYFUNCTION("GOOGLETRANSLATE(I142,""en"",""ta"")"),"கற்பூர மரம்")</f>
        <v>கற்பூர மரம்</v>
      </c>
      <c r="I142" s="4" t="s">
        <v>1767</v>
      </c>
      <c r="J142" s="3" t="str">
        <f ca="1">IFERROR(__xludf.DUMMYFUNCTION("GOOGLETRANSLATE(K142,""en"",""ta"")"),"கற்பூரமு")</f>
        <v>கற்பூரமு</v>
      </c>
      <c r="K142" s="4" t="s">
        <v>1768</v>
      </c>
      <c r="L142" s="3" t="str">
        <f ca="1">IFERROR(__xludf.DUMMYFUNCTION("GOOGLETRANSLATE(M142,""en"",""ta"")"),"கற்பூரம்")</f>
        <v>கற்பூரம்</v>
      </c>
      <c r="M142" s="4" t="s">
        <v>1766</v>
      </c>
      <c r="N142" s="3" t="str">
        <f ca="1">IFERROR(__xludf.DUMMYFUNCTION("GOOGLETRANSLATE(O142,""en"",""ta"")"),"கற்பூர்")</f>
        <v>கற்பூர்</v>
      </c>
      <c r="O142" s="4" t="s">
        <v>1769</v>
      </c>
      <c r="P142" s="3"/>
      <c r="Q142" s="3" t="str">
        <f ca="1">IFERROR(__xludf.DUMMYFUNCTION("GOOGLETRANSLATE(R142,""en"",""ta"")"),"ஒரு பெரிய அழகான பசுமையான மரம், பட்டை வெளிப்புறமாக கரடுமுரடானது, உட்புறம் சளி போன்றது. இலைகள் எளிமையானவை, சார்ட்டேசியஸ் முதல் சப்கோரியாசியஸ் வரை, மாற்று வடிவிலானவை, மஞ்சள் நிற பச்சை மற்றும் உரோமங்களற்றவை. பூக்கள் பச்சை மஞ்சள் நிறத்தில் இலைக்கோணங்களில் காணப"&amp;"்படும். பழங்கள் முட்டை வடிவானது, 1 விதை கொண்ட பெர்ரி, கோள வடிவமானது மற்றும் சற்று சதைப்பற்றுள்ளவை.")</f>
        <v>ஒரு பெரிய அழகான பசுமையான மரம், பட்டை வெளிப்புறமாக கரடுமுரடானது, உட்புறம் சளி போன்றது. இலைகள் எளிமையானவை, சார்ட்டேசியஸ் முதல் சப்கோரியாசியஸ் வரை, மாற்று வடிவிலானவை, மஞ்சள் நிற பச்சை மற்றும் உரோமங்களற்றவை. பூக்கள் பச்சை மஞ்சள் நிறத்தில் இலைக்கோணங்களில் காணப்படும். பழங்கள் முட்டை வடிவானது, 1 விதை கொண்ட பெர்ரி, கோள வடிவமானது மற்றும் சற்று சதைப்பற்றுள்ளவை.</v>
      </c>
      <c r="R142" s="4" t="s">
        <v>1770</v>
      </c>
      <c r="S142" s="3" t="str">
        <f ca="1">IFERROR(__xludf.DUMMYFUNCTION("GOOGLETRANSLATE(T142,""en"",""ta"")"),"#VALUE!")</f>
        <v>#VALUE!</v>
      </c>
      <c r="T142" s="3"/>
      <c r="U142" s="3" t="str">
        <f ca="1">IFERROR(__xludf.DUMMYFUNCTION("GOOGLETRANSLATE(V142,""en"",""ta"")"),"#VALUE!")</f>
        <v>#VALUE!</v>
      </c>
      <c r="V142" s="3"/>
      <c r="W142" s="3" t="str">
        <f ca="1">IFERROR(__xludf.DUMMYFUNCTION("GOOGLETRANSLATE(X142,""en"",""ta"")"),"#VALUE!")</f>
        <v>#VALUE!</v>
      </c>
      <c r="X142" s="3"/>
      <c r="Y142" s="3" t="str">
        <f ca="1">IFERROR(__xludf.DUMMYFUNCTION("GOOGLETRANSLATE(Z142,""en"",""ta"")"),"#VALUE!")</f>
        <v>#VALUE!</v>
      </c>
      <c r="Z142" s="3"/>
      <c r="AA142" s="3" t="str">
        <f ca="1">IFERROR(__xludf.DUMMYFUNCTION("GOOGLETRANSLATE(AB142,""en"",""ta"")"),"#VALUE!")</f>
        <v>#VALUE!</v>
      </c>
      <c r="AB142" s="3"/>
      <c r="AC142" s="3" t="str">
        <f ca="1">IFERROR(__xludf.DUMMYFUNCTION("GOOGLETRANSLATE(AD142,""en"",""ta"")"),"#VALUE!")</f>
        <v>#VALUE!</v>
      </c>
      <c r="AD142" s="3"/>
      <c r="AE142" s="3" t="str">
        <f ca="1">IFERROR(__xludf.DUMMYFUNCTION("GOOGLETRANSLATE(AF142,""en"",""ta"")"),"#VALUE!")</f>
        <v>#VALUE!</v>
      </c>
      <c r="AF142" s="3"/>
      <c r="AG142" s="3" t="str">
        <f ca="1">IFERROR(__xludf.DUMMYFUNCTION("GOOGLETRANSLATE(AH142,""en"",""ta"")"),"#VALUE!")</f>
        <v>#VALUE!</v>
      </c>
      <c r="AH142" s="3"/>
      <c r="AI142" s="3" t="str">
        <f ca="1">IFERROR(__xludf.DUMMYFUNCTION("GOOGLETRANSLATE(AJ142,""en"",""ta"")"),"#VALUE!")</f>
        <v>#VALUE!</v>
      </c>
      <c r="AJ142" s="3"/>
      <c r="AK142" s="3" t="str">
        <f ca="1">IFERROR(__xludf.DUMMYFUNCTION("GOOGLETRANSLATE(AL142,""en"",""ta"")"),"காய்ச்சல், வெடிப்புகள், தட்டம்மை, மயக்கம், கக்குவான் இருமல், நாள்பட்ட மூச்சுக்குழாய் அழற்சி, கருப்பை வலிகள், சுவாசக் கோளாறுகள் மற்றும் மயால்ஜியா.")</f>
        <v>காய்ச்சல், வெடிப்புகள், தட்டம்மை, மயக்கம், கக்குவான் இருமல், நாள்பட்ட மூச்சுக்குழாய் அழற்சி, கருப்பை வலிகள், சுவாசக் கோளாறுகள் மற்றும் மயால்ஜியா.</v>
      </c>
      <c r="AL142" s="4" t="s">
        <v>1771</v>
      </c>
      <c r="AM142" s="3" t="str">
        <f ca="1">IFERROR(__xludf.DUMMYFUNCTION("GOOGLETRANSLATE(AN142,""en"",""ta"")"),"#VALUE!")</f>
        <v>#VALUE!</v>
      </c>
      <c r="AN142" s="3"/>
      <c r="AO142" s="3" t="str">
        <f ca="1">IFERROR(__xludf.DUMMYFUNCTION("GOOGLETRANSLATE(AP142,""en"",""ta"")"),"#VALUE!")</f>
        <v>#VALUE!</v>
      </c>
      <c r="AP142" s="3"/>
      <c r="AQ142" s="3"/>
      <c r="AR142" s="3" t="str">
        <f ca="1">IFERROR(__xludf.DUMMYFUNCTION("GOOGLETRANSLATE(AS142,""en"",""ta"")"),"டயாபோரெடிக், இதயத் தூண்டுதல், கிருமி நாசினி, போதை மருந்து, ஆண்டிஸ்பாஸ்மோடிக், மயக்க மருந்து, சளி நீக்கி, பாலுணர்வூக்கி, கார்மினேட்டிவ் மற்றும் அனோடைன்.")</f>
        <v>டயாபோரெடிக், இதயத் தூண்டுதல், கிருமி நாசினி, போதை மருந்து, ஆண்டிஸ்பாஸ்மோடிக், மயக்க மருந்து, சளி நீக்கி, பாலுணர்வூக்கி, கார்மினேட்டிவ் மற்றும் அனோடைன்.</v>
      </c>
      <c r="AS142" s="3" t="s">
        <v>1772</v>
      </c>
      <c r="AT142" s="3" t="str">
        <f ca="1">IFERROR(__xludf.DUMMYFUNCTION("GOOGLETRANSLATE(AU142,""en"",""ta"")"),"சைமால், கேம்போரிக் அமிலம், டெர்பீனியோல், சஃப்ரோல், மெசிட்டில் ஆக்சைடு, சின்னமோமால், அல்கான்ஃபோர், குசுனோகினின், செலினீன், மெத்தில் வினைல் கீட்டோன்.")</f>
        <v>சைமால், கேம்போரிக் அமிலம், டெர்பீனியோல், சஃப்ரோல், மெசிட்டில் ஆக்சைடு, சின்னமோமால், அல்கான்ஃபோர், குசுனோகினின், செலினீன், மெத்தில் வினைல் கீட்டோன்.</v>
      </c>
      <c r="AU142" s="4" t="s">
        <v>1773</v>
      </c>
      <c r="AV142" s="3"/>
      <c r="AW142" s="3" t="str">
        <f ca="1">IFERROR(__xludf.DUMMYFUNCTION("GOOGLETRANSLATE(AX142,""en"",""ta"")"),"i) இரைப்பை அழற்சி 
இதயத் தூண்டுதல் மற்றும் சுவாசக் கோளாறுகளுக்கு கற்பூரம் உட்புறமாக எடுத்துக் கொள்ளப்படுகிறது. 
ii) மரத்திலிருந்து எடுக்கப்படும் அத்தியாவசிய எண்ணெய் 
வீக்கங்கள், காயங்கள் மற்றும் சுளுக்குகளில் 
வெளிப்புறமாக பயனுள்ளதாக இருக்கும்.")</f>
        <v>i) இரைப்பை அழற்சி 
இதயத் தூண்டுதல் மற்றும் சுவாசக் கோளாறுகளுக்கு கற்பூரம் உட்புறமாக எடுத்துக் கொள்ளப்படுகிறது. 
ii) மரத்திலிருந்து எடுக்கப்படும் அத்தியாவசிய எண்ணெய் 
வீக்கங்கள், காயங்கள் மற்றும் சுளுக்குகளில் 
வெளிப்புறமாக பயனுள்ளதாக இருக்கும்.</v>
      </c>
      <c r="AX142" s="3" t="s">
        <v>2528</v>
      </c>
      <c r="AY142" s="3"/>
      <c r="AZ142" s="3"/>
      <c r="BA142" s="3"/>
      <c r="BB142" s="3"/>
      <c r="BC142" s="3"/>
      <c r="BD142" s="3"/>
      <c r="BE142" s="3"/>
      <c r="BF142" s="3"/>
    </row>
    <row r="143" spans="1:58" ht="70" x14ac:dyDescent="0.15">
      <c r="A143" s="3">
        <v>142</v>
      </c>
      <c r="B143" s="3" t="str">
        <f ca="1">IFERROR(__xludf.DUMMYFUNCTION("GOOGLETRANSLATE(C143,""en"",""ta"")"),"சின்னமாமம் வெரம்")</f>
        <v>சின்னமாமம் வெரம்</v>
      </c>
      <c r="C143" s="4" t="s">
        <v>1775</v>
      </c>
      <c r="D143" s="3" t="str">
        <f ca="1">IFERROR(__xludf.DUMMYFUNCTION("GOOGLETRANSLATE(E143,""en"",""ta"")"),"ட்வாக்")</f>
        <v>ட்வாக்</v>
      </c>
      <c r="E143" s="3" t="s">
        <v>1776</v>
      </c>
      <c r="F143" s="3" t="str">
        <f ca="1">IFERROR(__xludf.DUMMYFUNCTION("GOOGLETRANSLATE(G143,""en"",""ta"")"),"லவங்கப்பட்டை")</f>
        <v>லவங்கப்பட்டை</v>
      </c>
      <c r="G143" s="4" t="s">
        <v>1777</v>
      </c>
      <c r="H143" s="3" t="str">
        <f ca="1">IFERROR(__xludf.DUMMYFUNCTION("GOOGLETRANSLATE(I143,""en"",""ta"")"),"இலவங்கப்பட்டை")</f>
        <v>இலவங்கப்பட்டை</v>
      </c>
      <c r="I143" s="4" t="s">
        <v>1778</v>
      </c>
      <c r="J143" s="3" t="str">
        <f ca="1">IFERROR(__xludf.DUMMYFUNCTION("GOOGLETRANSLATE(K143,""en"",""ta"")"),"லவங்கப்பட்டா")</f>
        <v>லவங்கப்பட்டா</v>
      </c>
      <c r="K143" s="4" t="s">
        <v>1779</v>
      </c>
      <c r="L143" s="3" t="str">
        <f ca="1">IFERROR(__xludf.DUMMYFUNCTION("GOOGLETRANSLATE(M143,""en"",""ta"")"),"கருவப்பட்டா")</f>
        <v>கருவப்பட்டா</v>
      </c>
      <c r="M143" s="4" t="s">
        <v>1780</v>
      </c>
      <c r="N143" s="3" t="str">
        <f ca="1">IFERROR(__xludf.DUMMYFUNCTION("GOOGLETRANSLATE(O143,""en"",""ta"")"),"டால்சினி")</f>
        <v>டால்சினி</v>
      </c>
      <c r="O143" s="4" t="s">
        <v>1781</v>
      </c>
      <c r="P143" s="3"/>
      <c r="Q143" s="3" t="str">
        <f ca="1">IFERROR(__xludf.DUMMYFUNCTION("GOOGLETRANSLATE(R143,""en"",""ta"")"),"மிதமான அளவிலான பசுமையான மரம், சிவப்பு கலந்த பழுப்பு நிற நறுமணப் பட்டையுடன், ஏராளமான சிறிய மருக்களைக் கொண்டது. இலைகள் எளிமையானவை, முட்டை வடிவானது, அடர்த்தியானவை, தோல் போன்றது, கூர்மையாகக் கூர்மையாகக் காணப்படும் மற்றும் உரோமங்களற்றவை. இலைக்காம்புகளிலிருந்து"&amp;" 3-5 முக்கிய நரம்புகள் உள்ளன. பூக்கள் இலைக்கோணங்களில் அல்லது அடி முனைய சைம்கள் அல்லது பேனிக்கிள்களில் மிகச்சிறியவை. பழங்கள் அடர் ஊதா நிற பெர்ரி.")</f>
        <v>மிதமான அளவிலான பசுமையான மரம், சிவப்பு கலந்த பழுப்பு நிற நறுமணப் பட்டையுடன், ஏராளமான சிறிய மருக்களைக் கொண்டது. இலைகள் எளிமையானவை, முட்டை வடிவானது, அடர்த்தியானவை, தோல் போன்றது, கூர்மையாகக் கூர்மையாகக் காணப்படும் மற்றும் உரோமங்களற்றவை. இலைக்காம்புகளிலிருந்து 3-5 முக்கிய நரம்புகள் உள்ளன. பூக்கள் இலைக்கோணங்களில் அல்லது அடி முனைய சைம்கள் அல்லது பேனிக்கிள்களில் மிகச்சிறியவை. பழங்கள் அடர் ஊதா நிற பெர்ரி.</v>
      </c>
      <c r="R143" s="4" t="s">
        <v>1782</v>
      </c>
      <c r="S143" s="3" t="str">
        <f ca="1">IFERROR(__xludf.DUMMYFUNCTION("GOOGLETRANSLATE(T143,""en"",""ta"")"),"#VALUE!")</f>
        <v>#VALUE!</v>
      </c>
      <c r="T143" s="3"/>
      <c r="U143" s="3" t="str">
        <f ca="1">IFERROR(__xludf.DUMMYFUNCTION("GOOGLETRANSLATE(V143,""en"",""ta"")"),"மூச்சுக்குழாய் அழற்சி, ஆஸ்துமா, செபலால்ஜியா, பல் வலி, வாந்தி, வாய்வு, சிறுநீர் கோளாறுகள், முகத்தில் இயல்பான தோல் நிறத்தை மீட்டமைத்தல்.")</f>
        <v>மூச்சுக்குழாய் அழற்சி, ஆஸ்துமா, செபலால்ஜியா, பல் வலி, வாந்தி, வாய்வு, சிறுநீர் கோளாறுகள், முகத்தில் இயல்பான தோல் நிறத்தை மீட்டமைத்தல்.</v>
      </c>
      <c r="V143" s="4" t="s">
        <v>1783</v>
      </c>
      <c r="W143" s="3" t="str">
        <f ca="1">IFERROR(__xludf.DUMMYFUNCTION("GOOGLETRANSLATE(X143,""en"",""ta"")"),"#VALUE!")</f>
        <v>#VALUE!</v>
      </c>
      <c r="X143" s="3"/>
      <c r="Y143" s="3" t="str">
        <f ca="1">IFERROR(__xludf.DUMMYFUNCTION("GOOGLETRANSLATE(Z143,""en"",""ta"")"),"#VALUE!")</f>
        <v>#VALUE!</v>
      </c>
      <c r="Z143" s="3"/>
      <c r="AA143" s="3" t="str">
        <f ca="1">IFERROR(__xludf.DUMMYFUNCTION("GOOGLETRANSLATE(AB143,""en"",""ta"")"),"#VALUE!")</f>
        <v>#VALUE!</v>
      </c>
      <c r="AB143" s="3"/>
      <c r="AC143" s="3" t="str">
        <f ca="1">IFERROR(__xludf.DUMMYFUNCTION("GOOGLETRANSLATE(AD143,""en"",""ta"")"),"#VALUE!")</f>
        <v>#VALUE!</v>
      </c>
      <c r="AD143" s="3"/>
      <c r="AE143" s="3" t="str">
        <f ca="1">IFERROR(__xludf.DUMMYFUNCTION("GOOGLETRANSLATE(AF143,""en"",""ta"")"),"#VALUE!")</f>
        <v>#VALUE!</v>
      </c>
      <c r="AF143" s="3"/>
      <c r="AG143" s="3" t="str">
        <f ca="1">IFERROR(__xludf.DUMMYFUNCTION("GOOGLETRANSLATE(AH143,""en"",""ta"")"),"#VALUE!")</f>
        <v>#VALUE!</v>
      </c>
      <c r="AH143" s="3"/>
      <c r="AI143" s="3" t="str">
        <f ca="1">IFERROR(__xludf.DUMMYFUNCTION("GOOGLETRANSLATE(AJ143,""en"",""ta"")"),"#VALUE!")</f>
        <v>#VALUE!</v>
      </c>
      <c r="AJ143" s="3"/>
      <c r="AK143" s="3" t="str">
        <f ca="1">IFERROR(__xludf.DUMMYFUNCTION("GOOGLETRANSLATE(AL143,""en"",""ta"")"),"பசியின்மை, வயிற்று வலி, வாந்தி மற்றும் தலைவலி.")</f>
        <v>பசியின்மை, வயிற்று வலி, வாந்தி மற்றும் தலைவலி.</v>
      </c>
      <c r="AL143" s="3" t="s">
        <v>1784</v>
      </c>
      <c r="AM143" s="3" t="str">
        <f ca="1">IFERROR(__xludf.DUMMYFUNCTION("GOOGLETRANSLATE(AN143,""en"",""ta"")"),"#VALUE!")</f>
        <v>#VALUE!</v>
      </c>
      <c r="AN143" s="3"/>
      <c r="AO143" s="3" t="str">
        <f ca="1">IFERROR(__xludf.DUMMYFUNCTION("GOOGLETRANSLATE(AP143,""en"",""ta"")"),"#VALUE!")</f>
        <v>#VALUE!</v>
      </c>
      <c r="AP143" s="3"/>
      <c r="AQ143" s="3"/>
      <c r="AR143" s="3" t="str">
        <f ca="1">IFERROR(__xludf.DUMMYFUNCTION("GOOGLETRANSLATE(AS143,""en"",""ta"")"),"நறுமணப் பொருள், துவர்ப்பு மருந்து, பாலுணர்வூக்கி, நாற்ற நீக்கி ஊக்கி, சளி நீக்கி, காய்ச்சல் நீக்கி, சிறுநீர்ப் பெருக்கி, பாக்டீரியா எதிர்ப்பு, பூஞ்சை எதிர்ப்பு மற்றும் கார்மினேட்டிவ்")</f>
        <v>நறுமணப் பொருள், துவர்ப்பு மருந்து, பாலுணர்வூக்கி, நாற்ற நீக்கி ஊக்கி, சளி நீக்கி, காய்ச்சல் நீக்கி, சிறுநீர்ப் பெருக்கி, பாக்டீரியா எதிர்ப்பு, பூஞ்சை எதிர்ப்பு மற்றும் கார்மினேட்டிவ்</v>
      </c>
      <c r="AS143" s="4" t="s">
        <v>1785</v>
      </c>
      <c r="AT143" s="3" t="str">
        <f ca="1">IFERROR(__xludf.DUMMYFUNCTION("GOOGLETRANSLATE(AU143,""en"",""ta"")"),"சின்னமால்டிஹைடு, சின்னாமிக் அமிலம், டானின், யூஜெனால், சின்சிலானின், ட்ரைடர்பீன்ஸ் மற்றும் சின்சிலானால்.")</f>
        <v>சின்னமால்டிஹைடு, சின்னாமிக் அமிலம், டானின், யூஜெனால், சின்சிலானின், ட்ரைடர்பீன்ஸ் மற்றும் சின்சிலானால்.</v>
      </c>
      <c r="AU143" s="4" t="s">
        <v>1786</v>
      </c>
      <c r="AV143" s="3"/>
      <c r="AW143" s="3" t="str">
        <f ca="1">IFERROR(__xludf.DUMMYFUNCTION("GOOGLETRANSLATE(AX143,""en"",""ta"")"),"i) வாத வலி, தலைவலி, பல் வலி ஆகியவற்றில் இலவங்கப்பட்டை இலை எண்ணெய் பூச்சு மருந்தாகப் பயன்படுகிறது.
ii) பட்டை, இஞ்சி மற்றும் ஏலக்காய் ஆகியவை டிஸ்ஸ்பெசியா மற்றும் வாய்வு ஆகியவற்றிற்கு உட்புறமாக ஒரு பொடியாக கொடுக்கப்படுகின்றன.")</f>
        <v>i) வாத வலி, தலைவலி, பல் வலி ஆகியவற்றில் இலவங்கப்பட்டை இலை எண்ணெய் பூச்சு மருந்தாகப் பயன்படுகிறது.
ii) பட்டை, இஞ்சி மற்றும் ஏலக்காய் ஆகியவை டிஸ்ஸ்பெசியா மற்றும் வாய்வு ஆகியவற்றிற்கு உட்புறமாக ஒரு பொடியாக கொடுக்கப்படுகின்றன.</v>
      </c>
      <c r="AX143" s="3" t="s">
        <v>2529</v>
      </c>
      <c r="AY143" s="3"/>
      <c r="AZ143" s="3"/>
      <c r="BA143" s="3"/>
      <c r="BB143" s="3"/>
      <c r="BC143" s="3"/>
      <c r="BD143" s="3"/>
      <c r="BE143" s="3"/>
      <c r="BF143" s="3"/>
    </row>
    <row r="144" spans="1:58" ht="112" x14ac:dyDescent="0.15">
      <c r="A144" s="3">
        <v>143</v>
      </c>
      <c r="B144" s="3" t="str">
        <f ca="1">IFERROR(__xludf.DUMMYFUNCTION("GOOGLETRANSLATE(C144,""en"",""ta"")"),"சிசம்பெலோஸ் பரேரா")</f>
        <v>சிசம்பெலோஸ் பரேரா</v>
      </c>
      <c r="C144" s="4" t="s">
        <v>1788</v>
      </c>
      <c r="D144" s="3" t="str">
        <f ca="1">IFERROR(__xludf.DUMMYFUNCTION("GOOGLETRANSLATE(E144,""en"",""ta"")"),"லகு பாத")</f>
        <v>லகு பாத</v>
      </c>
      <c r="E144" s="4" t="s">
        <v>1789</v>
      </c>
      <c r="F144" s="3" t="str">
        <f ca="1">IFERROR(__xludf.DUMMYFUNCTION("GOOGLETRANSLATE(G144,""en"",""ta"")"),"பொன் முசுட்டை")</f>
        <v>பொன் முசுட்டை</v>
      </c>
      <c r="G144" s="4" t="s">
        <v>1790</v>
      </c>
      <c r="H144" s="3" t="str">
        <f ca="1">IFERROR(__xludf.DUMMYFUNCTION("GOOGLETRANSLATE(I144,""en"",""ta"")"),"வெல்வெட்-இலை பரேரா")</f>
        <v>வெல்வெட்-இலை பரேரா</v>
      </c>
      <c r="I144" s="4" t="s">
        <v>1791</v>
      </c>
      <c r="J144" s="3" t="str">
        <f ca="1">IFERROR(__xludf.DUMMYFUNCTION("GOOGLETRANSLATE(K144,""en"",""ta"")"),"அடவி பங்கதீகா")</f>
        <v>அடவி பங்கதீகா</v>
      </c>
      <c r="K144" s="4" t="s">
        <v>1792</v>
      </c>
      <c r="L144" s="3" t="str">
        <f ca="1">IFERROR(__xludf.DUMMYFUNCTION("GOOGLETRANSLATE(M144,""en"",""ta"")"),"மலந்தாங்கி")</f>
        <v>மலந்தாங்கி</v>
      </c>
      <c r="M144" s="4" t="s">
        <v>1793</v>
      </c>
      <c r="N144" s="3" t="str">
        <f ca="1">IFERROR(__xludf.DUMMYFUNCTION("GOOGLETRANSLATE(O144,""en"",""ta"")"),"அர்ஜோரி")</f>
        <v>அர்ஜோரி</v>
      </c>
      <c r="O144" s="4" t="s">
        <v>1794</v>
      </c>
      <c r="P144" s="3"/>
      <c r="Q144" s="3" t="str">
        <f ca="1">IFERROR(__xludf.DUMMYFUNCTION("GOOGLETRANSLATE(R144,""en"",""ta"")"),"வற்றாத ஏறுபவை, இலைகள் வட்ட வடிவிலானவை அல்லது கோர் வடிவிலானவை, இதய வடிவிலான அடிப்பகுதியுடன் இருக்கும். மலர்கள் பச்சை மஞ்சள் நிறத்தில், ஆண் பூக்கள் இலைக்கோணங்களில், குவிந்த பைலோஸ் சைம் அல்லது பேனிகல், பெண் பூக்கள் நீண்ட மஞ்சரித் தண்டு போன்ற ரேசீமில் பெரிய க"&amp;"ோர் வடிவிலான துண்டுப்பிரசுரங்களைத் தாங்கி இருக்கும். பழங்கள் ட்ரூப், சிறியவை, முட்டை வடிவானது, சுருக்கப்பட்ட துணை கோள வடிவமானது, கருஞ்சிவப்பு சிவப்பு மற்றும் உரோமங்களுடையது. விதைகள் குதிரை லாட வடிவிலானவை.")</f>
        <v>வற்றாத ஏறுபவை, இலைகள் வட்ட வடிவிலானவை அல்லது கோர் வடிவிலானவை, இதய வடிவிலான அடிப்பகுதியுடன் இருக்கும். மலர்கள் பச்சை மஞ்சள் நிறத்தில், ஆண் பூக்கள் இலைக்கோணங்களில், குவிந்த பைலோஸ் சைம் அல்லது பேனிகல், பெண் பூக்கள் நீண்ட மஞ்சரித் தண்டு போன்ற ரேசீமில் பெரிய கோர் வடிவிலான துண்டுப்பிரசுரங்களைத் தாங்கி இருக்கும். பழங்கள் ட்ரூப், சிறியவை, முட்டை வடிவானது, சுருக்கப்பட்ட துணை கோள வடிவமானது, கருஞ்சிவப்பு சிவப்பு மற்றும் உரோமங்களுடையது. விதைகள் குதிரை லாட வடிவிலானவை.</v>
      </c>
      <c r="R144" s="4" t="s">
        <v>1795</v>
      </c>
      <c r="S144" s="3" t="str">
        <f ca="1">IFERROR(__xludf.DUMMYFUNCTION("GOOGLETRANSLATE(T144,""en"",""ta"")"),"செரிமானமின்மை, அஜீரணம், வயிற்று வலி, இரத்தக் கோளாறுகள், நீர்க்கட்டி அழற்சி, ஒற்றைத் தலைவலி, வெள்ளைப்படுதல், கோனோரியா, தொழுநோய், பாலூட்டுதல் கோளாறுகள்")</f>
        <v>செரிமானமின்மை, அஜீரணம், வயிற்று வலி, இரத்தக் கோளாறுகள், நீர்க்கட்டி அழற்சி, ஒற்றைத் தலைவலி, வெள்ளைப்படுதல், கோனோரியா, தொழுநோய், பாலூட்டுதல் கோளாறுகள்</v>
      </c>
      <c r="T144" s="4" t="s">
        <v>1796</v>
      </c>
      <c r="U144" s="3" t="str">
        <f ca="1">IFERROR(__xludf.DUMMYFUNCTION("GOOGLETRANSLATE(V144,""en"",""ta"")"),"#VALUE!")</f>
        <v>#VALUE!</v>
      </c>
      <c r="V144" s="3"/>
      <c r="W144" s="3" t="str">
        <f ca="1">IFERROR(__xludf.DUMMYFUNCTION("GOOGLETRANSLATE(X144,""en"",""ta"")"),"கண் பிரச்சனைகள், தோல் நோய்கள், தீக்காயங்கள், காயங்கள், காய்ச்சல் மற்றும் சளி.")</f>
        <v>கண் பிரச்சனைகள், தோல் நோய்கள், தீக்காயங்கள், காயங்கள், காய்ச்சல் மற்றும் சளி.</v>
      </c>
      <c r="X144" s="4" t="s">
        <v>1797</v>
      </c>
      <c r="Y144" s="3" t="str">
        <f ca="1">IFERROR(__xludf.DUMMYFUNCTION("GOOGLETRANSLATE(Z144,""en"",""ta"")"),"#VALUE!")</f>
        <v>#VALUE!</v>
      </c>
      <c r="Z144" s="3"/>
      <c r="AA144" s="3" t="str">
        <f ca="1">IFERROR(__xludf.DUMMYFUNCTION("GOOGLETRANSLATE(AB144,""en"",""ta"")"),"#VALUE!")</f>
        <v>#VALUE!</v>
      </c>
      <c r="AB144" s="3"/>
      <c r="AC144" s="3" t="str">
        <f ca="1">IFERROR(__xludf.DUMMYFUNCTION("GOOGLETRANSLATE(AD144,""en"",""ta"")"),"#VALUE!")</f>
        <v>#VALUE!</v>
      </c>
      <c r="AD144" s="3"/>
      <c r="AE144" s="3" t="str">
        <f ca="1">IFERROR(__xludf.DUMMYFUNCTION("GOOGLETRANSLATE(AF144,""en"",""ta"")"),"#VALUE!")</f>
        <v>#VALUE!</v>
      </c>
      <c r="AF144" s="3"/>
      <c r="AG144" s="3" t="str">
        <f ca="1">IFERROR(__xludf.DUMMYFUNCTION("GOOGLETRANSLATE(AH144,""en"",""ta"")"),"#VALUE!")</f>
        <v>#VALUE!</v>
      </c>
      <c r="AH144" s="3"/>
      <c r="AI144" s="3" t="str">
        <f ca="1">IFERROR(__xludf.DUMMYFUNCTION("GOOGLETRANSLATE(AJ144,""en"",""ta"")"),"#VALUE!")</f>
        <v>#VALUE!</v>
      </c>
      <c r="AJ144" s="3"/>
      <c r="AK144" s="3" t="str">
        <f ca="1">IFERROR(__xludf.DUMMYFUNCTION("GOOGLETRANSLATE(AL144,""en"",""ta"")"),"#VALUE!")</f>
        <v>#VALUE!</v>
      </c>
      <c r="AL144" s="3"/>
      <c r="AM144" s="3" t="str">
        <f ca="1">IFERROR(__xludf.DUMMYFUNCTION("GOOGLETRANSLATE(AN144,""en"",""ta"")"),"#VALUE!")</f>
        <v>#VALUE!</v>
      </c>
      <c r="AN144" s="3"/>
      <c r="AO144" s="3" t="str">
        <f ca="1">IFERROR(__xludf.DUMMYFUNCTION("GOOGLETRANSLATE(AP144,""en"",""ta"")"),"#VALUE!")</f>
        <v>#VALUE!</v>
      </c>
      <c r="AP144" s="3"/>
      <c r="AQ144" s="3"/>
      <c r="AR144" s="3" t="str">
        <f ca="1">IFERROR(__xludf.DUMMYFUNCTION("GOOGLETRANSLATE(AS144,""en"",""ta"")"),"ஆஸ்ட்ரிஜென்ட், ஆன்டெல்மிண்டிக், வயிற்று வலி நிவாரணி, கார்மினேட்டிவ், டையூரிடிக், கேலக்டகோக், எக்ஸ்பெக்டோரண்ட், எம்மெனாகோக் மற்றும் ஃபெப்ரிஃபியூஜ்.")</f>
        <v>ஆஸ்ட்ரிஜென்ட், ஆன்டெல்மிண்டிக், வயிற்று வலி நிவாரணி, கார்மினேட்டிவ், டையூரிடிக், கேலக்டகோக், எக்ஸ்பெக்டோரண்ட், எம்மெனாகோக் மற்றும் ஃபெப்ரிஃபியூஜ்.</v>
      </c>
      <c r="AS144" s="4" t="s">
        <v>1798</v>
      </c>
      <c r="AT144" s="3" t="str">
        <f ca="1">IFERROR(__xludf.DUMMYFUNCTION("GOOGLETRANSLATE(AU144,""en"",""ta"")"),"சிசாம்பெலின், பெபீரின், ஹயாடிடின், ஹயாடின், குவெர்செடின், செப்பரின் மற்றும் சைக்ளீனைன்.")</f>
        <v>சிசாம்பெலின், பெபீரின், ஹயாடிடின், ஹயாடின், குவெர்செடின், செப்பரின் மற்றும் சைக்ளீனைன்.</v>
      </c>
      <c r="AU144" s="4" t="s">
        <v>1799</v>
      </c>
      <c r="AV144" s="3"/>
      <c r="AW144" s="3" t="str">
        <f ca="1">IFERROR(__xludf.DUMMYFUNCTION("GOOGLETRANSLATE(AX144,""en"",""ta"")"),"i) இலைகளை பேஸ்டாகப் பயன்படுத்தி அரிப்பு புண்கள், பருக்கள், கொப்புளங்கள் மற்றும் சைனஸ்களுக்கு தடவப்படுகிறது. 
ii) வயிற்று வலி, அஜீரணம் மற்றும் சிறுநீரகக் கற்களுக்கு வேரின் கஷாயம் கொடுக்கப்படுகிறது.")</f>
        <v>i) இலைகளை பேஸ்டாகப் பயன்படுத்தி அரிப்பு புண்கள், பருக்கள், கொப்புளங்கள் மற்றும் சைனஸ்களுக்கு தடவப்படுகிறது. 
ii) வயிற்று வலி, அஜீரணம் மற்றும் சிறுநீரகக் கற்களுக்கு வேரின் கஷாயம் கொடுக்கப்படுகிறது.</v>
      </c>
      <c r="AX144" s="3" t="s">
        <v>2530</v>
      </c>
      <c r="AY144" s="3"/>
      <c r="AZ144" s="3"/>
      <c r="BA144" s="3"/>
      <c r="BB144" s="3"/>
      <c r="BC144" s="3"/>
      <c r="BD144" s="3"/>
      <c r="BE144" s="3"/>
      <c r="BF144" s="3"/>
    </row>
    <row r="145" spans="1:58" ht="70" x14ac:dyDescent="0.15">
      <c r="A145" s="3">
        <v>144</v>
      </c>
      <c r="B145" s="3" t="str">
        <f ca="1">IFERROR(__xludf.DUMMYFUNCTION("GOOGLETRANSLATE(C145,""en"",""ta"")"),"சிசஸ் குவாட்ரங்குலா")</f>
        <v>சிசஸ் குவாட்ரங்குலா</v>
      </c>
      <c r="C145" s="4" t="s">
        <v>1801</v>
      </c>
      <c r="D145" s="3" t="str">
        <f ca="1">IFERROR(__xludf.DUMMYFUNCTION("GOOGLETRANSLATE(E145,""en"",""ta"")"),"அஸ்திஸ்ரிங்காலா")</f>
        <v>அஸ்திஸ்ரிங்காலா</v>
      </c>
      <c r="E145" s="4" t="s">
        <v>1802</v>
      </c>
      <c r="F145" s="3" t="str">
        <f ca="1">IFERROR(__xludf.DUMMYFUNCTION("GOOGLETRANSLATE(G145,""en"",""ta"")"),"பிரண்டை")</f>
        <v>பிரண்டை</v>
      </c>
      <c r="G145" s="4" t="s">
        <v>1803</v>
      </c>
      <c r="H145" s="3" t="str">
        <f ca="1">IFERROR(__xludf.DUMMYFUNCTION("GOOGLETRANSLATE(I145,""en"",""ta"")"),"எலும்பு செட்டர்")</f>
        <v>எலும்பு செட்டர்</v>
      </c>
      <c r="I145" s="4" t="s">
        <v>1804</v>
      </c>
      <c r="J145" s="3" t="str">
        <f ca="1">IFERROR(__xludf.DUMMYFUNCTION("GOOGLETRANSLATE(K145,""en"",""ta"")"),"நல்லெரு")</f>
        <v>நல்லெரு</v>
      </c>
      <c r="K145" s="4" t="s">
        <v>1805</v>
      </c>
      <c r="L145" s="3" t="str">
        <f ca="1">IFERROR(__xludf.DUMMYFUNCTION("GOOGLETRANSLATE(M145,""en"",""ta"")"),"சங்கலம் பரந்தா")</f>
        <v>சங்கலம் பரந்தா</v>
      </c>
      <c r="M145" s="4" t="s">
        <v>1806</v>
      </c>
      <c r="N145" s="3" t="str">
        <f ca="1">IFERROR(__xludf.DUMMYFUNCTION("GOOGLETRANSLATE(O145,""en"",""ta"")"),"ஹட்ஜோரா")</f>
        <v>ஹட்ஜோரா</v>
      </c>
      <c r="O145" s="4" t="s">
        <v>1807</v>
      </c>
      <c r="P145" s="3"/>
      <c r="Q145" s="3" t="str">
        <f ca="1">IFERROR(__xludf.DUMMYFUNCTION("GOOGLETRANSLATE(R145,""en"",""ta"")"),"கூட்டுத் தண்டுகளுடன் சதைப்பற்றுள்ள கிளைத்தவை. தண்டுகள் மெல்லிய இருவகை கிளைகளுடன், துணை கோண வடிவிலானவை, 4 இறக்கைகள் கொண்ட இடைக்கணுக்கள் மற்றும் இலைக்கு எதிரே நிலைத்திருக்கும் முனையுடன் இருக்கும். சில கணுக்கள் வயதானதும் இலையற்றவை. இலைகள் இதய வடிவிலான ரெனிஃப"&amp;"ார்ம் மற்றும் ரம்பம் போன்றவை. மலர்கள் சிறியவை, பச்சை நிற வெள்ளை நிறத்தில், குடை வடிவ சைமில் இருக்கும். பழங்கள் பெர்ரி, முட்டை வடிவ மற்றும் சதைப்பற்றுள்ளவை.")</f>
        <v>கூட்டுத் தண்டுகளுடன் சதைப்பற்றுள்ள கிளைத்தவை. தண்டுகள் மெல்லிய இருவகை கிளைகளுடன், துணை கோண வடிவிலானவை, 4 இறக்கைகள் கொண்ட இடைக்கணுக்கள் மற்றும் இலைக்கு எதிரே நிலைத்திருக்கும் முனையுடன் இருக்கும். சில கணுக்கள் வயதானதும் இலையற்றவை. இலைகள் இதய வடிவிலான ரெனிஃபார்ம் மற்றும் ரம்பம் போன்றவை. மலர்கள் சிறியவை, பச்சை நிற வெள்ளை நிறத்தில், குடை வடிவ சைமில் இருக்கும். பழங்கள் பெர்ரி, முட்டை வடிவ மற்றும் சதைப்பற்றுள்ளவை.</v>
      </c>
      <c r="R145" s="4" t="s">
        <v>1808</v>
      </c>
      <c r="S145" s="3" t="str">
        <f ca="1">IFERROR(__xludf.DUMMYFUNCTION("GOOGLETRANSLATE(T145,""en"",""ta"")"),"எலும்பு முறிவுகள்.")</f>
        <v>எலும்பு முறிவுகள்.</v>
      </c>
      <c r="T145" s="4" t="s">
        <v>1809</v>
      </c>
      <c r="U145" s="3" t="str">
        <f ca="1">IFERROR(__xludf.DUMMYFUNCTION("GOOGLETRANSLATE(V145,""en"",""ta"")"),"#VALUE!")</f>
        <v>#VALUE!</v>
      </c>
      <c r="V145" s="3"/>
      <c r="W145" s="3" t="str">
        <f ca="1">IFERROR(__xludf.DUMMYFUNCTION("GOOGLETRANSLATE(X145,""en"",""ta"")"),"ஸ்கர்வி, காது வலி, ஆஸ்துமா, தீக்காயங்கள், காயங்கள் மற்றும் உடைந்த எலும்புகள், குடல் நோய்கள்.")</f>
        <v>ஸ்கர்வி, காது வலி, ஆஸ்துமா, தீக்காயங்கள், காயங்கள் மற்றும் உடைந்த எலும்புகள், குடல் நோய்கள்.</v>
      </c>
      <c r="X145" s="4" t="s">
        <v>1810</v>
      </c>
      <c r="Y145" s="3" t="str">
        <f ca="1">IFERROR(__xludf.DUMMYFUNCTION("GOOGLETRANSLATE(Z145,""en"",""ta"")"),"#VALUE!")</f>
        <v>#VALUE!</v>
      </c>
      <c r="Z145" s="3"/>
      <c r="AA145" s="3" t="str">
        <f ca="1">IFERROR(__xludf.DUMMYFUNCTION("GOOGLETRANSLATE(AB145,""en"",""ta"")"),"#VALUE!")</f>
        <v>#VALUE!</v>
      </c>
      <c r="AB145" s="3"/>
      <c r="AC145" s="3" t="str">
        <f ca="1">IFERROR(__xludf.DUMMYFUNCTION("GOOGLETRANSLATE(AD145,""en"",""ta"")"),"#VALUE!")</f>
        <v>#VALUE!</v>
      </c>
      <c r="AD145" s="3"/>
      <c r="AE145" s="3" t="str">
        <f ca="1">IFERROR(__xludf.DUMMYFUNCTION("GOOGLETRANSLATE(AF145,""en"",""ta"")"),"#VALUE!")</f>
        <v>#VALUE!</v>
      </c>
      <c r="AF145" s="3"/>
      <c r="AG145" s="3" t="str">
        <f ca="1">IFERROR(__xludf.DUMMYFUNCTION("GOOGLETRANSLATE(AH145,""en"",""ta"")"),"#VALUE!")</f>
        <v>#VALUE!</v>
      </c>
      <c r="AH145" s="3"/>
      <c r="AI145" s="3" t="str">
        <f ca="1">IFERROR(__xludf.DUMMYFUNCTION("GOOGLETRANSLATE(AJ145,""en"",""ta"")"),"#VALUE!")</f>
        <v>#VALUE!</v>
      </c>
      <c r="AJ145" s="3"/>
      <c r="AK145" s="3" t="str">
        <f ca="1">IFERROR(__xludf.DUMMYFUNCTION("GOOGLETRANSLATE(AL145,""en"",""ta"")"),"#VALUE!")</f>
        <v>#VALUE!</v>
      </c>
      <c r="AL145" s="3"/>
      <c r="AM145" s="3" t="str">
        <f ca="1">IFERROR(__xludf.DUMMYFUNCTION("GOOGLETRANSLATE(AN145,""en"",""ta"")"),"#VALUE!")</f>
        <v>#VALUE!</v>
      </c>
      <c r="AN145" s="3"/>
      <c r="AO145" s="3" t="str">
        <f ca="1">IFERROR(__xludf.DUMMYFUNCTION("GOOGLETRANSLATE(AP145,""en"",""ta"")"),"#VALUE!")</f>
        <v>#VALUE!</v>
      </c>
      <c r="AP145" s="3"/>
      <c r="AQ145" s="3"/>
      <c r="AR145" s="3" t="str">
        <f ca="1">IFERROR(__xludf.DUMMYFUNCTION("GOOGLETRANSLATE(AS145,""en"",""ta"")"),"தெர்மோஜெனிக், மலமிளக்கி, ஆன்டெல்மிண்டிக், ஹீமோஸ்டேடிக், டிப்யூரேட்டிவ், கண் மருத்துவம் மற்றும் அனோடைன்.")</f>
        <v>தெர்மோஜெனிக், மலமிளக்கி, ஆன்டெல்மிண்டிக், ஹீமோஸ்டேடிக், டிப்யூரேட்டிவ், கண் மருத்துவம் மற்றும் அனோடைன்.</v>
      </c>
      <c r="AS145" s="4" t="s">
        <v>1811</v>
      </c>
      <c r="AT145" s="3" t="str">
        <f ca="1">IFERROR(__xludf.DUMMYFUNCTION("GOOGLETRANSLATE(AU145,""en"",""ta"")"),"டெட்ராசைக்ளிக் ட்ரைடர்பெனாய்டுகள், டுராபோலின், கால்சியம், பி-சிட்டோஸ்டெரால், டி-அமைரோன், டி-அமைரின் &amp; வைட்டமின் சி.")</f>
        <v>டெட்ராசைக்ளிக் ட்ரைடர்பெனாய்டுகள், டுராபோலின், கால்சியம், பி-சிட்டோஸ்டெரால், டி-அமைரோன், டி-அமைரின் &amp; வைட்டமின் சி.</v>
      </c>
      <c r="AU145" s="4" t="s">
        <v>1812</v>
      </c>
      <c r="AV145" s="3"/>
      <c r="AW145" s="3" t="str">
        <f ca="1">IFERROR(__xludf.DUMMYFUNCTION("GOOGLETRANSLATE(AX145,""en"",""ta"")"),"i) ஸ்கர்வி மற்றும் ஒழுங்கற்ற மாதவிடாய்க்கு தண்டு சாறு பயனுள்ளதாக இருக்கும்.
ii) தண்டு பேஸ்ட் உள்ளே கொடுக்கப்படுகிறது மற்றும் எலும்பு முறிவு மற்றும் முதுகுத் தண்டு பிரச்சனைகளுக்கு வெளிப்புறமாகப் பயன்படுத்தப்படுகிறது.")</f>
        <v>i) ஸ்கர்வி மற்றும் ஒழுங்கற்ற மாதவிடாய்க்கு தண்டு சாறு பயனுள்ளதாக இருக்கும்.
ii) தண்டு பேஸ்ட் உள்ளே கொடுக்கப்படுகிறது மற்றும் எலும்பு முறிவு மற்றும் முதுகுத் தண்டு பிரச்சனைகளுக்கு வெளிப்புறமாகப் பயன்படுத்தப்படுகிறது.</v>
      </c>
      <c r="AX145" s="3" t="s">
        <v>2531</v>
      </c>
      <c r="AY145" s="3"/>
      <c r="AZ145" s="3"/>
      <c r="BA145" s="3"/>
      <c r="BB145" s="3"/>
      <c r="BC145" s="3"/>
      <c r="BD145" s="3"/>
      <c r="BE145" s="3"/>
      <c r="BF145" s="3"/>
    </row>
    <row r="146" spans="1:58" ht="70" x14ac:dyDescent="0.15">
      <c r="A146" s="3">
        <v>145</v>
      </c>
      <c r="B146" s="3" t="str">
        <f ca="1">IFERROR(__xludf.DUMMYFUNCTION("GOOGLETRANSLATE(C146,""en"",""ta"")"),"சிசஸ் செடோசா")</f>
        <v>சிசஸ் செடோசா</v>
      </c>
      <c r="C146" s="4" t="s">
        <v>1814</v>
      </c>
      <c r="D146" s="3" t="str">
        <f ca="1">IFERROR(__xludf.DUMMYFUNCTION("GOOGLETRANSLATE(E146,""en"",""ta"")"),"சிசஸ் செடோசா")</f>
        <v>சிசஸ் செடோசா</v>
      </c>
      <c r="E146" s="4" t="s">
        <v>1814</v>
      </c>
      <c r="F146" s="3" t="str">
        <f ca="1">IFERROR(__xludf.DUMMYFUNCTION("GOOGLETRANSLATE(G146,""en"",""ta"")"),"மணிப்பிரண்டை")</f>
        <v>மணிப்பிரண்டை</v>
      </c>
      <c r="G146" s="4" t="s">
        <v>1815</v>
      </c>
      <c r="H146" s="3" t="str">
        <f ca="1">IFERROR(__xludf.DUMMYFUNCTION("GOOGLETRANSLATE(I146,""en"",""ta"")"),"ஹேரி வைன்")</f>
        <v>ஹேரி வைன்</v>
      </c>
      <c r="I146" s="4" t="s">
        <v>1816</v>
      </c>
      <c r="J146" s="3" t="str">
        <f ca="1">IFERROR(__xludf.DUMMYFUNCTION("GOOGLETRANSLATE(K146,""en"",""ta"")"),"பாரேபச்சலி")</f>
        <v>பாரேபச்சலி</v>
      </c>
      <c r="K146" s="4" t="s">
        <v>1817</v>
      </c>
      <c r="L146" s="3" t="str">
        <f ca="1">IFERROR(__xludf.DUMMYFUNCTION("GOOGLETRANSLATE(M146,""en"",""ta"")"),"#VALUE!")</f>
        <v>#VALUE!</v>
      </c>
      <c r="M146" s="3"/>
      <c r="N146" s="3" t="str">
        <f ca="1">IFERROR(__xludf.DUMMYFUNCTION("GOOGLETRANSLATE(O146,""en"",""ta"")"),"ஹர்மல்")</f>
        <v>ஹர்மல்</v>
      </c>
      <c r="O146" s="4" t="s">
        <v>1818</v>
      </c>
      <c r="P146" s="3"/>
      <c r="Q146" s="3" t="str">
        <f ca="1">IFERROR(__xludf.DUMMYFUNCTION("GOOGLETRANSLATE(R146,""en"",""ta"")"),"சுரப்பி போன்ற மிருதுவான முடிகளுடன் கூடிய சதைப்பற்றுள்ள ஏறும் தன்மை கொண்டது. இலைகள் சதைப்பற்றுள்ளவை, நீள்வட்ட வடிவ, முட்கரண்டி இலைகளை இலைகளுக்கு எதிரே உள்ள தண்டுகளுடன் கொண்டிருக்கும். மலர்கள் கருஞ்சிவப்பு நிறத்தில் சைம்கள். பழங்கள் பெர்ரி.")</f>
        <v>சுரப்பி போன்ற மிருதுவான முடிகளுடன் கூடிய சதைப்பற்றுள்ள ஏறும் தன்மை கொண்டது. இலைகள் சதைப்பற்றுள்ளவை, நீள்வட்ட வடிவ, முட்கரண்டி இலைகளை இலைகளுக்கு எதிரே உள்ள தண்டுகளுடன் கொண்டிருக்கும். மலர்கள் கருஞ்சிவப்பு நிறத்தில் சைம்கள். பழங்கள் பெர்ரி.</v>
      </c>
      <c r="R146" s="4" t="s">
        <v>1819</v>
      </c>
      <c r="S146" s="3" t="str">
        <f ca="1">IFERROR(__xludf.DUMMYFUNCTION("GOOGLETRANSLATE(T146,""en"",""ta"")"),"#VALUE!")</f>
        <v>#VALUE!</v>
      </c>
      <c r="T146" s="3"/>
      <c r="U146" s="3" t="str">
        <f ca="1">IFERROR(__xludf.DUMMYFUNCTION("GOOGLETRANSLATE(V146,""en"",""ta"")"),"#VALUE!")</f>
        <v>#VALUE!</v>
      </c>
      <c r="V146" s="3"/>
      <c r="W146" s="3" t="str">
        <f ca="1">IFERROR(__xludf.DUMMYFUNCTION("GOOGLETRANSLATE(X146,""en"",""ta"")"),"புண்")</f>
        <v>புண்</v>
      </c>
      <c r="X146" s="4" t="s">
        <v>151</v>
      </c>
      <c r="Y146" s="3" t="str">
        <f ca="1">IFERROR(__xludf.DUMMYFUNCTION("GOOGLETRANSLATE(Z146,""en"",""ta"")"),"#VALUE!")</f>
        <v>#VALUE!</v>
      </c>
      <c r="Z146" s="3"/>
      <c r="AA146" s="3" t="str">
        <f ca="1">IFERROR(__xludf.DUMMYFUNCTION("GOOGLETRANSLATE(AB146,""en"",""ta"")"),"#VALUE!")</f>
        <v>#VALUE!</v>
      </c>
      <c r="AB146" s="3"/>
      <c r="AC146" s="3" t="str">
        <f ca="1">IFERROR(__xludf.DUMMYFUNCTION("GOOGLETRANSLATE(AD146,""en"",""ta"")"),"#VALUE!")</f>
        <v>#VALUE!</v>
      </c>
      <c r="AD146" s="3"/>
      <c r="AE146" s="3" t="str">
        <f ca="1">IFERROR(__xludf.DUMMYFUNCTION("GOOGLETRANSLATE(AF146,""en"",""ta"")"),"#VALUE!")</f>
        <v>#VALUE!</v>
      </c>
      <c r="AF146" s="3"/>
      <c r="AG146" s="3" t="str">
        <f ca="1">IFERROR(__xludf.DUMMYFUNCTION("GOOGLETRANSLATE(AH146,""en"",""ta"")"),"#VALUE!")</f>
        <v>#VALUE!</v>
      </c>
      <c r="AH146" s="3"/>
      <c r="AI146" s="3" t="str">
        <f ca="1">IFERROR(__xludf.DUMMYFUNCTION("GOOGLETRANSLATE(AJ146,""en"",""ta"")"),"#VALUE!")</f>
        <v>#VALUE!</v>
      </c>
      <c r="AJ146" s="3"/>
      <c r="AK146" s="3" t="str">
        <f ca="1">IFERROR(__xludf.DUMMYFUNCTION("GOOGLETRANSLATE(AL146,""en"",""ta"")"),"#VALUE!")</f>
        <v>#VALUE!</v>
      </c>
      <c r="AL146" s="3"/>
      <c r="AM146" s="3" t="str">
        <f ca="1">IFERROR(__xludf.DUMMYFUNCTION("GOOGLETRANSLATE(AN146,""en"",""ta"")"),"#VALUE!")</f>
        <v>#VALUE!</v>
      </c>
      <c r="AN146" s="3"/>
      <c r="AO146" s="3" t="str">
        <f ca="1">IFERROR(__xludf.DUMMYFUNCTION("GOOGLETRANSLATE(AP146,""en"",""ta"")"),"#VALUE!")</f>
        <v>#VALUE!</v>
      </c>
      <c r="AP146" s="3"/>
      <c r="AQ146" s="3"/>
      <c r="AR146" s="3" t="str">
        <f ca="1">IFERROR(__xludf.DUMMYFUNCTION("GOOGLETRANSLATE(AS146,""en"",""ta"")"),"தூண்டுதல்")</f>
        <v>தூண்டுதல்</v>
      </c>
      <c r="AS146" s="4" t="s">
        <v>1820</v>
      </c>
      <c r="AT146" s="3" t="str">
        <f ca="1">IFERROR(__xludf.DUMMYFUNCTION("GOOGLETRANSLATE(AU146,""en"",""ta"")"),"#VALUE!")</f>
        <v>#VALUE!</v>
      </c>
      <c r="AU146" s="3"/>
      <c r="AV146" s="3"/>
      <c r="AW146" s="3" t="str">
        <f ca="1">IFERROR(__xludf.DUMMYFUNCTION("GOOGLETRANSLATE(AX146,""en"",""ta"")"),"i) எண்ணெயில் வறுத்த இலைகள் 
புண்ணில் தடவப்பட்டு கினிப் புழுக்களை வெளியேற்றும். 
ii) இலைகள் வெளிப்புறமாக பூசப்பட்டு 
காற்று கட்டிகளில் சீழ்ப்பிடிப்பை ஊக்குவிக்கும்.")</f>
        <v>i) எண்ணெயில் வறுத்த இலைகள் 
புண்ணில் தடவப்பட்டு கினிப் புழுக்களை வெளியேற்றும். 
ii) இலைகள் வெளிப்புறமாக பூசப்பட்டு 
காற்று கட்டிகளில் சீழ்ப்பிடிப்பை ஊக்குவிக்கும்.</v>
      </c>
      <c r="AX146" s="3" t="s">
        <v>2532</v>
      </c>
      <c r="AY146" s="3"/>
      <c r="AZ146" s="3"/>
      <c r="BA146" s="3"/>
      <c r="BB146" s="3"/>
      <c r="BC146" s="3"/>
      <c r="BD146" s="3"/>
      <c r="BE146" s="3"/>
      <c r="BF146" s="3"/>
    </row>
    <row r="147" spans="1:58" ht="70" x14ac:dyDescent="0.15">
      <c r="A147" s="3">
        <v>146</v>
      </c>
      <c r="B147" s="3" t="str">
        <f ca="1">IFERROR(__xludf.DUMMYFUNCTION("GOOGLETRANSLATE(C147,""en"",""ta"")"),"சிட்ரல்லஸ் கோலோசைந்திஸ்")</f>
        <v>சிட்ரல்லஸ் கோலோசைந்திஸ்</v>
      </c>
      <c r="C147" s="4" t="s">
        <v>1822</v>
      </c>
      <c r="D147" s="3" t="str">
        <f ca="1">IFERROR(__xludf.DUMMYFUNCTION("GOOGLETRANSLATE(E147,""en"",""ta"")"),"இந்திரவருணி")</f>
        <v>இந்திரவருணி</v>
      </c>
      <c r="E147" s="3" t="s">
        <v>1823</v>
      </c>
      <c r="F147" s="3" t="str">
        <f ca="1">IFERROR(__xludf.DUMMYFUNCTION("GOOGLETRANSLATE(G147,""en"",""ta"")"),"வரி-துமட்டி")</f>
        <v>வரி-துமட்டி</v>
      </c>
      <c r="G147" s="4" t="s">
        <v>1824</v>
      </c>
      <c r="H147" s="3" t="str">
        <f ca="1">IFERROR(__xludf.DUMMYFUNCTION("GOOGLETRANSLATE(I147,""en"",""ta"")"),"கசப்பான வெள்ளரிக்காய்")</f>
        <v>கசப்பான வெள்ளரிக்காய்</v>
      </c>
      <c r="I147" s="4" t="s">
        <v>1825</v>
      </c>
      <c r="J147" s="3" t="str">
        <f ca="1">IFERROR(__xludf.DUMMYFUNCTION("GOOGLETRANSLATE(K147,""en"",""ta"")"),"ஈட்டிபுட்சா")</f>
        <v>ஈட்டிபுட்சா</v>
      </c>
      <c r="K147" s="4" t="s">
        <v>1826</v>
      </c>
      <c r="L147" s="3" t="str">
        <f ca="1">IFERROR(__xludf.DUMMYFUNCTION("GOOGLETRANSLATE(M147,""en"",""ta"")"),"பே-கொமுட்டி")</f>
        <v>பே-கொமுட்டி</v>
      </c>
      <c r="M147" s="4" t="s">
        <v>1827</v>
      </c>
      <c r="N147" s="3" t="str">
        <f ca="1">IFERROR(__xludf.DUMMYFUNCTION("GOOGLETRANSLATE(O147,""en"",""ta"")"),"இந்திராயன்")</f>
        <v>இந்திராயன்</v>
      </c>
      <c r="O147" s="4" t="s">
        <v>1828</v>
      </c>
      <c r="P147" s="3"/>
      <c r="Q147" s="3" t="str">
        <f ca="1">IFERROR(__xludf.DUMMYFUNCTION("GOOGLETRANSLATE(R147,""en"",""ta"")"),"இந்த மூலிகை ஒரு தவழும் தாவரம், இது கரடுமுரடானது மற்றும் ரோமங்கள் கொண்டது. இலைகள் முட்டை வடிவானது, ரம்பம் போன்றது மற்றும் உள்ளங்கை போன்ற கூட்டு வடிவமானது. மலர்கள் ஒரே தண்டிலிருந்து எழுகின்றன, மஞ்சள் மற்றும் மணி வடிவிலானவை, ஆண் மற்றும் பெண் பூக்கள் இரண்டும்"&amp;" ஒரே தாவரத்தில் உள்ளன. பழங்கள் மென்மையானவை, பச்சையாக இருக்கும்போது பச்சை நிறத்தில் கோடுகளுடன் இருக்கும். விதைகள் சாம்பல் கலந்த கருப்பு.")</f>
        <v>இந்த மூலிகை ஒரு தவழும் தாவரம், இது கரடுமுரடானது மற்றும் ரோமங்கள் கொண்டது. இலைகள் முட்டை வடிவானது, ரம்பம் போன்றது மற்றும் உள்ளங்கை போன்ற கூட்டு வடிவமானது. மலர்கள் ஒரே தண்டிலிருந்து எழுகின்றன, மஞ்சள் மற்றும் மணி வடிவிலானவை, ஆண் மற்றும் பெண் பூக்கள் இரண்டும் ஒரே தாவரத்தில் உள்ளன. பழங்கள் மென்மையானவை, பச்சையாக இருக்கும்போது பச்சை நிறத்தில் கோடுகளுடன் இருக்கும். விதைகள் சாம்பல் கலந்த கருப்பு.</v>
      </c>
      <c r="R147" s="4" t="s">
        <v>1829</v>
      </c>
      <c r="S147" s="3" t="str">
        <f ca="1">IFERROR(__xludf.DUMMYFUNCTION("GOOGLETRANSLATE(T147,""en"",""ta"")"),"ஆஸ்கைட்ஸ், கட்டி, கருவுறாமை")</f>
        <v>ஆஸ்கைட்ஸ், கட்டி, கருவுறாமை</v>
      </c>
      <c r="T147" s="3" t="s">
        <v>1830</v>
      </c>
      <c r="U147" s="3" t="str">
        <f ca="1">IFERROR(__xludf.DUMMYFUNCTION("GOOGLETRANSLATE(V147,""en"",""ta"")"),"ஹெல்மின்தியாசிஸ்")</f>
        <v>ஹெல்மின்தியாசிஸ்</v>
      </c>
      <c r="V147" s="4" t="s">
        <v>1831</v>
      </c>
      <c r="W147" s="3" t="str">
        <f ca="1">IFERROR(__xludf.DUMMYFUNCTION("GOOGLETRANSLATE(X147,""en"",""ta"")"),"ஆஸ்கைட்ஸ், காய்ச்சல், மஞ்சள் காமாலை, முடக்கு வாதம், நீரிழிவு நோய் மற்றும் ஆஸ்துமா.")</f>
        <v>ஆஸ்கைட்ஸ், காய்ச்சல், மஞ்சள் காமாலை, முடக்கு வாதம், நீரிழிவு நோய் மற்றும் ஆஸ்துமா.</v>
      </c>
      <c r="X147" s="4" t="s">
        <v>1832</v>
      </c>
      <c r="Y147" s="3" t="str">
        <f ca="1">IFERROR(__xludf.DUMMYFUNCTION("GOOGLETRANSLATE(Z147,""en"",""ta"")"),"#VALUE!")</f>
        <v>#VALUE!</v>
      </c>
      <c r="Z147" s="3"/>
      <c r="AA147" s="3" t="str">
        <f ca="1">IFERROR(__xludf.DUMMYFUNCTION("GOOGLETRANSLATE(AB147,""en"",""ta"")"),"ஹெல்மின்தியாசிஸ்")</f>
        <v>ஹெல்மின்தியாசிஸ்</v>
      </c>
      <c r="AB147" s="4" t="s">
        <v>1831</v>
      </c>
      <c r="AC147" s="3" t="str">
        <f ca="1">IFERROR(__xludf.DUMMYFUNCTION("GOOGLETRANSLATE(AD147,""en"",""ta"")"),"#VALUE!")</f>
        <v>#VALUE!</v>
      </c>
      <c r="AD147" s="3"/>
      <c r="AE147" s="3" t="str">
        <f ca="1">IFERROR(__xludf.DUMMYFUNCTION("GOOGLETRANSLATE(AF147,""en"",""ta"")"),"#VALUE!")</f>
        <v>#VALUE!</v>
      </c>
      <c r="AF147" s="3"/>
      <c r="AG147" s="3" t="str">
        <f ca="1">IFERROR(__xludf.DUMMYFUNCTION("GOOGLETRANSLATE(AH147,""en"",""ta"")"),"#VALUE!")</f>
        <v>#VALUE!</v>
      </c>
      <c r="AH147" s="3"/>
      <c r="AI147" s="3" t="str">
        <f ca="1">IFERROR(__xludf.DUMMYFUNCTION("GOOGLETRANSLATE(AJ147,""en"",""ta"")"),"#VALUE!")</f>
        <v>#VALUE!</v>
      </c>
      <c r="AJ147" s="3"/>
      <c r="AK147" s="3" t="str">
        <f ca="1">IFERROR(__xludf.DUMMYFUNCTION("GOOGLETRANSLATE(AL147,""en"",""ta"")"),"#VALUE!")</f>
        <v>#VALUE!</v>
      </c>
      <c r="AL147" s="3"/>
      <c r="AM147" s="3" t="str">
        <f ca="1">IFERROR(__xludf.DUMMYFUNCTION("GOOGLETRANSLATE(AN147,""en"",""ta"")"),"#VALUE!")</f>
        <v>#VALUE!</v>
      </c>
      <c r="AN147" s="3"/>
      <c r="AO147" s="3" t="str">
        <f ca="1">IFERROR(__xludf.DUMMYFUNCTION("GOOGLETRANSLATE(AP147,""en"",""ta"")"),"#VALUE!")</f>
        <v>#VALUE!</v>
      </c>
      <c r="AP147" s="3"/>
      <c r="AQ147" s="3"/>
      <c r="AR147" s="3" t="str">
        <f ca="1">IFERROR(__xludf.DUMMYFUNCTION("GOOGLETRANSLATE(AS147,""en"",""ta"")"),"சுத்திகரிப்பு, அழற்சி எதிர்ப்பு, கிருமி நாசினி, புள்ளி எதிர்ப்பு மற்றும் முடி டானிக்")</f>
        <v>சுத்திகரிப்பு, அழற்சி எதிர்ப்பு, கிருமி நாசினி, புள்ளி எதிர்ப்பு மற்றும் முடி டானிக்</v>
      </c>
      <c r="AS147" s="4" t="s">
        <v>1833</v>
      </c>
      <c r="AT147" s="3" t="str">
        <f ca="1">IFERROR(__xludf.DUMMYFUNCTION("GOOGLETRANSLATE(AU147,""en"",""ta"")"),"கொலோசைந்தின், குளுக்கோசைடு, கொலோசைந்தெடின், டெட் ரேசைக்ளிக் டிஆர் இடர்பீன், சிட்ருல்லினோல், சிட்ருல்லோனோல், மிரிஸ்டிக், பால்மிடிக், ஸ்டீரிக் மற்றும் ஒலிக் அமிலம்.")</f>
        <v>கொலோசைந்தின், குளுக்கோசைடு, கொலோசைந்தெடின், டெட் ரேசைக்ளிக் டிஆர் இடர்பீன், சிட்ருல்லினோல், சிட்ருல்லோனோல், மிரிஸ்டிக், பால்மிடிக், ஸ்டீரிக் மற்றும் ஒலிக் அமிலம்.</v>
      </c>
      <c r="AU147" s="4" t="s">
        <v>1834</v>
      </c>
      <c r="AV147" s="3"/>
      <c r="AW147" s="3" t="str">
        <f ca="1">IFERROR(__xludf.DUMMYFUNCTION("GOOGLETRANSLATE(AX147,""en"",""ta"")"),"i) வாத நோய்க்கு வேர் மற்றும் நீண்ட மிளகின் சம பாகங்கள் மாத்திரைகளாக வழங்கப்படுகின்றன. 
ii) வேர் பேஸ்ட், காய்களின் பெரிதாகிய வயிற்றில் தடவப்படுகிறது.")</f>
        <v>i) வாத நோய்க்கு வேர் மற்றும் நீண்ட மிளகின் சம பாகங்கள் மாத்திரைகளாக வழங்கப்படுகின்றன. 
ii) வேர் பேஸ்ட், காய்களின் பெரிதாகிய வயிற்றில் தடவப்படுகிறது.</v>
      </c>
      <c r="AX147" s="3" t="s">
        <v>2533</v>
      </c>
      <c r="AY147" s="3"/>
      <c r="AZ147" s="3"/>
      <c r="BA147" s="3"/>
      <c r="BB147" s="3"/>
      <c r="BC147" s="3"/>
      <c r="BD147" s="3"/>
      <c r="BE147" s="3"/>
      <c r="BF147" s="3"/>
    </row>
    <row r="148" spans="1:58" ht="56" x14ac:dyDescent="0.15">
      <c r="A148" s="3">
        <v>147</v>
      </c>
      <c r="B148" s="3" t="str">
        <f ca="1">IFERROR(__xludf.DUMMYFUNCTION("GOOGLETRANSLATE(C148,""en"",""ta"")"),"சிட்ரல்லஸ் லனாட்டஸ்")</f>
        <v>சிட்ரல்லஸ் லனாட்டஸ்</v>
      </c>
      <c r="C148" s="4" t="s">
        <v>1836</v>
      </c>
      <c r="D148" s="3" t="str">
        <f ca="1">IFERROR(__xludf.DUMMYFUNCTION("GOOGLETRANSLATE(E148,""en"",""ta"")"),"சாயா-புலா")</f>
        <v>சாயா-புலா</v>
      </c>
      <c r="E148" s="4" t="s">
        <v>1837</v>
      </c>
      <c r="F148" s="3" t="str">
        <f ca="1">IFERROR(__xludf.DUMMYFUNCTION("GOOGLETRANSLATE(G148,""en"",""ta"")"),"தர்பூசானி")</f>
        <v>தர்பூசானி</v>
      </c>
      <c r="G148" s="4" t="s">
        <v>1838</v>
      </c>
      <c r="H148" s="3" t="str">
        <f ca="1">IFERROR(__xludf.DUMMYFUNCTION("GOOGLETRANSLATE(I148,""en"",""ta"")"),"தர்பூசணி")</f>
        <v>தர்பூசணி</v>
      </c>
      <c r="I148" s="4" t="s">
        <v>1839</v>
      </c>
      <c r="J148" s="3" t="str">
        <f ca="1">IFERROR(__xludf.DUMMYFUNCTION("GOOGLETRANSLATE(K148,""en"",""ta"")"),"தர்பூஜே")</f>
        <v>தர்பூஜே</v>
      </c>
      <c r="K148" s="4" t="s">
        <v>1840</v>
      </c>
      <c r="L148" s="3" t="str">
        <f ca="1">IFERROR(__xludf.DUMMYFUNCTION("GOOGLETRANSLATE(M148,""en"",""ta"")"),"தண்ணிமதன்")</f>
        <v>தண்ணிமதன்</v>
      </c>
      <c r="M148" s="4" t="s">
        <v>1841</v>
      </c>
      <c r="N148" s="3" t="str">
        <f ca="1">IFERROR(__xludf.DUMMYFUNCTION("GOOGLETRANSLATE(O148,""en"",""ta"")"),"தர்பஸ்")</f>
        <v>தர்பஸ்</v>
      </c>
      <c r="O148" s="4" t="s">
        <v>1842</v>
      </c>
      <c r="P148" s="3"/>
      <c r="Q148" s="3" t="str">
        <f ca="1">IFERROR(__xludf.DUMMYFUNCTION("GOOGLETRANSLATE(R148,""en"",""ta"")"),"கோண வடிவிலான கிளைத்த தண்டுகளைக் கொண்ட பெரிய, ஊர்ந்து செல்லும் வருடாந்திர தாவரம். இலைகள் உள்ளங்கை வடிவ கூட்டு மற்றும் இலைக்காம்பு வடிவானவை. இலைக்கோண மொட்டுகள் தண்டு வடிவமாக மாற்றப்படுகின்றன. மலர்கள் இலைக்கோணங்களில் ஒற்றை சைம்கள். பழங்கள் பெரிய கோள வடிவ நீர"&amp;"் போன்ற பெர்ரி. விதைகள் கருப்பு மற்றும் சுருக்கப்பட்டவை, ஏராளமானவை.")</f>
        <v>கோண வடிவிலான கிளைத்த தண்டுகளைக் கொண்ட பெரிய, ஊர்ந்து செல்லும் வருடாந்திர தாவரம். இலைகள் உள்ளங்கை வடிவ கூட்டு மற்றும் இலைக்காம்பு வடிவானவை. இலைக்கோண மொட்டுகள் தண்டு வடிவமாக மாற்றப்படுகின்றன. மலர்கள் இலைக்கோணங்களில் ஒற்றை சைம்கள். பழங்கள் பெரிய கோள வடிவ நீர் போன்ற பெர்ரி. விதைகள் கருப்பு மற்றும் சுருக்கப்பட்டவை, ஏராளமானவை.</v>
      </c>
      <c r="R148" s="4" t="s">
        <v>1843</v>
      </c>
      <c r="S148" s="3" t="str">
        <f ca="1">IFERROR(__xludf.DUMMYFUNCTION("GOOGLETRANSLATE(T148,""en"",""ta"")"),"#VALUE!")</f>
        <v>#VALUE!</v>
      </c>
      <c r="T148" s="3"/>
      <c r="U148" s="3" t="str">
        <f ca="1">IFERROR(__xludf.DUMMYFUNCTION("GOOGLETRANSLATE(V148,""en"",""ta"")"),"மூச்சுத் திணறல், கோனோரியா மற்றும் பிற சிறுநீர் பாதை பிரச்சினைகள்")</f>
        <v>மூச்சுத் திணறல், கோனோரியா மற்றும் பிற சிறுநீர் பாதை பிரச்சினைகள்</v>
      </c>
      <c r="V148" s="4" t="s">
        <v>1844</v>
      </c>
      <c r="W148" s="3" t="str">
        <f ca="1">IFERROR(__xludf.DUMMYFUNCTION("GOOGLETRANSLATE(X148,""en"",""ta"")"),"#VALUE!")</f>
        <v>#VALUE!</v>
      </c>
      <c r="X148" s="3"/>
      <c r="Y148" s="3" t="str">
        <f ca="1">IFERROR(__xludf.DUMMYFUNCTION("GOOGLETRANSLATE(Z148,""en"",""ta"")"),"#VALUE!")</f>
        <v>#VALUE!</v>
      </c>
      <c r="Z148" s="3"/>
      <c r="AA148" s="3" t="str">
        <f ca="1">IFERROR(__xludf.DUMMYFUNCTION("GOOGLETRANSLATE(AB148,""en"",""ta"")"),"#VALUE!")</f>
        <v>#VALUE!</v>
      </c>
      <c r="AB148" s="3"/>
      <c r="AC148" s="3" t="str">
        <f ca="1">IFERROR(__xludf.DUMMYFUNCTION("GOOGLETRANSLATE(AD148,""en"",""ta"")"),"#VALUE!")</f>
        <v>#VALUE!</v>
      </c>
      <c r="AD148" s="3"/>
      <c r="AE148" s="3" t="str">
        <f ca="1">IFERROR(__xludf.DUMMYFUNCTION("GOOGLETRANSLATE(AF148,""en"",""ta"")"),"#VALUE!")</f>
        <v>#VALUE!</v>
      </c>
      <c r="AF148" s="3"/>
      <c r="AG148" s="3" t="str">
        <f ca="1">IFERROR(__xludf.DUMMYFUNCTION("GOOGLETRANSLATE(AH148,""en"",""ta"")"),"#VALUE!")</f>
        <v>#VALUE!</v>
      </c>
      <c r="AH148" s="3"/>
      <c r="AI148" s="3" t="str">
        <f ca="1">IFERROR(__xludf.DUMMYFUNCTION("GOOGLETRANSLATE(AJ148,""en"",""ta"")"),"#VALUE!")</f>
        <v>#VALUE!</v>
      </c>
      <c r="AJ148" s="3"/>
      <c r="AK148" s="3" t="str">
        <f ca="1">IFERROR(__xludf.DUMMYFUNCTION("GOOGLETRANSLATE(AL148,""en"",""ta"")"),"#VALUE!")</f>
        <v>#VALUE!</v>
      </c>
      <c r="AL148" s="3"/>
      <c r="AM148" s="3" t="str">
        <f ca="1">IFERROR(__xludf.DUMMYFUNCTION("GOOGLETRANSLATE(AN148,""en"",""ta"")"),"டைபஸ் காய்ச்சல்")</f>
        <v>டைபஸ் காய்ச்சல்</v>
      </c>
      <c r="AN148" s="4" t="s">
        <v>1845</v>
      </c>
      <c r="AO148" s="3" t="str">
        <f ca="1">IFERROR(__xludf.DUMMYFUNCTION("GOOGLETRANSLATE(AP148,""en"",""ta"")"),"#VALUE!")</f>
        <v>#VALUE!</v>
      </c>
      <c r="AP148" s="3"/>
      <c r="AQ148" s="3"/>
      <c r="AR148" s="3" t="str">
        <f ca="1">IFERROR(__xludf.DUMMYFUNCTION("GOOGLETRANSLATE(AS148,""en"",""ta"")"),"இனிப்பு, குளிர்விப்பான், பாலுணர்வூக்கி, துவர்ப்பு மருந்து, மலமிளக்கி, சிறுநீர்ப் பெருக்கி மற்றும் புழுக்கொல்லி")</f>
        <v>இனிப்பு, குளிர்விப்பான், பாலுணர்வூக்கி, துவர்ப்பு மருந்து, மலமிளக்கி, சிறுநீர்ப் பெருக்கி மற்றும் புழுக்கொல்லி</v>
      </c>
      <c r="AS148" s="4" t="s">
        <v>1846</v>
      </c>
      <c r="AT148" s="3" t="str">
        <f ca="1">IFERROR(__xludf.DUMMYFUNCTION("GOOGLETRANSLATE(AU148,""en"",""ta"")"),"சிட்ருலின், ஸ்பைனாஸ்டெரால், ஸ்டிக்மாஸ்டாட்ரியெனால் மற்றும் ஸ்டிக்மாஸ்டாடியெனால்.")</f>
        <v>சிட்ருலின், ஸ்பைனாஸ்டெரால், ஸ்டிக்மாஸ்டாட்ரியெனால் மற்றும் ஸ்டிக்மாஸ்டாடியெனால்.</v>
      </c>
      <c r="AU148" s="4" t="s">
        <v>1847</v>
      </c>
      <c r="AV148" s="3"/>
      <c r="AW148" s="3" t="str">
        <f ca="1">IFERROR(__xludf.DUMMYFUNCTION("GOOGLETRANSLATE(AX148,""en"",""ta"")"),"i) கோடை காலத்தில் நல்ல சுவைக்காகவும், நீர்ச்சத்துக்காகவும் பழத்தை உள்ளே எடுத்துக்கொள்கிறார்கள். 
ii) பழச்சாறு உள்ளே எடுத்துக்கொள்வதால் சிறுநீர் பாதை தொற்றுகள் குணமாகும்.")</f>
        <v>i) கோடை காலத்தில் நல்ல சுவைக்காகவும், நீர்ச்சத்துக்காகவும் பழத்தை உள்ளே எடுத்துக்கொள்கிறார்கள். 
ii) பழச்சாறு உள்ளே எடுத்துக்கொள்வதால் சிறுநீர் பாதை தொற்றுகள் குணமாகும்.</v>
      </c>
      <c r="AX148" s="3" t="s">
        <v>2534</v>
      </c>
      <c r="AY148" s="3"/>
      <c r="AZ148" s="3"/>
      <c r="BA148" s="3"/>
      <c r="BB148" s="3"/>
      <c r="BC148" s="3"/>
      <c r="BD148" s="3"/>
      <c r="BE148" s="3"/>
      <c r="BF148" s="3"/>
    </row>
    <row r="149" spans="1:58" ht="56" x14ac:dyDescent="0.15">
      <c r="A149" s="3">
        <v>148</v>
      </c>
      <c r="B149" s="3" t="str">
        <f ca="1">IFERROR(__xludf.DUMMYFUNCTION("GOOGLETRANSLATE(C149,""en"",""ta"")"),"சிட்ரஸ் ஆரண்டியம்")</f>
        <v>சிட்ரஸ் ஆரண்டியம்</v>
      </c>
      <c r="C149" s="4" t="s">
        <v>1849</v>
      </c>
      <c r="D149" s="3" t="str">
        <f ca="1">IFERROR(__xludf.DUMMYFUNCTION("GOOGLETRANSLATE(E149,""en"",""ta"")"),"பிருஹத்ஜம்பிரா")</f>
        <v>பிருஹத்ஜம்பிரா</v>
      </c>
      <c r="E149" s="4" t="s">
        <v>1850</v>
      </c>
      <c r="F149" s="3" t="str">
        <f ca="1">IFERROR(__xludf.DUMMYFUNCTION("GOOGLETRANSLATE(G149,""en"",""ta"")"),"கடாரங்காய்")</f>
        <v>கடாரங்காய்</v>
      </c>
      <c r="G149" s="4" t="s">
        <v>1851</v>
      </c>
      <c r="H149" s="3" t="str">
        <f ca="1">IFERROR(__xludf.DUMMYFUNCTION("GOOGLETRANSLATE(I149,""en"",""ta"")"),"எலுமிச்சை")</f>
        <v>எலுமிச்சை</v>
      </c>
      <c r="I149" s="4" t="s">
        <v>1852</v>
      </c>
      <c r="J149" s="3" t="str">
        <f ca="1">IFERROR(__xludf.DUMMYFUNCTION("GOOGLETRANSLATE(K149,""en"",""ta"")"),"மடிபாலம்")</f>
        <v>மடிபாலம்</v>
      </c>
      <c r="K149" s="4" t="s">
        <v>1853</v>
      </c>
      <c r="L149" s="3" t="str">
        <f ca="1">IFERROR(__xludf.DUMMYFUNCTION("GOOGLETRANSLATE(M149,""en"",""ta"")"),"கிலாம்")</f>
        <v>கிலாம்</v>
      </c>
      <c r="M149" s="4" t="s">
        <v>1854</v>
      </c>
      <c r="N149" s="3" t="str">
        <f ca="1">IFERROR(__xludf.DUMMYFUNCTION("GOOGLETRANSLATE(O149,""en"",""ta"")"),"பரனிம்பு")</f>
        <v>பரனிம்பு</v>
      </c>
      <c r="O149" s="4" t="s">
        <v>1855</v>
      </c>
      <c r="P149" s="3"/>
      <c r="Q149" s="3" t="str">
        <f ca="1">IFERROR(__xludf.DUMMYFUNCTION("GOOGLETRANSLATE(R149,""en"",""ta"")"),"சிறிய அளவிலான மரம், குறுகிய தெளிவற்ற தண்டு, கூர்மையான மற்றும் பெரிய முதுகெலும்புகள் கொண்டது. இலைகள் ஒற்றை இலை வடிவ கூட்டு, நீள்வட்ட, நீள்வட்ட, இலைக்காம்பு பொதுவாக இறக்கைகள் கொண்டது. பூக்கள் பெரியதாகவும், அதிக மணம் கொண்டதாகவும், 3-10 வெள்ளை சைம்களைக் கொண்ட"&amp;" சிறிய கொத்துக்களில் இலைக்கோணங்களில் காணப்படும். பழங்கள் நறுமணமுள்ள ஹெஸ்பெரிடியம், எலுமிச்சை மஞ்சள், கரடுமுரடான அல்லது மருக்கள் நிறைந்தவை. விதைகள் ஓவல் மற்றும் ஏராளமானவை.")</f>
        <v>சிறிய அளவிலான மரம், குறுகிய தெளிவற்ற தண்டு, கூர்மையான மற்றும் பெரிய முதுகெலும்புகள் கொண்டது. இலைகள் ஒற்றை இலை வடிவ கூட்டு, நீள்வட்ட, நீள்வட்ட, இலைக்காம்பு பொதுவாக இறக்கைகள் கொண்டது. பூக்கள் பெரியதாகவும், அதிக மணம் கொண்டதாகவும், 3-10 வெள்ளை சைம்களைக் கொண்ட சிறிய கொத்துக்களில் இலைக்கோணங்களில் காணப்படும். பழங்கள் நறுமணமுள்ள ஹெஸ்பெரிடியம், எலுமிச்சை மஞ்சள், கரடுமுரடான அல்லது மருக்கள் நிறைந்தவை. விதைகள் ஓவல் மற்றும் ஏராளமானவை.</v>
      </c>
      <c r="R149" s="4" t="s">
        <v>1856</v>
      </c>
      <c r="S149" s="3" t="str">
        <f ca="1">IFERROR(__xludf.DUMMYFUNCTION("GOOGLETRANSLATE(T149,""en"",""ta"")"),"#VALUE!")</f>
        <v>#VALUE!</v>
      </c>
      <c r="T149" s="3"/>
      <c r="U149" s="3" t="str">
        <f ca="1">IFERROR(__xludf.DUMMYFUNCTION("GOOGLETRANSLATE(V149,""en"",""ta"")"),"இரைப்பை கோளாறுகள், பித்தப்பை.")</f>
        <v>இரைப்பை கோளாறுகள், பித்தப்பை.</v>
      </c>
      <c r="V149" s="4" t="s">
        <v>1857</v>
      </c>
      <c r="W149" s="3" t="str">
        <f ca="1">IFERROR(__xludf.DUMMYFUNCTION("GOOGLETRANSLATE(X149,""en"",""ta"")"),"#VALUE!")</f>
        <v>#VALUE!</v>
      </c>
      <c r="X149" s="3"/>
      <c r="Y149" s="3" t="str">
        <f ca="1">IFERROR(__xludf.DUMMYFUNCTION("GOOGLETRANSLATE(Z149,""en"",""ta"")"),"#VALUE!")</f>
        <v>#VALUE!</v>
      </c>
      <c r="Z149" s="3"/>
      <c r="AA149" s="3" t="str">
        <f ca="1">IFERROR(__xludf.DUMMYFUNCTION("GOOGLETRANSLATE(AB149,""en"",""ta"")"),"#VALUE!")</f>
        <v>#VALUE!</v>
      </c>
      <c r="AB149" s="3"/>
      <c r="AC149" s="3" t="str">
        <f ca="1">IFERROR(__xludf.DUMMYFUNCTION("GOOGLETRANSLATE(AD149,""en"",""ta"")"),"#VALUE!")</f>
        <v>#VALUE!</v>
      </c>
      <c r="AD149" s="3"/>
      <c r="AE149" s="3" t="str">
        <f ca="1">IFERROR(__xludf.DUMMYFUNCTION("GOOGLETRANSLATE(AF149,""en"",""ta"")"),"#VALUE!")</f>
        <v>#VALUE!</v>
      </c>
      <c r="AF149" s="3"/>
      <c r="AG149" s="3" t="str">
        <f ca="1">IFERROR(__xludf.DUMMYFUNCTION("GOOGLETRANSLATE(AH149,""en"",""ta"")"),"#VALUE!")</f>
        <v>#VALUE!</v>
      </c>
      <c r="AH149" s="3"/>
      <c r="AI149" s="3" t="str">
        <f ca="1">IFERROR(__xludf.DUMMYFUNCTION("GOOGLETRANSLATE(AJ149,""en"",""ta"")"),"#VALUE!")</f>
        <v>#VALUE!</v>
      </c>
      <c r="AJ149" s="3"/>
      <c r="AK149" s="3" t="str">
        <f ca="1">IFERROR(__xludf.DUMMYFUNCTION("GOOGLETRANSLATE(AL149,""en"",""ta"")"),"#VALUE!")</f>
        <v>#VALUE!</v>
      </c>
      <c r="AL149" s="3"/>
      <c r="AM149" s="3" t="str">
        <f ca="1">IFERROR(__xludf.DUMMYFUNCTION("GOOGLETRANSLATE(AN149,""en"",""ta"")"),"இரைப்பை பிரச்சனைகள்")</f>
        <v>இரைப்பை பிரச்சனைகள்</v>
      </c>
      <c r="AN149" s="4" t="s">
        <v>1858</v>
      </c>
      <c r="AO149" s="3" t="str">
        <f ca="1">IFERROR(__xludf.DUMMYFUNCTION("GOOGLETRANSLATE(AP149,""en"",""ta"")"),"#VALUE!")</f>
        <v>#VALUE!</v>
      </c>
      <c r="AP149" s="3"/>
      <c r="AQ149" s="3"/>
      <c r="AR149" s="3" t="str">
        <f ca="1">IFERROR(__xludf.DUMMYFUNCTION("GOOGLETRANSLATE(AS149,""en"",""ta"")"),"இரத்த சுத்திகரிப்பான், பசியைத் தூண்டும் மருந்து, கார்மினேட்டிவ், குளிர்சாதனப் பொருள் மற்றும் காய்ச்சல் மருந்து")</f>
        <v>இரத்த சுத்திகரிப்பான், பசியைத் தூண்டும் மருந்து, கார்மினேட்டிவ், குளிர்சாதனப் பொருள் மற்றும் காய்ச்சல் மருந்து</v>
      </c>
      <c r="AS149" s="4" t="s">
        <v>1859</v>
      </c>
      <c r="AT149" s="3" t="str">
        <f ca="1">IFERROR(__xludf.DUMMYFUNCTION("GOOGLETRANSLATE(AU149,""en"",""ta"")"),"டி-லிமோனைன், ஜெரானியோல், ஜெரானில் அசிடேட், சிட்ரோல், பினீன், லிமோனீன், சிட்ரோனெல்லோல், டெக்கனால் மற்றும் பெல்லாண்ட்ரீன் மற்றும் டெர்பீனியோல்.")</f>
        <v>டி-லிமோனைன், ஜெரானியோல், ஜெரானில் அசிடேட், சிட்ரோல், பினீன், லிமோனீன், சிட்ரோனெல்லோல், டெக்கனால் மற்றும் பெல்லாண்ட்ரீன் மற்றும் டெர்பீனியோல்.</v>
      </c>
      <c r="AU149" s="4" t="s">
        <v>1860</v>
      </c>
      <c r="AV149" s="3"/>
      <c r="AW149" s="3" t="str">
        <f ca="1">IFERROR(__xludf.DUMMYFUNCTION("GOOGLETRANSLATE(AX149,""en"",""ta"")"),"i) இரைப்பை அழற்சிக்கு பழச்சாறு உட்புறமாக எடுத்துக்கொள்ளப்படுகிறது. 
ii) பசியின்மை, மலச்சிக்கல் மற்றும் சோர்வுக்கு பழச்சாறு உட்புறமாக எடுத்துக்கொள்ளப்படுகிறது.")</f>
        <v>i) இரைப்பை அழற்சிக்கு பழச்சாறு உட்புறமாக எடுத்துக்கொள்ளப்படுகிறது. 
ii) பசியின்மை, மலச்சிக்கல் மற்றும் சோர்வுக்கு பழச்சாறு உட்புறமாக எடுத்துக்கொள்ளப்படுகிறது.</v>
      </c>
      <c r="AX149" s="3" t="s">
        <v>2535</v>
      </c>
      <c r="AY149" s="3"/>
      <c r="AZ149" s="3"/>
      <c r="BA149" s="3"/>
      <c r="BB149" s="3"/>
      <c r="BC149" s="3"/>
      <c r="BD149" s="3"/>
      <c r="BE149" s="3"/>
      <c r="BF149" s="3"/>
    </row>
    <row r="150" spans="1:58" ht="56" x14ac:dyDescent="0.15">
      <c r="A150" s="3">
        <v>149</v>
      </c>
      <c r="B150" s="3" t="str">
        <f ca="1">IFERROR(__xludf.DUMMYFUNCTION("GOOGLETRANSLATE(C150,""en"",""ta"")"),"சிட்ரஸ் டெக்குமனா")</f>
        <v>சிட்ரஸ் டெக்குமனா</v>
      </c>
      <c r="C150" s="4" t="s">
        <v>1862</v>
      </c>
      <c r="D150" s="3" t="str">
        <f ca="1">IFERROR(__xludf.DUMMYFUNCTION("GOOGLETRANSLATE(E150,""en"",""ta"")"),"மகாநிம்பு")</f>
        <v>மகாநிம்பு</v>
      </c>
      <c r="E150" s="4" t="s">
        <v>1863</v>
      </c>
      <c r="F150" s="3" t="str">
        <f ca="1">IFERROR(__xludf.DUMMYFUNCTION("GOOGLETRANSLATE(G150,""en"",""ta"")"),"பாம்பலிமாஸ்")</f>
        <v>பாம்பலிமாஸ்</v>
      </c>
      <c r="G150" s="4" t="s">
        <v>1864</v>
      </c>
      <c r="H150" s="3" t="str">
        <f ca="1">IFERROR(__xludf.DUMMYFUNCTION("GOOGLETRANSLATE(I150,""en"",""ta"")"),"பம்மெலோ")</f>
        <v>பம்மெலோ</v>
      </c>
      <c r="I150" s="4" t="s">
        <v>1865</v>
      </c>
      <c r="J150" s="3" t="str">
        <f ca="1">IFERROR(__xludf.DUMMYFUNCTION("GOOGLETRANSLATE(K150,""en"",""ta"")"),"பம்பலம்சம்")</f>
        <v>பம்பலம்சம்</v>
      </c>
      <c r="K150" s="4" t="s">
        <v>1866</v>
      </c>
      <c r="L150" s="3" t="str">
        <f ca="1">IFERROR(__xludf.DUMMYFUNCTION("GOOGLETRANSLATE(M150,""en"",""ta"")"),"பாம்பிடிநரகம்")</f>
        <v>பாம்பிடிநரகம்</v>
      </c>
      <c r="M150" s="4" t="s">
        <v>1867</v>
      </c>
      <c r="N150" s="3" t="str">
        <f ca="1">IFERROR(__xludf.DUMMYFUNCTION("GOOGLETRANSLATE(O150,""en"",""ta"")"),"சதாபால்")</f>
        <v>சதாபால்</v>
      </c>
      <c r="O150" s="4" t="s">
        <v>1868</v>
      </c>
      <c r="P150" s="3"/>
      <c r="Q150" s="3" t="str">
        <f ca="1">IFERROR(__xludf.DUMMYFUNCTION("GOOGLETRANSLATE(R150,""en"",""ta"")"),"முட்கள் கொண்ட ஒரு சிறிய அளவிலான மரம். இலைகள் ஒற்றை இலை வடிவ கூட்டு இலைக்காம்புடன், சிறகுகள் கொண்ட இலைக்காம்பு பெரியது. பூக்கள் பெரிய வெள்ளை நிறத்தில் இலைக்கோணங்களில் காணப்படும். பழங்கள் பெரியவை, வெளிர் மஞ்சள், கோள வடிவ அல்லது பைரிஃபார்ம், கூழ் நிறம் மாறுப"&amp;"டும்.")</f>
        <v>முட்கள் கொண்ட ஒரு சிறிய அளவிலான மரம். இலைகள் ஒற்றை இலை வடிவ கூட்டு இலைக்காம்புடன், சிறகுகள் கொண்ட இலைக்காம்பு பெரியது. பூக்கள் பெரிய வெள்ளை நிறத்தில் இலைக்கோணங்களில் காணப்படும். பழங்கள் பெரியவை, வெளிர் மஞ்சள், கோள வடிவ அல்லது பைரிஃபார்ம், கூழ் நிறம் மாறுபடும்.</v>
      </c>
      <c r="R150" s="4" t="s">
        <v>1869</v>
      </c>
      <c r="S150" s="3" t="str">
        <f ca="1">IFERROR(__xludf.DUMMYFUNCTION("GOOGLETRANSLATE(T150,""en"",""ta"")"),"வலிப்பு, வலிப்பு இருமல்")</f>
        <v>வலிப்பு, வலிப்பு இருமல்</v>
      </c>
      <c r="T150" s="3" t="s">
        <v>1870</v>
      </c>
      <c r="U150" s="3" t="str">
        <f ca="1">IFERROR(__xludf.DUMMYFUNCTION("GOOGLETRANSLATE(V150,""en"",""ta"")"),"#VALUE!")</f>
        <v>#VALUE!</v>
      </c>
      <c r="V150" s="3"/>
      <c r="W150" s="3" t="str">
        <f ca="1">IFERROR(__xludf.DUMMYFUNCTION("GOOGLETRANSLATE(X150,""en"",""ta"")"),"வாந்தி, வயிற்றுப்போக்கு மற்றும் தலைவலி.")</f>
        <v>வாந்தி, வயிற்றுப்போக்கு மற்றும் தலைவலி.</v>
      </c>
      <c r="X150" s="4" t="s">
        <v>1871</v>
      </c>
      <c r="Y150" s="3" t="str">
        <f ca="1">IFERROR(__xludf.DUMMYFUNCTION("GOOGLETRANSLATE(Z150,""en"",""ta"")"),"#VALUE!")</f>
        <v>#VALUE!</v>
      </c>
      <c r="Z150" s="3"/>
      <c r="AA150" s="3" t="str">
        <f ca="1">IFERROR(__xludf.DUMMYFUNCTION("GOOGLETRANSLATE(AB150,""en"",""ta"")"),"#VALUE!")</f>
        <v>#VALUE!</v>
      </c>
      <c r="AB150" s="3"/>
      <c r="AC150" s="3" t="str">
        <f ca="1">IFERROR(__xludf.DUMMYFUNCTION("GOOGLETRANSLATE(AD150,""en"",""ta"")"),"#VALUE!")</f>
        <v>#VALUE!</v>
      </c>
      <c r="AD150" s="3"/>
      <c r="AE150" s="3" t="str">
        <f ca="1">IFERROR(__xludf.DUMMYFUNCTION("GOOGLETRANSLATE(AF150,""en"",""ta"")"),"#VALUE!")</f>
        <v>#VALUE!</v>
      </c>
      <c r="AF150" s="3"/>
      <c r="AG150" s="3" t="str">
        <f ca="1">IFERROR(__xludf.DUMMYFUNCTION("GOOGLETRANSLATE(AH150,""en"",""ta"")"),"#VALUE!")</f>
        <v>#VALUE!</v>
      </c>
      <c r="AH150" s="3"/>
      <c r="AI150" s="3" t="str">
        <f ca="1">IFERROR(__xludf.DUMMYFUNCTION("GOOGLETRANSLATE(AJ150,""en"",""ta"")"),"#VALUE!")</f>
        <v>#VALUE!</v>
      </c>
      <c r="AJ150" s="3"/>
      <c r="AK150" s="3" t="str">
        <f ca="1">IFERROR(__xludf.DUMMYFUNCTION("GOOGLETRANSLATE(AL150,""en"",""ta"")"),"தலைவலி")</f>
        <v>தலைவலி</v>
      </c>
      <c r="AL150" s="4" t="s">
        <v>1872</v>
      </c>
      <c r="AM150" s="3" t="str">
        <f ca="1">IFERROR(__xludf.DUMMYFUNCTION("GOOGLETRANSLATE(AN150,""en"",""ta"")"),"#VALUE!")</f>
        <v>#VALUE!</v>
      </c>
      <c r="AO150" s="3" t="str">
        <f ca="1">IFERROR(__xludf.DUMMYFUNCTION("GOOGLETRANSLATE(AP150,""en"",""ta"")"),"#VALUE!")</f>
        <v>#VALUE!</v>
      </c>
      <c r="AP150" s="3"/>
      <c r="AQ150" s="3"/>
      <c r="AR150" s="3" t="str">
        <f ca="1">IFERROR(__xludf.DUMMYFUNCTION("GOOGLETRANSLATE(AS150,""en"",""ta"")"),"ஊட்டச்சத்து, குளிர்பதனப் பொருள், கார்டியோடோனிக், நறுமண பாக்டீரியா எதிர்ப்பு மற்றும் ஆன்டெல்மிண்டிக்.")</f>
        <v>ஊட்டச்சத்து, குளிர்பதனப் பொருள், கார்டியோடோனிக், நறுமண பாக்டீரியா எதிர்ப்பு மற்றும் ஆன்டெல்மிண்டிக்.</v>
      </c>
      <c r="AS150" s="4" t="s">
        <v>1873</v>
      </c>
      <c r="AT150" s="3" t="str">
        <f ca="1">IFERROR(__xludf.DUMMYFUNCTION("GOOGLETRANSLATE(AU150,""en"",""ta"")"),"சிட்பிரஸ்சின் I&amp;II, சிட்ராக்ரிடோன் I&amp;II, கூமரைன், N-மெத்திலாடனைன், பி-சிட்டோஸ்டெரால், கிளைகோசிட்ரின்-I, பிரெனில் சிட்பிரஸ்சின் மற்றும் பிரெஸ்கிம்மியானைன்.")</f>
        <v>சிட்பிரஸ்சின் I&amp;II, சிட்ராக்ரிடோன் I&amp;II, கூமரைன், N-மெத்திலாடனைன், பி-சிட்டோஸ்டெரால், கிளைகோசிட்ரின்-I, பிரெனில் சிட்பிரஸ்சின் மற்றும் பிரெஸ்கிம்மியானைன்.</v>
      </c>
      <c r="AU150" s="4" t="s">
        <v>1874</v>
      </c>
      <c r="AV150" s="3"/>
      <c r="AW150" s="3" t="str">
        <f ca="1">IFERROR(__xludf.DUMMYFUNCTION("GOOGLETRANSLATE(AX150,""en"",""ta"")"),"i) தோலின் வெளிப்புற பகுதி கசப்பானது மற்றும் நறுமணமானது 
மேலும் இது ஒரு சிறந்த இதய டானிக்காகும். 
ii) விதைப் பொடி 
லும்பாகோவிற்கு உட்புறமாக கொடுக்கப்படுகிறது.")</f>
        <v>i) தோலின் வெளிப்புற பகுதி கசப்பானது மற்றும் நறுமணமானது 
மேலும் இது ஒரு சிறந்த இதய டானிக்காகும். 
ii) விதைப் பொடி 
லும்பாகோவிற்கு உட்புறமாக கொடுக்கப்படுகிறது.</v>
      </c>
      <c r="AX150" s="3" t="s">
        <v>2536</v>
      </c>
      <c r="AY150" s="3"/>
      <c r="AZ150" s="3"/>
      <c r="BA150" s="3"/>
      <c r="BB150" s="3"/>
      <c r="BC150" s="3"/>
      <c r="BD150" s="3"/>
      <c r="BE150" s="3"/>
      <c r="BF150" s="3"/>
    </row>
    <row r="151" spans="1:58" ht="70" x14ac:dyDescent="0.15">
      <c r="A151" s="3">
        <v>150</v>
      </c>
      <c r="B151" s="3" t="str">
        <f ca="1">IFERROR(__xludf.DUMMYFUNCTION("GOOGLETRANSLATE(C151,""en"",""ta"")"),"சிட்ரஸ் மெடிகா")</f>
        <v>சிட்ரஸ் மெடிகா</v>
      </c>
      <c r="C151" s="4" t="s">
        <v>1876</v>
      </c>
      <c r="D151" s="3" t="str">
        <f ca="1">IFERROR(__xludf.DUMMYFUNCTION("GOOGLETRANSLATE(E151,""en"",""ta"")"),"பிருஹத் நிம்புகா")</f>
        <v>பிருஹத் நிம்புகா</v>
      </c>
      <c r="E151" s="4" t="s">
        <v>1877</v>
      </c>
      <c r="F151" s="3" t="str">
        <f ca="1">IFERROR(__xludf.DUMMYFUNCTION("GOOGLETRANSLATE(G151,""en"",""ta"")"),"எலுமிச்சை")</f>
        <v>எலுமிச்சை</v>
      </c>
      <c r="G151" s="4" t="s">
        <v>1878</v>
      </c>
      <c r="H151" s="3" t="str">
        <f ca="1">IFERROR(__xludf.DUMMYFUNCTION("GOOGLETRANSLATE(I151,""en"",""ta"")"),"புளிப்பு சுண்ணாம்பு")</f>
        <v>புளிப்பு சுண்ணாம்பு</v>
      </c>
      <c r="I151" s="4" t="s">
        <v>1879</v>
      </c>
      <c r="J151" s="3" t="str">
        <f ca="1">IFERROR(__xludf.DUMMYFUNCTION("GOOGLETRANSLATE(K151,""en"",""ta"")"),"நிம்மா")</f>
        <v>நிம்மா</v>
      </c>
      <c r="K151" s="4" t="s">
        <v>1880</v>
      </c>
      <c r="L151" s="3" t="str">
        <f ca="1">IFERROR(__xludf.DUMMYFUNCTION("GOOGLETRANSLATE(M151,""en"",""ta"")"),"சிறு நாரங்க")</f>
        <v>சிறு நாரங்க</v>
      </c>
      <c r="M151" s="4" t="s">
        <v>1881</v>
      </c>
      <c r="N151" s="3" t="str">
        <f ca="1">IFERROR(__xludf.DUMMYFUNCTION("GOOGLETRANSLATE(O151,""en"",""ta"")"),"காக்சி நிம்பு")</f>
        <v>காக்சி நிம்பு</v>
      </c>
      <c r="O151" s="4" t="s">
        <v>1882</v>
      </c>
      <c r="P151" s="3"/>
      <c r="Q151" s="3" t="str">
        <f ca="1">IFERROR(__xludf.DUMMYFUNCTION("GOOGLETRANSLATE(R151,""en"",""ta"")"),"பசுமையான சிறிய மரம், பொதுவாக முட்களைக் கொண்டது. இலைகள் மாறி மாறி காணப்படும், ஒற்றை இலை வடிவானது, கோரியேசியஸ் மற்றும் இறக்கைகளுடைய இலைக்காம்பு. மலர்கள் இலைக்கோணங்களில், தனித்த, சிறிய சைம்கள் கொண்டவை. பழங்கள் ஹெஸ்பெரிடியம். விதைகள் ஏராளம்.")</f>
        <v>பசுமையான சிறிய மரம், பொதுவாக முட்களைக் கொண்டது. இலைகள் மாறி மாறி காணப்படும், ஒற்றை இலை வடிவானது, கோரியேசியஸ் மற்றும் இறக்கைகளுடைய இலைக்காம்பு. மலர்கள் இலைக்கோணங்களில், தனித்த, சிறிய சைம்கள் கொண்டவை. பழங்கள் ஹெஸ்பெரிடியம். விதைகள் ஏராளம்.</v>
      </c>
      <c r="R151" s="4" t="s">
        <v>1883</v>
      </c>
      <c r="S151" s="3" t="str">
        <f ca="1">IFERROR(__xludf.DUMMYFUNCTION("GOOGLETRANSLATE(T151,""en"",""ta"")"),"#VALUE!")</f>
        <v>#VALUE!</v>
      </c>
      <c r="T151" s="3"/>
      <c r="U151" s="3" t="str">
        <f ca="1">IFERROR(__xludf.DUMMYFUNCTION("GOOGLETRANSLATE(V151,""en"",""ta"")"),"#VALUE!")</f>
        <v>#VALUE!</v>
      </c>
      <c r="V151" s="3"/>
      <c r="W151" s="3" t="str">
        <f ca="1">IFERROR(__xludf.DUMMYFUNCTION("GOOGLETRANSLATE(X151,""en"",""ta"")"),"காது வலி")</f>
        <v>காது வலி</v>
      </c>
      <c r="X151" s="4" t="s">
        <v>1150</v>
      </c>
      <c r="Y151" s="3" t="str">
        <f ca="1">IFERROR(__xludf.DUMMYFUNCTION("GOOGLETRANSLATE(Z151,""en"",""ta"")"),"#VALUE!")</f>
        <v>#VALUE!</v>
      </c>
      <c r="Z151" s="3"/>
      <c r="AA151" s="3" t="str">
        <f ca="1">IFERROR(__xludf.DUMMYFUNCTION("GOOGLETRANSLATE(AB151,""en"",""ta"")"),"#VALUE!")</f>
        <v>#VALUE!</v>
      </c>
      <c r="AB151" s="3"/>
      <c r="AC151" s="3" t="str">
        <f ca="1">IFERROR(__xludf.DUMMYFUNCTION("GOOGLETRANSLATE(AD151,""en"",""ta"")"),"#VALUE!")</f>
        <v>#VALUE!</v>
      </c>
      <c r="AD151" s="3"/>
      <c r="AE151" s="3" t="str">
        <f ca="1">IFERROR(__xludf.DUMMYFUNCTION("GOOGLETRANSLATE(AF151,""en"",""ta"")"),"#VALUE!")</f>
        <v>#VALUE!</v>
      </c>
      <c r="AF151" s="3"/>
      <c r="AG151" s="3" t="str">
        <f ca="1">IFERROR(__xludf.DUMMYFUNCTION("GOOGLETRANSLATE(AH151,""en"",""ta"")"),"#VALUE!")</f>
        <v>#VALUE!</v>
      </c>
      <c r="AH151" s="3"/>
      <c r="AI151" s="3" t="str">
        <f ca="1">IFERROR(__xludf.DUMMYFUNCTION("GOOGLETRANSLATE(AJ151,""en"",""ta"")"),"#VALUE!")</f>
        <v>#VALUE!</v>
      </c>
      <c r="AJ151" s="3"/>
      <c r="AK151" s="3" t="str">
        <f ca="1">IFERROR(__xludf.DUMMYFUNCTION("GOOGLETRANSLATE(AL151,""en"",""ta"")"),"#VALUE!")</f>
        <v>#VALUE!</v>
      </c>
      <c r="AL151" s="3"/>
      <c r="AM151" s="3" t="str">
        <f ca="1">IFERROR(__xludf.DUMMYFUNCTION("GOOGLETRANSLATE(AN151,""en"",""ta"")"),"வாந்தி, தலைச்சுற்றல், அஜீரணம், வயிற்றுப்போக்கு மற்றும் வயிற்றுப் பிடிப்பு.")</f>
        <v>வாந்தி, தலைச்சுற்றல், அஜீரணம், வயிற்றுப்போக்கு மற்றும் வயிற்றுப் பிடிப்பு.</v>
      </c>
      <c r="AN151" s="4" t="s">
        <v>1884</v>
      </c>
      <c r="AO151" s="3" t="str">
        <f ca="1">IFERROR(__xludf.DUMMYFUNCTION("GOOGLETRANSLATE(AP151,""en"",""ta"")"),"#VALUE!")</f>
        <v>#VALUE!</v>
      </c>
      <c r="AP151" s="3"/>
      <c r="AQ151" s="3"/>
      <c r="AR151" s="3" t="str">
        <f ca="1">IFERROR(__xludf.DUMMYFUNCTION("GOOGLETRANSLATE(AS151,""en"",""ta"")"),"ஸ்கார்பியூட்டிக் எதிர்ப்பு, குளிர்பதனப் பொருள், ருபேஃபேசியன்ட், கார்மினேட்டிவ், வயிற்றுப் புண் நீக்கி.")</f>
        <v>ஸ்கார்பியூட்டிக் எதிர்ப்பு, குளிர்பதனப் பொருள், ருபேஃபேசியன்ட், கார்மினேட்டிவ், வயிற்றுப் புண் நீக்கி.</v>
      </c>
      <c r="AS151" s="4" t="s">
        <v>1885</v>
      </c>
      <c r="AT151" s="3" t="str">
        <f ca="1">IFERROR(__xludf.DUMMYFUNCTION("GOOGLETRANSLATE(AU151,""en"",""ta"")"),"சிட்ரிக் அமிலம், சிட்ரீன், சிட்ரோல், சிட்ரோனெல்லல், பாஸ்போரிக் மற்றும் மாலிக் அமிலங்கள், கூமரின்-5, 7-டைமெத்தாக்ஸி கூமர்இன், எர்கோஸ்டெரால், 1,3-குளுக்கன் ஹைட்ரோலேஸ் மற்றும் ஹெஸ்பெரிடின்.")</f>
        <v>சிட்ரிக் அமிலம், சிட்ரீன், சிட்ரோல், சிட்ரோனெல்லல், பாஸ்போரிக் மற்றும் மாலிக் அமிலங்கள், கூமரின்-5, 7-டைமெத்தாக்ஸி கூமர்இன், எர்கோஸ்டெரால், 1,3-குளுக்கன் ஹைட்ரோலேஸ் மற்றும் ஹெஸ்பெரிடின்.</v>
      </c>
      <c r="AU151" s="4" t="s">
        <v>1886</v>
      </c>
      <c r="AV151" s="3"/>
      <c r="AW151" s="3" t="str">
        <f ca="1">IFERROR(__xludf.DUMMYFUNCTION("GOOGLETRANSLATE(AX151,""en"",""ta"")"),"i) தலைச்சுற்றல் மற்றும் குமட்டலுக்கு தண்ணீர் மற்றும் உப்பு கலந்த பழச்சாறு கொடுக்கப்படுகிறது. 
ii) நீரிழப்பு மற்றும் எலக்ட்ரோலைட் சமநிலையின்மைக்கு உப்பு மற்றும் சர்க்கரை கலந்த பழச்சாறு உள்ளே கொடுக்கப்படுகிறது.")</f>
        <v>i) தலைச்சுற்றல் மற்றும் குமட்டலுக்கு தண்ணீர் மற்றும் உப்பு கலந்த பழச்சாறு கொடுக்கப்படுகிறது. 
ii) நீரிழப்பு மற்றும் எலக்ட்ரோலைட் சமநிலையின்மைக்கு உப்பு மற்றும் சர்க்கரை கலந்த பழச்சாறு உள்ளே கொடுக்கப்படுகிறது.</v>
      </c>
      <c r="AX151" s="3" t="s">
        <v>2537</v>
      </c>
      <c r="AY151" s="3"/>
      <c r="AZ151" s="3"/>
      <c r="BA151" s="3"/>
      <c r="BB151" s="3"/>
      <c r="BC151" s="3"/>
      <c r="BD151" s="3"/>
      <c r="BE151" s="3"/>
      <c r="BF151" s="3"/>
    </row>
    <row r="152" spans="1:58" ht="70" x14ac:dyDescent="0.15">
      <c r="A152" s="3">
        <v>151</v>
      </c>
      <c r="B152" s="3" t="str">
        <f ca="1">IFERROR(__xludf.DUMMYFUNCTION("GOOGLETRANSLATE(C152,""en"",""ta"")"),"சிட்ரஸ் ரெட்டிகுலாட்டா")</f>
        <v>சிட்ரஸ் ரெட்டிகுலாட்டா</v>
      </c>
      <c r="C152" s="4" t="s">
        <v>1888</v>
      </c>
      <c r="D152" s="3" t="str">
        <f ca="1">IFERROR(__xludf.DUMMYFUNCTION("GOOGLETRANSLATE(E152,""en"",""ta"")"),"ஸ்வேதா நரிங்கி")</f>
        <v>ஸ்வேதா நரிங்கி</v>
      </c>
      <c r="E152" s="4" t="s">
        <v>1889</v>
      </c>
      <c r="F152" s="3" t="str">
        <f ca="1">IFERROR(__xludf.DUMMYFUNCTION("GOOGLETRANSLATE(G152,""en"",""ta"")"),"கமலாரஞ்ச்")</f>
        <v>கமலாரஞ்ச்</v>
      </c>
      <c r="G152" s="4" t="s">
        <v>1890</v>
      </c>
      <c r="H152" s="3" t="str">
        <f ca="1">IFERROR(__xludf.DUMMYFUNCTION("GOOGLETRANSLATE(I152,""en"",""ta"")"),"தளர்வான தோல் நீக்கப்பட்ட ஆரஞ்சு")</f>
        <v>தளர்வான தோல் நீக்கப்பட்ட ஆரஞ்சு</v>
      </c>
      <c r="I152" s="4" t="s">
        <v>1891</v>
      </c>
      <c r="J152" s="3" t="str">
        <f ca="1">IFERROR(__xludf.DUMMYFUNCTION("GOOGLETRANSLATE(K152,""en"",""ta"")"),"கமலபந்து")</f>
        <v>கமலபந்து</v>
      </c>
      <c r="K152" s="4" t="s">
        <v>1892</v>
      </c>
      <c r="L152" s="3" t="str">
        <f ca="1">IFERROR(__xludf.DUMMYFUNCTION("GOOGLETRANSLATE(M152,""en"",""ta"")"),"மதுநரகம்")</f>
        <v>மதுநரகம்</v>
      </c>
      <c r="M152" s="4" t="s">
        <v>1893</v>
      </c>
      <c r="N152" s="3" t="str">
        <f ca="1">IFERROR(__xludf.DUMMYFUNCTION("GOOGLETRANSLATE(O152,""en"",""ta"")"),"கட்டா")</f>
        <v>கட்டா</v>
      </c>
      <c r="O152" s="4" t="s">
        <v>1894</v>
      </c>
      <c r="P152" s="3"/>
      <c r="Q152" s="3" t="str">
        <f ca="1">IFERROR(__xludf.DUMMYFUNCTION("GOOGLETRANSLATE(R152,""en"",""ta"")"),"பசுமையான சிறிய அளவிலான முள்ளந்தண்டு மரம். இலைகள் ஒற்றை இலை வடிவ கூட்டு, ஈட்டி வடிவானது, மைய நரம்புடன், இலைக்காம்பு இறக்கைகள் மற்றும் மூட்டுகளுடன் இருக்கும். மஞ்சரி ஒரு இலைக்கோண சைம். மலர்கள் வெள்ளை, ஒற்றை அல்லது கிளைக்காத மஞ்சரியில் இருக்கும். பழங்கள் ஹெஸ"&amp;"்பெரிடியம், மஞ்சள் சிவப்பு ஆரஞ்சு. விதைகள் சிறியவை மற்றும் கொக்குகளுடன் இருக்கும்.")</f>
        <v>பசுமையான சிறிய அளவிலான முள்ளந்தண்டு மரம். இலைகள் ஒற்றை இலை வடிவ கூட்டு, ஈட்டி வடிவானது, மைய நரம்புடன், இலைக்காம்பு இறக்கைகள் மற்றும் மூட்டுகளுடன் இருக்கும். மஞ்சரி ஒரு இலைக்கோண சைம். மலர்கள் வெள்ளை, ஒற்றை அல்லது கிளைக்காத மஞ்சரியில் இருக்கும். பழங்கள் ஹெஸ்பெரிடியம், மஞ்சள் சிவப்பு ஆரஞ்சு. விதைகள் சிறியவை மற்றும் கொக்குகளுடன் இருக்கும்.</v>
      </c>
      <c r="R152" s="4" t="s">
        <v>1895</v>
      </c>
      <c r="S152" s="3" t="str">
        <f ca="1">IFERROR(__xludf.DUMMYFUNCTION("GOOGLETRANSLATE(T152,""en"",""ta"")"),"#VALUE!")</f>
        <v>#VALUE!</v>
      </c>
      <c r="T152" s="3"/>
      <c r="U152" s="3" t="str">
        <f ca="1">IFERROR(__xludf.DUMMYFUNCTION("GOOGLETRANSLATE(V152,""en"",""ta"")"),"#VALUE!")</f>
        <v>#VALUE!</v>
      </c>
      <c r="V152" s="3"/>
      <c r="W152" s="3" t="str">
        <f ca="1">IFERROR(__xludf.DUMMYFUNCTION("GOOGLETRANSLATE(X152,""en"",""ta"")"),"#VALUE!")</f>
        <v>#VALUE!</v>
      </c>
      <c r="Y152" s="3" t="str">
        <f ca="1">IFERROR(__xludf.DUMMYFUNCTION("GOOGLETRANSLATE(Z152,""en"",""ta"")"),"#VALUE!")</f>
        <v>#VALUE!</v>
      </c>
      <c r="Z152" s="3"/>
      <c r="AA152" s="3" t="str">
        <f ca="1">IFERROR(__xludf.DUMMYFUNCTION("GOOGLETRANSLATE(AB152,""en"",""ta"")"),"#VALUE!")</f>
        <v>#VALUE!</v>
      </c>
      <c r="AB152" s="3"/>
      <c r="AC152" s="3" t="str">
        <f ca="1">IFERROR(__xludf.DUMMYFUNCTION("GOOGLETRANSLATE(AD152,""en"",""ta"")"),"#VALUE!")</f>
        <v>#VALUE!</v>
      </c>
      <c r="AD152" s="3"/>
      <c r="AE152" s="3" t="str">
        <f ca="1">IFERROR(__xludf.DUMMYFUNCTION("GOOGLETRANSLATE(AF152,""en"",""ta"")"),"#VALUE!")</f>
        <v>#VALUE!</v>
      </c>
      <c r="AF152" s="3"/>
      <c r="AG152" s="3" t="str">
        <f ca="1">IFERROR(__xludf.DUMMYFUNCTION("GOOGLETRANSLATE(AH152,""en"",""ta"")"),"#VALUE!")</f>
        <v>#VALUE!</v>
      </c>
      <c r="AH152" s="3"/>
      <c r="AI152" s="3" t="str">
        <f ca="1">IFERROR(__xludf.DUMMYFUNCTION("GOOGLETRANSLATE(AJ152,""en"",""ta"")"),"#VALUE!")</f>
        <v>#VALUE!</v>
      </c>
      <c r="AJ152" s="3"/>
      <c r="AK152" s="3" t="str">
        <f ca="1">IFERROR(__xludf.DUMMYFUNCTION("GOOGLETRANSLATE(AL152,""en"",""ta"")"),"#VALUE!")</f>
        <v>#VALUE!</v>
      </c>
      <c r="AL152" s="3"/>
      <c r="AM152" s="3" t="str">
        <f ca="1">IFERROR(__xludf.DUMMYFUNCTION("GOOGLETRANSLATE(AN152,""en"",""ta"")"),"#VALUE!")</f>
        <v>#VALUE!</v>
      </c>
      <c r="AN152" s="3"/>
      <c r="AO152" s="3" t="str">
        <f ca="1">IFERROR(__xludf.DUMMYFUNCTION("GOOGLETRANSLATE(AP152,""en"",""ta"")"),"#VALUE!")</f>
        <v>#VALUE!</v>
      </c>
      <c r="AP152" s="3"/>
      <c r="AQ152" s="3"/>
      <c r="AR152" s="3" t="str">
        <f ca="1">IFERROR(__xludf.DUMMYFUNCTION("GOOGLETRANSLATE(AS152,""en"",""ta"")"),"குளிர்பதனப் பொருள், வயிற்று வலி நிவாரணி, டானிக், துவர்ப்பு மருந்து மற்றும் இரைப்பைக் குடல் வலி நிவாரணி.")</f>
        <v>குளிர்பதனப் பொருள், வயிற்று வலி நிவாரணி, டானிக், துவர்ப்பு மருந்து மற்றும் இரைப்பைக் குடல் வலி நிவாரணி.</v>
      </c>
      <c r="AS152" s="4" t="s">
        <v>1896</v>
      </c>
      <c r="AT152" s="3" t="str">
        <f ca="1">IFERROR(__xludf.DUMMYFUNCTION("GOOGLETRANSLATE(AU152,""en"",""ta"")"),"சிட்ரிக் அமிலம், லிமோனீன், ஜெரானியோல், கேம்பஸ்டெரால், ஸ்டிக்மாஸ்டரால், பி-சிட்டோஸ்டெரால், நோபிலிடின், லிமோனின், பொன்கனெட்டின், கொழுப்பு, 6,7,-டைமெத்தாக்ஸி கூமரைன் மற்றும் 5-டிமெத்தில் நோபிலெட்டின்.")</f>
        <v>சிட்ரிக் அமிலம், லிமோனீன், ஜெரானியோல், கேம்பஸ்டெரால், ஸ்டிக்மாஸ்டரால், பி-சிட்டோஸ்டெரால், நோபிலிடின், லிமோனின், பொன்கனெட்டின், கொழுப்பு, 6,7,-டைமெத்தாக்ஸி கூமரைன் மற்றும் 5-டிமெத்தில் நோபிலெட்டின்.</v>
      </c>
      <c r="AU152" s="4" t="s">
        <v>1897</v>
      </c>
      <c r="AV152" s="3"/>
      <c r="AW152" s="3" t="str">
        <f ca="1">IFERROR(__xludf.DUMMYFUNCTION("GOOGLETRANSLATE(AX152,""en"",""ta"")"),"i) வாந்தியைக் கட்டுப்படுத்தவும், பிரச்சனைகளைக் குணப்படுத்தவும் பழச்சாறு உட்புறமாக எடுத்துக்கொள்ளப்படுகிறது.
ii) பழச்சாறு ஒரு நல்ல டானிக்காக எடுத்துக் கொள்ளப்படுகிறது.")</f>
        <v>i) வாந்தியைக் கட்டுப்படுத்தவும், பிரச்சனைகளைக் குணப்படுத்தவும் பழச்சாறு உட்புறமாக எடுத்துக்கொள்ளப்படுகிறது.
ii) பழச்சாறு ஒரு நல்ல டானிக்காக எடுத்துக் கொள்ளப்படுகிறது.</v>
      </c>
      <c r="AX152" s="4" t="s">
        <v>2538</v>
      </c>
      <c r="AY152" s="3"/>
      <c r="AZ152" s="3"/>
      <c r="BA152" s="3"/>
      <c r="BB152" s="3"/>
      <c r="BC152" s="3"/>
      <c r="BD152" s="3"/>
      <c r="BE152" s="3"/>
      <c r="BF152" s="3"/>
    </row>
    <row r="153" spans="1:58" ht="84" x14ac:dyDescent="0.15">
      <c r="A153" s="3">
        <v>152</v>
      </c>
      <c r="B153" s="3" t="str">
        <f ca="1">IFERROR(__xludf.DUMMYFUNCTION("GOOGLETRANSLATE(C153,""en"",""ta"")"),"கிளியோம் விஸ்கோசா")</f>
        <v>கிளியோம் விஸ்கோசா</v>
      </c>
      <c r="C153" s="4" t="s">
        <v>1899</v>
      </c>
      <c r="D153" s="3" t="str">
        <f ca="1">IFERROR(__xludf.DUMMYFUNCTION("GOOGLETRANSLATE(E153,""en"",""ta"")"),"பசுகந்தா")</f>
        <v>பசுகந்தா</v>
      </c>
      <c r="E153" s="4" t="s">
        <v>1900</v>
      </c>
      <c r="F153" s="3" t="str">
        <f ca="1">IFERROR(__xludf.DUMMYFUNCTION("GOOGLETRANSLATE(G153,""en"",""ta"")"),"நாய் கடுகு")</f>
        <v>நாய் கடுகு</v>
      </c>
      <c r="G153" s="4" t="s">
        <v>1901</v>
      </c>
      <c r="H153" s="3" t="str">
        <f ca="1">IFERROR(__xludf.DUMMYFUNCTION("GOOGLETRANSLATE(I153,""en"",""ta"")"),"நாய் கடுகு")</f>
        <v>நாய் கடுகு</v>
      </c>
      <c r="I153" s="4" t="s">
        <v>1902</v>
      </c>
      <c r="J153" s="3" t="str">
        <f ca="1">IFERROR(__xludf.DUMMYFUNCTION("GOOGLETRANSLATE(K153,""en"",""ta"")"),"குக்க வாமிந்தா")</f>
        <v>குக்க வாமிந்தா</v>
      </c>
      <c r="K153" s="4" t="s">
        <v>1903</v>
      </c>
      <c r="L153" s="3" t="str">
        <f ca="1">IFERROR(__xludf.DUMMYFUNCTION("GOOGLETRANSLATE(M153,""en"",""ta"")"),"ஆர்யவல்")</f>
        <v>ஆர்யவல்</v>
      </c>
      <c r="M153" s="4" t="s">
        <v>1904</v>
      </c>
      <c r="N153" s="3" t="str">
        <f ca="1">IFERROR(__xludf.DUMMYFUNCTION("GOOGLETRANSLATE(O153,""en"",""ta"")"),"ஜங்லி ஹர்-ஹர்")</f>
        <v>ஜங்லி ஹர்-ஹர்</v>
      </c>
      <c r="O153" s="4" t="s">
        <v>1905</v>
      </c>
      <c r="P153" s="3"/>
      <c r="Q153" s="3" t="str">
        <f ca="1">IFERROR(__xludf.DUMMYFUNCTION("GOOGLETRANSLATE(R153,""en"",""ta"")"),"வருடாந்திர காரமான மற்றும் ஒட்டும் மூலிகை. இலைகள் எளிமையானவை, 3-9 இலைகள் கொண்டவை. முழு தாவரமும் தண்டு சுரப்பிகளுடன் பிசுபிசுப்பானது. பூக்கள் ரேஸ்மோஸ் மஞ்சரியில், முனையத்தில் அல்லது இலைக்கோணங்களில் மற்றும் மஞ்சள் நிறத்தில் இருக்கும். பழங்கள் காப்ஸ்யூல், நீள"&amp;"்வட்ட அல்லது நேரியல்.")</f>
        <v>வருடாந்திர காரமான மற்றும் ஒட்டும் மூலிகை. இலைகள் எளிமையானவை, 3-9 இலைகள் கொண்டவை. முழு தாவரமும் தண்டு சுரப்பிகளுடன் பிசுபிசுப்பானது. பூக்கள் ரேஸ்மோஸ் மஞ்சரியில், முனையத்தில் அல்லது இலைக்கோணங்களில் மற்றும் மஞ்சள் நிறத்தில் இருக்கும். பழங்கள் காப்ஸ்யூல், நீள்வட்ட அல்லது நேரியல்.</v>
      </c>
      <c r="R153" s="4" t="s">
        <v>1906</v>
      </c>
      <c r="S153" s="3" t="str">
        <f ca="1">IFERROR(__xludf.DUMMYFUNCTION("GOOGLETRANSLATE(T153,""en"",""ta"")"),"#VALUE!")</f>
        <v>#VALUE!</v>
      </c>
      <c r="T153" s="3"/>
      <c r="U153" s="3" t="str">
        <f ca="1">IFERROR(__xludf.DUMMYFUNCTION("GOOGLETRANSLATE(V153,""en"",""ta"")"),"#VALUE!")</f>
        <v>#VALUE!</v>
      </c>
      <c r="V153" s="3"/>
      <c r="W153" s="3" t="str">
        <f ca="1">IFERROR(__xludf.DUMMYFUNCTION("GOOGLETRANSLATE(X153,""en"",""ta"")"),"#VALUE!")</f>
        <v>#VALUE!</v>
      </c>
      <c r="X153" s="3"/>
      <c r="Y153" s="3" t="str">
        <f ca="1">IFERROR(__xludf.DUMMYFUNCTION("GOOGLETRANSLATE(Z153,""en"",""ta"")"),"#VALUE!")</f>
        <v>#VALUE!</v>
      </c>
      <c r="Z153" s="3"/>
      <c r="AA153" s="3" t="str">
        <f ca="1">IFERROR(__xludf.DUMMYFUNCTION("GOOGLETRANSLATE(AB153,""en"",""ta"")"),"#VALUE!")</f>
        <v>#VALUE!</v>
      </c>
      <c r="AB153" s="3"/>
      <c r="AC153" s="3" t="str">
        <f ca="1">IFERROR(__xludf.DUMMYFUNCTION("GOOGLETRANSLATE(AD153,""en"",""ta"")"),"#VALUE!")</f>
        <v>#VALUE!</v>
      </c>
      <c r="AD153" s="3"/>
      <c r="AE153" s="3" t="str">
        <f ca="1">IFERROR(__xludf.DUMMYFUNCTION("GOOGLETRANSLATE(AF153,""en"",""ta"")"),"#VALUE!")</f>
        <v>#VALUE!</v>
      </c>
      <c r="AF153" s="3"/>
      <c r="AG153" s="3" t="str">
        <f ca="1">IFERROR(__xludf.DUMMYFUNCTION("GOOGLETRANSLATE(AH153,""en"",""ta"")"),"#VALUE!")</f>
        <v>#VALUE!</v>
      </c>
      <c r="AH153" s="3"/>
      <c r="AI153" s="3" t="str">
        <f ca="1">IFERROR(__xludf.DUMMYFUNCTION("GOOGLETRANSLATE(AJ153,""en"",""ta"")"),"#VALUE!")</f>
        <v>#VALUE!</v>
      </c>
      <c r="AJ153" s="3"/>
      <c r="AK153" s="3" t="str">
        <f ca="1">IFERROR(__xludf.DUMMYFUNCTION("GOOGLETRANSLATE(AL153,""en"",""ta"")"),"#VALUE!")</f>
        <v>#VALUE!</v>
      </c>
      <c r="AL153" s="3"/>
      <c r="AM153" s="3" t="str">
        <f ca="1">IFERROR(__xludf.DUMMYFUNCTION("GOOGLETRANSLATE(AN153,""en"",""ta"")"),"#VALUE!")</f>
        <v>#VALUE!</v>
      </c>
      <c r="AN153" s="3"/>
      <c r="AO153" s="3" t="str">
        <f ca="1">IFERROR(__xludf.DUMMYFUNCTION("GOOGLETRANSLATE(AP153,""en"",""ta"")"),"#VALUE!")</f>
        <v>#VALUE!</v>
      </c>
      <c r="AP153" s="3"/>
      <c r="AQ153" s="3"/>
      <c r="AR153" s="3" t="str">
        <f ca="1">IFERROR(__xludf.DUMMYFUNCTION("GOOGLETRANSLATE(AS153,""en"",""ta"")"),"கார்மினேட்டிவ், ஆன்டெல்மிண்டிக், கிருமி நாசினி, ரூபிஃபேசியன்ட் மற்றும் வெசிகன்ட்.")</f>
        <v>கார்மினேட்டிவ், ஆன்டெல்மிண்டிக், கிருமி நாசினி, ரூபிஃபேசியன்ட் மற்றும் வெசிகன்ட்.</v>
      </c>
      <c r="AS153" s="4" t="s">
        <v>1907</v>
      </c>
      <c r="AT153" s="3" t="str">
        <f ca="1">IFERROR(__xludf.DUMMYFUNCTION("GOOGLETRANSLATE(AU153,""en"",""ta"")"),"கிளியோமிஸ்கோசின் A,B,C,D, கிளியோமியோசைடு, விஸ்கோசிக் அமிலம், டோகோசனோயிக் அமிலம், கிளியோமால்டீக் அமிலம், லினோலிக் அமிலம், எரியோடிக்டியோல்-5-ராம்னோசைடு, கேம்ப்ஃபெரைடு-3-குளுகுரோனைடு மற்றும் விஸ்கோசின்.")</f>
        <v>கிளியோமிஸ்கோசின் A,B,C,D, கிளியோமியோசைடு, விஸ்கோசிக் அமிலம், டோகோசனோயிக் அமிலம், கிளியோமால்டீக் அமிலம், லினோலிக் அமிலம், எரியோடிக்டியோல்-5-ராம்னோசைடு, கேம்ப்ஃபெரைடு-3-குளுகுரோனைடு மற்றும் விஸ்கோசின்.</v>
      </c>
      <c r="AU153" s="4" t="s">
        <v>1908</v>
      </c>
      <c r="AV153" s="3"/>
      <c r="AW153" s="3" t="str">
        <f ca="1">IFERROR(__xludf.DUMMYFUNCTION("GOOGLETRANSLATE(AX153,""en"",""ta"")"),"i) இலைச்சாறு காது வலிக்கு காது சொட்டு மருந்தாகப் பயன்படுத்தப்படுகிறது. வருடாந்திர காரமான மற்றும் ஒட்டும் மூலிகை. இலைகள் எளிமையானவை, 3-9 இலைகள் கொண்டவை. 
முழு தாவரமும் தண்டு சுரப்பிகளுடன் பிசுபிசுப்பானது. பூக்கள் ரேஸ்மோஸ் மஞ்சரியில், முனையத்தில் அல்லது இல"&amp;"ைக்கோணங்களில் மற்றும் மஞ்சள் நிறத்தில் இருக்கும்.
பழங்கள் காப்ஸ்யூல், நீள்வட்ட அல்லது நேரியல். ii) புதிய இலைச்சாறு பல் வலிக்கு வாய்வழியாக எடுக்கப்படுகிறது.")</f>
        <v>i) இலைச்சாறு காது வலிக்கு காது சொட்டு மருந்தாகப் பயன்படுத்தப்படுகிறது. வருடாந்திர காரமான மற்றும் ஒட்டும் மூலிகை. இலைகள் எளிமையானவை, 3-9 இலைகள் கொண்டவை. 
முழு தாவரமும் தண்டு சுரப்பிகளுடன் பிசுபிசுப்பானது. பூக்கள் ரேஸ்மோஸ் மஞ்சரியில், முனையத்தில் அல்லது இலைக்கோணங்களில் மற்றும் மஞ்சள் நிறத்தில் இருக்கும்.
பழங்கள் காப்ஸ்யூல், நீள்வட்ட அல்லது நேரியல். ii) புதிய இலைச்சாறு பல் வலிக்கு வாய்வழியாக எடுக்கப்படுகிறது.</v>
      </c>
      <c r="AX153" s="4" t="s">
        <v>2539</v>
      </c>
      <c r="AY153" s="3"/>
      <c r="AZ153" s="3"/>
      <c r="BA153" s="3"/>
      <c r="BB153" s="3"/>
      <c r="BC153" s="3"/>
      <c r="BD153" s="3"/>
      <c r="BE153" s="3"/>
      <c r="BF153" s="3"/>
    </row>
    <row r="154" spans="1:58" ht="56" x14ac:dyDescent="0.15">
      <c r="A154" s="3">
        <v>153</v>
      </c>
      <c r="B154" s="3" t="str">
        <f ca="1">IFERROR(__xludf.DUMMYFUNCTION("GOOGLETRANSLATE(C154,""en"",""ta"")"),"கிளெரோடென்ட்ரம் இனெர்ம்")</f>
        <v>கிளெரோடென்ட்ரம் இனெர்ம்</v>
      </c>
      <c r="C154" s="4" t="s">
        <v>1910</v>
      </c>
      <c r="D154" s="3" t="str">
        <f ca="1">IFERROR(__xludf.DUMMYFUNCTION("GOOGLETRANSLATE(E154,""en"",""ta"")"),"குத்ர அக்னிமந்தா")</f>
        <v>குத்ர அக்னிமந்தா</v>
      </c>
      <c r="E154" s="4" t="s">
        <v>1911</v>
      </c>
      <c r="F154" s="3" t="str">
        <f ca="1">IFERROR(__xludf.DUMMYFUNCTION("GOOGLETRANSLATE(G154,""en"",""ta"")"),"சங்கங்குப்பி")</f>
        <v>சங்கங்குப்பி</v>
      </c>
      <c r="G154" s="4" t="s">
        <v>1912</v>
      </c>
      <c r="H154" s="3" t="str">
        <f ca="1">IFERROR(__xludf.DUMMYFUNCTION("GOOGLETRANSLATE(I154,""en"",""ta"")"),"தோட்ட குயினின்")</f>
        <v>தோட்ட குயினின்</v>
      </c>
      <c r="I154" s="4" t="s">
        <v>1913</v>
      </c>
      <c r="J154" s="3" t="str">
        <f ca="1">IFERROR(__xludf.DUMMYFUNCTION("GOOGLETRANSLATE(K154,""en"",""ta"")"),"பிஷினிகா")</f>
        <v>பிஷினிகா</v>
      </c>
      <c r="K154" s="4" t="s">
        <v>1914</v>
      </c>
      <c r="L154" s="3" t="str">
        <f ca="1">IFERROR(__xludf.DUMMYFUNCTION("GOOGLETRANSLATE(M154,""en"",""ta"")"),"நிர்-நோடிஜில்")</f>
        <v>நிர்-நோடிஜில்</v>
      </c>
      <c r="M154" s="4" t="s">
        <v>1915</v>
      </c>
      <c r="N154" s="3" t="str">
        <f ca="1">IFERROR(__xludf.DUMMYFUNCTION("GOOGLETRANSLATE(O154,""en"",""ta"")"),"பின்ஜோவாம்")</f>
        <v>பின்ஜோவாம்</v>
      </c>
      <c r="O154" s="4" t="s">
        <v>1916</v>
      </c>
      <c r="P154" s="3"/>
      <c r="Q154" s="3" t="str">
        <f ca="1">IFERROR(__xludf.DUMMYFUNCTION("GOOGLETRANSLATE(R154,""en"",""ta"")"),"ஒரு குறுகலான புதர். இலைகள் எதிரெதிர், எளிமையானவை, முழுமையானவை மற்றும் உரோமங்களற்றவை. பூக்கள் இலைக்கோணங்களில் அல்லது முனைய டைகேசியல் சைமில், பெரும்பாலும் கீழே இலைகளைக் கொண்டிருக்கும். பழங்கள் கோள வடிவ உலர்ந்த பழுப்பு நிற ட்ரூப், சதைப்பற்றுள்ளவை அல்லது அரித"&amp;"ாக உலர்ந்தவை. விதைகள் ஏராளம்.")</f>
        <v>ஒரு குறுகலான புதர். இலைகள் எதிரெதிர், எளிமையானவை, முழுமையானவை மற்றும் உரோமங்களற்றவை. பூக்கள் இலைக்கோணங்களில் அல்லது முனைய டைகேசியல் சைமில், பெரும்பாலும் கீழே இலைகளைக் கொண்டிருக்கும். பழங்கள் கோள வடிவ உலர்ந்த பழுப்பு நிற ட்ரூப், சதைப்பற்றுள்ளவை அல்லது அரிதாக உலர்ந்தவை. விதைகள் ஏராளம்.</v>
      </c>
      <c r="R154" s="4" t="s">
        <v>1917</v>
      </c>
      <c r="S154" s="3" t="str">
        <f ca="1">IFERROR(__xludf.DUMMYFUNCTION("GOOGLETRANSLATE(T154,""en"",""ta"")"),"#VALUE!")</f>
        <v>#VALUE!</v>
      </c>
      <c r="T154" s="3"/>
      <c r="U154" s="3" t="str">
        <f ca="1">IFERROR(__xludf.DUMMYFUNCTION("GOOGLETRANSLATE(V154,""en"",""ta"")"),"#VALUE!")</f>
        <v>#VALUE!</v>
      </c>
      <c r="V154" s="3"/>
      <c r="W154" s="3" t="str">
        <f ca="1">IFERROR(__xludf.DUMMYFUNCTION("GOOGLETRANSLATE(X154,""en"",""ta"")"),"#VALUE!")</f>
        <v>#VALUE!</v>
      </c>
      <c r="X154" s="3"/>
      <c r="Y154" s="3" t="str">
        <f ca="1">IFERROR(__xludf.DUMMYFUNCTION("GOOGLETRANSLATE(Z154,""en"",""ta"")"),"#VALUE!")</f>
        <v>#VALUE!</v>
      </c>
      <c r="Z154" s="3"/>
      <c r="AA154" s="3" t="str">
        <f ca="1">IFERROR(__xludf.DUMMYFUNCTION("GOOGLETRANSLATE(AB154,""en"",""ta"")"),"#VALUE!")</f>
        <v>#VALUE!</v>
      </c>
      <c r="AB154" s="3"/>
      <c r="AC154" s="3" t="str">
        <f ca="1">IFERROR(__xludf.DUMMYFUNCTION("GOOGLETRANSLATE(AD154,""en"",""ta"")"),"#VALUE!")</f>
        <v>#VALUE!</v>
      </c>
      <c r="AD154" s="3"/>
      <c r="AE154" s="3" t="str">
        <f ca="1">IFERROR(__xludf.DUMMYFUNCTION("GOOGLETRANSLATE(AF154,""en"",""ta"")"),"#VALUE!")</f>
        <v>#VALUE!</v>
      </c>
      <c r="AF154" s="3"/>
      <c r="AG154" s="3" t="str">
        <f ca="1">IFERROR(__xludf.DUMMYFUNCTION("GOOGLETRANSLATE(AH154,""en"",""ta"")"),"#VALUE!")</f>
        <v>#VALUE!</v>
      </c>
      <c r="AH154" s="3"/>
      <c r="AI154" s="3" t="str">
        <f ca="1">IFERROR(__xludf.DUMMYFUNCTION("GOOGLETRANSLATE(AJ154,""en"",""ta"")"),"#VALUE!")</f>
        <v>#VALUE!</v>
      </c>
      <c r="AJ154" s="3"/>
      <c r="AK154" s="3" t="str">
        <f ca="1">IFERROR(__xludf.DUMMYFUNCTION("GOOGLETRANSLATE(AL154,""en"",""ta"")"),"#VALUE!")</f>
        <v>#VALUE!</v>
      </c>
      <c r="AL154" s="3"/>
      <c r="AM154" s="3" t="str">
        <f ca="1">IFERROR(__xludf.DUMMYFUNCTION("GOOGLETRANSLATE(AN154,""en"",""ta"")"),"#VALUE!")</f>
        <v>#VALUE!</v>
      </c>
      <c r="AN154" s="3"/>
      <c r="AO154" s="3" t="str">
        <f ca="1">IFERROR(__xludf.DUMMYFUNCTION("GOOGLETRANSLATE(AP154,""en"",""ta"")"),"#VALUE!")</f>
        <v>#VALUE!</v>
      </c>
      <c r="AP154" s="3"/>
      <c r="AQ154" s="3"/>
      <c r="AR154" s="3" t="str">
        <f ca="1">IFERROR(__xludf.DUMMYFUNCTION("GOOGLETRANSLATE(AS154,""en"",""ta"")"),"டானிக், ஃபெப்ரிஃபியூஜ், எக்ஸ்பெக்டோரண்ட், ஆண்டிபீரியோடிக், ஆண்டிமைக்ரோபியல், மாற்று, வலி ​​நிவாரணி.")</f>
        <v>டானிக், ஃபெப்ரிஃபியூஜ், எக்ஸ்பெக்டோரண்ட், ஆண்டிபீரியோடிக், ஆண்டிமைக்ரோபியல், மாற்று, வலி ​​நிவாரணி.</v>
      </c>
      <c r="AS154" s="4" t="s">
        <v>1918</v>
      </c>
      <c r="AT154" s="3" t="str">
        <f ca="1">IFERROR(__xludf.DUMMYFUNCTION("GOOGLETRANSLATE(AU154,""en"",""ta"")"),"கிளெரோடென்ட்ரின் பி,சி, கிளெரோடெர்மிக் அமிலம், கிளெரோடின், கிளெரோய்னெர்மின், ஸ்டிக்மாஸ்டரோல், ஸ்குடெல்லரின், ஏ பிஜெனின், பிராசிகாஸ்டெரால் மற்றும்")</f>
        <v>கிளெரோடென்ட்ரின் பி,சி, கிளெரோடெர்மிக் அமிலம், கிளெரோடின், கிளெரோய்னெர்மின், ஸ்டிக்மாஸ்டரோல், ஸ்குடெல்லரின், ஏ பிஜெனின், பிராசிகாஸ்டெரால் மற்றும்</v>
      </c>
      <c r="AU154" s="4" t="s">
        <v>1919</v>
      </c>
      <c r="AV154" s="3"/>
      <c r="AW154" s="3" t="str">
        <f ca="1">IFERROR(__xludf.DUMMYFUNCTION("GOOGLETRANSLATE(AX154,""en"",""ta"")"),"i) இலைகளை எள் எண்ணெயில் சூடாக்கி, பூண்டு மற்றும் மிளகு சேர்த்து அரைத்து யானைக்கால் நோயில் தடவலாம். 
ii) இலைச் சாறு தசை வலி மற்றும் கால் விறைப்பைப் போக்க வாய்வழியாக எடுத்துக் கொள்ளப்படுகிறது.")</f>
        <v>i) இலைகளை எள் எண்ணெயில் சூடாக்கி, பூண்டு மற்றும் மிளகு சேர்த்து அரைத்து யானைக்கால் நோயில் தடவலாம். 
ii) இலைச் சாறு தசை வலி மற்றும் கால் விறைப்பைப் போக்க வாய்வழியாக எடுத்துக் கொள்ளப்படுகிறது.</v>
      </c>
      <c r="AX154" s="4" t="s">
        <v>2540</v>
      </c>
      <c r="AY154" s="3"/>
      <c r="AZ154" s="3"/>
      <c r="BA154" s="3"/>
      <c r="BB154" s="3"/>
      <c r="BC154" s="3"/>
      <c r="BD154" s="3"/>
      <c r="BE154" s="3"/>
      <c r="BF154" s="3"/>
    </row>
    <row r="155" spans="1:58" ht="56" x14ac:dyDescent="0.15">
      <c r="A155" s="3">
        <v>154</v>
      </c>
      <c r="B155" s="3" t="str">
        <f ca="1">IFERROR(__xludf.DUMMYFUNCTION("GOOGLETRANSLATE(C155,""en"",""ta"")"),"கிளெரோடென்ட்ரம் மல்டிஃப்ளோரம்")</f>
        <v>கிளெரோடென்ட்ரம் மல்டிஃப்ளோரம்</v>
      </c>
      <c r="C155" s="4" t="s">
        <v>1921</v>
      </c>
      <c r="D155" s="3" t="str">
        <f ca="1">IFERROR(__xludf.DUMMYFUNCTION("GOOGLETRANSLATE(E155,""en"",""ta"")"),"அக்னிமந்தா")</f>
        <v>அக்னிமந்தா</v>
      </c>
      <c r="E155" s="4" t="s">
        <v>1922</v>
      </c>
      <c r="F155" s="3" t="str">
        <f ca="1">IFERROR(__xludf.DUMMYFUNCTION("GOOGLETRANSLATE(G155,""en"",""ta"")"),"தழு-தாழை")</f>
        <v>தழு-தாழை</v>
      </c>
      <c r="G155" s="4" t="s">
        <v>1923</v>
      </c>
      <c r="H155" s="3" t="str">
        <f ca="1">IFERROR(__xludf.DUMMYFUNCTION("GOOGLETRANSLATE(I155,""en"",""ta"")"),"கிளெரோடென்ட்ரான்")</f>
        <v>கிளெரோடென்ட்ரான்</v>
      </c>
      <c r="I155" s="4" t="s">
        <v>1924</v>
      </c>
      <c r="J155" s="3" t="str">
        <f ca="1">IFERROR(__xludf.DUMMYFUNCTION("GOOGLETRANSLATE(K155,""en"",""ta"")"),"தக்கோலமு")</f>
        <v>தக்கோலமு</v>
      </c>
      <c r="K155" s="4" t="s">
        <v>1925</v>
      </c>
      <c r="L155" s="3" t="str">
        <f ca="1">IFERROR(__xludf.DUMMYFUNCTION("GOOGLETRANSLATE(M155,""en"",""ta"")"),"திருதலி")</f>
        <v>திருதலி</v>
      </c>
      <c r="M155" s="4" t="s">
        <v>1926</v>
      </c>
      <c r="N155" s="3" t="str">
        <f ca="1">IFERROR(__xludf.DUMMYFUNCTION("GOOGLETRANSLATE(O155,""en"",""ta"")"),"ஆர்னி")</f>
        <v>ஆர்னி</v>
      </c>
      <c r="O155" s="4" t="s">
        <v>1927</v>
      </c>
      <c r="P155" s="3"/>
      <c r="Q155" s="3" t="str">
        <f ca="1">IFERROR(__xludf.DUMMYFUNCTION("GOOGLETRANSLATE(R155,""en"",""ta"")"),"ஒரு பெரிய புதர், இலைகள் முட்டை வடிவானது அல்லது சப்-ரோம்பாய்டு, மழுங்கிய அல்லது கூரியது மற்றும் பற்களுடையது. மலர்கள் வெள்ளை அல்லது இளஞ்சிவப்பு நிறத்தில் சிறிய இருமுனையுடைய இலைக்கோணங்களில் காணப்படும், வட்டமான முனைய பேனிக்கிள்களை உருவாக்குகின்றன. பழங்கள் உள்"&amp;"ளோட்டுத்தசை, அகன்ற முட்டை வடிவானது, பழுக்கும்போது கருப்பு.")</f>
        <v>ஒரு பெரிய புதர், இலைகள் முட்டை வடிவானது அல்லது சப்-ரோம்பாய்டு, மழுங்கிய அல்லது கூரியது மற்றும் பற்களுடையது. மலர்கள் வெள்ளை அல்லது இளஞ்சிவப்பு நிறத்தில் சிறிய இருமுனையுடைய இலைக்கோணங்களில் காணப்படும், வட்டமான முனைய பேனிக்கிள்களை உருவாக்குகின்றன. பழங்கள் உள்ளோட்டுத்தசை, அகன்ற முட்டை வடிவானது, பழுக்கும்போது கருப்பு.</v>
      </c>
      <c r="R155" s="4" t="s">
        <v>1928</v>
      </c>
      <c r="S155" s="3" t="str">
        <f ca="1">IFERROR(__xludf.DUMMYFUNCTION("GOOGLETRANSLATE(T155,""en"",""ta"")"),"தட்டம்மை, கோனோரியா.")</f>
        <v>தட்டம்மை, கோனோரியா.</v>
      </c>
      <c r="T155" s="4" t="s">
        <v>1929</v>
      </c>
      <c r="U155" s="3" t="str">
        <f ca="1">IFERROR(__xludf.DUMMYFUNCTION("GOOGLETRANSLATE(V155,""en"",""ta"")"),"#VALUE!")</f>
        <v>#VALUE!</v>
      </c>
      <c r="V155" s="3"/>
      <c r="W155" s="3" t="str">
        <f ca="1">IFERROR(__xludf.DUMMYFUNCTION("GOOGLETRANSLATE(X155,""en"",""ta"")"),"சிபிலிஸ், மலேரியா, வயிற்று வலி.")</f>
        <v>சிபிலிஸ், மலேரியா, வயிற்று வலி.</v>
      </c>
      <c r="X155" s="4" t="s">
        <v>1930</v>
      </c>
      <c r="Y155" s="3" t="str">
        <f ca="1">IFERROR(__xludf.DUMMYFUNCTION("GOOGLETRANSLATE(Z155,""en"",""ta"")"),"#VALUE!")</f>
        <v>#VALUE!</v>
      </c>
      <c r="Z155" s="3"/>
      <c r="AA155" s="3" t="str">
        <f ca="1">IFERROR(__xludf.DUMMYFUNCTION("GOOGLETRANSLATE(AB155,""en"",""ta"")"),"#VALUE!")</f>
        <v>#VALUE!</v>
      </c>
      <c r="AB155" s="3"/>
      <c r="AC155" s="3" t="str">
        <f ca="1">IFERROR(__xludf.DUMMYFUNCTION("GOOGLETRANSLATE(AD155,""en"",""ta"")"),"#VALUE!")</f>
        <v>#VALUE!</v>
      </c>
      <c r="AD155" s="3"/>
      <c r="AE155" s="3" t="str">
        <f ca="1">IFERROR(__xludf.DUMMYFUNCTION("GOOGLETRANSLATE(AF155,""en"",""ta"")"),"#VALUE!")</f>
        <v>#VALUE!</v>
      </c>
      <c r="AF155" s="3"/>
      <c r="AG155" s="3" t="str">
        <f ca="1">IFERROR(__xludf.DUMMYFUNCTION("GOOGLETRANSLATE(AH155,""en"",""ta"")"),"#VALUE!")</f>
        <v>#VALUE!</v>
      </c>
      <c r="AH155" s="3"/>
      <c r="AI155" s="3" t="str">
        <f ca="1">IFERROR(__xludf.DUMMYFUNCTION("GOOGLETRANSLATE(AJ155,""en"",""ta"")"),"#VALUE!")</f>
        <v>#VALUE!</v>
      </c>
      <c r="AJ155" s="3"/>
      <c r="AK155" s="3" t="str">
        <f ca="1">IFERROR(__xludf.DUMMYFUNCTION("GOOGLETRANSLATE(AL155,""en"",""ta"")"),"#VALUE!")</f>
        <v>#VALUE!</v>
      </c>
      <c r="AL155" s="3"/>
      <c r="AM155" s="3" t="str">
        <f ca="1">IFERROR(__xludf.DUMMYFUNCTION("GOOGLETRANSLATE(AN155,""en"",""ta"")"),"#VALUE!")</f>
        <v>#VALUE!</v>
      </c>
      <c r="AN155" s="3"/>
      <c r="AO155" s="3" t="str">
        <f ca="1">IFERROR(__xludf.DUMMYFUNCTION("GOOGLETRANSLATE(AP155,""en"",""ta"")"),"#VALUE!")</f>
        <v>#VALUE!</v>
      </c>
      <c r="AP155" s="3"/>
      <c r="AQ155" s="3"/>
      <c r="AR155" s="3" t="str">
        <f ca="1">IFERROR(__xludf.DUMMYFUNCTION("GOOGLETRANSLATE(AS155,""en"",""ta"")"),"அழற்சி எதிர்ப்பு, ஆன்டெல்மிண்டிக், டெமுல்சென்ட்.")</f>
        <v>அழற்சி எதிர்ப்பு, ஆன்டெல்மிண்டிக், டெமுல்சென்ட்.</v>
      </c>
      <c r="AS155" s="4" t="s">
        <v>1931</v>
      </c>
      <c r="AT155" s="3" t="str">
        <f ca="1">IFERROR(__xludf.DUMMYFUNCTION("GOOGLETRANSLATE(AU155,""en"",""ta"")"),"செரில் ஆல்கஹால், கிளெரோடின், கிளெரோஸ்டெரால், கிளெரோடென்ட்ரின் ஏ, டி-மானிட்டால், பி-ஸ்குடெல்லரின், ஹிஸ்பிடுலின், பெக்டோலினரிஜெனின் மற்றும் லுடியோலின்.")</f>
        <v>செரில் ஆல்கஹால், கிளெரோடின், கிளெரோஸ்டெரால், கிளெரோடென்ட்ரின் ஏ, டி-மானிட்டால், பி-ஸ்குடெல்லரின், ஹிஸ்பிடுலின், பெக்டோலினரிஜெனின் மற்றும் லுடியோலின்.</v>
      </c>
      <c r="AU155" s="4" t="s">
        <v>1932</v>
      </c>
      <c r="AV155" s="3"/>
      <c r="AW155" s="3" t="str">
        <f ca="1">IFERROR(__xludf.DUMMYFUNCTION("GOOGLETRANSLATE(AX155,""en"",""ta"")"),"i) வெள்ளைப்படுதல் மற்றும் பிற பால்வினை நோய்களுக்கு இலைச்சாற்றுடன் ஆமணக்கு எண்ணெயை உள்ளே கொடுக்க வேண்டும். 
ii) வேர்களை எண்ணெயில் கொதிக்க வைத்து தசை சுளுக்குகளுக்கு வெளிப்புறமாக தடவ வேண்டும்.")</f>
        <v>i) வெள்ளைப்படுதல் மற்றும் பிற பால்வினை நோய்களுக்கு இலைச்சாற்றுடன் ஆமணக்கு எண்ணெயை உள்ளே கொடுக்க வேண்டும். 
ii) வேர்களை எண்ணெயில் கொதிக்க வைத்து தசை சுளுக்குகளுக்கு வெளிப்புறமாக தடவ வேண்டும்.</v>
      </c>
      <c r="AX155" s="4" t="s">
        <v>2541</v>
      </c>
      <c r="AY155" s="3"/>
      <c r="AZ155" s="3"/>
      <c r="BA155" s="3"/>
      <c r="BB155" s="3"/>
      <c r="BC155" s="3"/>
      <c r="BD155" s="3"/>
      <c r="BE155" s="3"/>
      <c r="BF155" s="3"/>
    </row>
    <row r="156" spans="1:58" ht="42" x14ac:dyDescent="0.15">
      <c r="A156" s="3">
        <v>155</v>
      </c>
      <c r="B156" s="3" t="str">
        <f ca="1">IFERROR(__xludf.DUMMYFUNCTION("GOOGLETRANSLATE(C156,""en"",""ta"")"),"கிளெரோடென்ட்ரம் செரட்டம்")</f>
        <v>கிளெரோடென்ட்ரம் செரட்டம்</v>
      </c>
      <c r="C156" s="4" t="s">
        <v>1934</v>
      </c>
      <c r="D156" s="3" t="str">
        <f ca="1">IFERROR(__xludf.DUMMYFUNCTION("GOOGLETRANSLATE(E156,""en"",""ta"")"),"பார்கி")</f>
        <v>பார்கி</v>
      </c>
      <c r="E156" s="4" t="s">
        <v>1935</v>
      </c>
      <c r="F156" s="3" t="str">
        <f ca="1">IFERROR(__xludf.DUMMYFUNCTION("GOOGLETRANSLATE(G156,""en"",""ta"")"),"சிறு தெக்கு")</f>
        <v>சிறு தெக்கு</v>
      </c>
      <c r="G156" s="4" t="s">
        <v>1936</v>
      </c>
      <c r="H156" s="3" t="str">
        <f ca="1">IFERROR(__xludf.DUMMYFUNCTION("GOOGLETRANSLATE(I156,""en"",""ta"")"),"வண்டு கொல்லி வேர்")</f>
        <v>வண்டு கொல்லி வேர்</v>
      </c>
      <c r="I156" s="4" t="s">
        <v>1937</v>
      </c>
      <c r="J156" s="3" t="str">
        <f ca="1">IFERROR(__xludf.DUMMYFUNCTION("GOOGLETRANSLATE(K156,""en"",""ta"")"),"கந்து பரங்கி")</f>
        <v>கந்து பரங்கி</v>
      </c>
      <c r="K156" s="4" t="s">
        <v>1938</v>
      </c>
      <c r="L156" s="3" t="str">
        <f ca="1">IFERROR(__xludf.DUMMYFUNCTION("GOOGLETRANSLATE(M156,""en"",""ta"")"),"சிறு தேக்கு")</f>
        <v>சிறு தேக்கு</v>
      </c>
      <c r="M156" s="4" t="s">
        <v>1939</v>
      </c>
      <c r="N156" s="3" t="str">
        <f ca="1">IFERROR(__xludf.DUMMYFUNCTION("GOOGLETRANSLATE(O156,""en"",""ta"")"),"பரன்கி")</f>
        <v>பரன்கி</v>
      </c>
      <c r="O156" s="4" t="s">
        <v>1940</v>
      </c>
      <c r="P156" s="3"/>
      <c r="Q156" s="3" t="str">
        <f ca="1">IFERROR(__xludf.DUMMYFUNCTION("GOOGLETRANSLATE(R156,""en"",""ta"")"),"இலைகள் எதிரெதிர், எளிமையான, முழுமையான, நீள்வட்ட வடிவ, நீள்வட்ட வடிவ, கூரிய முனை மற்றும் கரடுமுரடான ரம்பம் போன்ற ரம்பம் போன்ற புதர். பூக்கள் நீலம் அல்லது வெள்ளை நிறத்தில் முனை பேனிக்கிள்களில் காணப்படும், பெரும்பாலும் கீழே இலைகள் கொண்டவை. பழங்கள் கோள வடிவ ட"&amp;"்ரூப்.")</f>
        <v>இலைகள் எதிரெதிர், எளிமையான, முழுமையான, நீள்வட்ட வடிவ, நீள்வட்ட வடிவ, கூரிய முனை மற்றும் கரடுமுரடான ரம்பம் போன்ற ரம்பம் போன்ற புதர். பூக்கள் நீலம் அல்லது வெள்ளை நிறத்தில் முனை பேனிக்கிள்களில் காணப்படும், பெரும்பாலும் கீழே இலைகள் கொண்டவை. பழங்கள் கோள வடிவ ட்ரூப்.</v>
      </c>
      <c r="R156" s="4" t="s">
        <v>1941</v>
      </c>
      <c r="S156" s="3" t="str">
        <f ca="1">IFERROR(__xludf.DUMMYFUNCTION("GOOGLETRANSLATE(T156,""en"",""ta"")"),"#VALUE!")</f>
        <v>#VALUE!</v>
      </c>
      <c r="T156" s="3"/>
      <c r="U156" s="3" t="str">
        <f ca="1">IFERROR(__xludf.DUMMYFUNCTION("GOOGLETRANSLATE(V156,""en"",""ta"")"),"#VALUE!")</f>
        <v>#VALUE!</v>
      </c>
      <c r="V156" s="3"/>
      <c r="W156" s="3" t="str">
        <f ca="1">IFERROR(__xludf.DUMMYFUNCTION("GOOGLETRANSLATE(X156,""en"",""ta"")"),"கொப்புளங்கள், பாம்பு கடி.")</f>
        <v>கொப்புளங்கள், பாம்பு கடி.</v>
      </c>
      <c r="X156" s="4" t="s">
        <v>1942</v>
      </c>
      <c r="Y156" s="3" t="str">
        <f ca="1">IFERROR(__xludf.DUMMYFUNCTION("GOOGLETRANSLATE(Z156,""en"",""ta"")"),"#VALUE!")</f>
        <v>#VALUE!</v>
      </c>
      <c r="Z156" s="3"/>
      <c r="AA156" s="3" t="str">
        <f ca="1">IFERROR(__xludf.DUMMYFUNCTION("GOOGLETRANSLATE(AB156,""en"",""ta"")"),"#VALUE!")</f>
        <v>#VALUE!</v>
      </c>
      <c r="AB156" s="3"/>
      <c r="AC156" s="3" t="str">
        <f ca="1">IFERROR(__xludf.DUMMYFUNCTION("GOOGLETRANSLATE(AD156,""en"",""ta"")"),"#VALUE!")</f>
        <v>#VALUE!</v>
      </c>
      <c r="AD156" s="3"/>
      <c r="AE156" s="3" t="str">
        <f ca="1">IFERROR(__xludf.DUMMYFUNCTION("GOOGLETRANSLATE(AF156,""en"",""ta"")"),"#VALUE!")</f>
        <v>#VALUE!</v>
      </c>
      <c r="AF156" s="3"/>
      <c r="AG156" s="3" t="str">
        <f ca="1">IFERROR(__xludf.DUMMYFUNCTION("GOOGLETRANSLATE(AH156,""en"",""ta"")"),"#VALUE!")</f>
        <v>#VALUE!</v>
      </c>
      <c r="AH156" s="3"/>
      <c r="AI156" s="3" t="str">
        <f ca="1">IFERROR(__xludf.DUMMYFUNCTION("GOOGLETRANSLATE(AJ156,""en"",""ta"")"),"#VALUE!")</f>
        <v>#VALUE!</v>
      </c>
      <c r="AJ156" s="3"/>
      <c r="AK156" s="3" t="str">
        <f ca="1">IFERROR(__xludf.DUMMYFUNCTION("GOOGLETRANSLATE(AL156,""en"",""ta"")"),"#VALUE!")</f>
        <v>#VALUE!</v>
      </c>
      <c r="AL156" s="3"/>
      <c r="AM156" s="3" t="str">
        <f ca="1">IFERROR(__xludf.DUMMYFUNCTION("GOOGLETRANSLATE(AN156,""en"",""ta"")"),"#VALUE!")</f>
        <v>#VALUE!</v>
      </c>
      <c r="AN156" s="3"/>
      <c r="AO156" s="3" t="str">
        <f ca="1">IFERROR(__xludf.DUMMYFUNCTION("GOOGLETRANSLATE(AP156,""en"",""ta"")"),"#VALUE!")</f>
        <v>#VALUE!</v>
      </c>
      <c r="AP156" s="3"/>
      <c r="AQ156" s="3"/>
      <c r="AR156" s="3" t="str">
        <f ca="1">IFERROR(__xludf.DUMMYFUNCTION("GOOGLETRANSLATE(AS156,""en"",""ta"")"),"அழற்சி எதிர்ப்பு, பசியைத் தூண்டும், சளி நீக்கி, இருமல் எதிர்ப்பு")</f>
        <v>அழற்சி எதிர்ப்பு, பசியைத் தூண்டும், சளி நீக்கி, இருமல் எதிர்ப்பு</v>
      </c>
      <c r="AS156" s="4" t="s">
        <v>1943</v>
      </c>
      <c r="AT156" s="3" t="str">
        <f ca="1">IFERROR(__xludf.DUMMYFUNCTION("GOOGLETRANSLATE(AU156,""en"",""ta"")"),"செரடோஜெனிக் அமிலம், குவெரடாரோயிக் அமிலம், சபோனின்கள், ஃபெருலிக் அமிலம், அரபினோஸ் மற்றும் ஸ்குடெல்லரின்.")</f>
        <v>செரடோஜெனிக் அமிலம், குவெரடாரோயிக் அமிலம், சபோனின்கள், ஃபெருலிக் அமிலம், அரபினோஸ் மற்றும் ஸ்குடெல்லரின்.</v>
      </c>
      <c r="AU156" s="4" t="s">
        <v>1944</v>
      </c>
      <c r="AV156" s="3"/>
      <c r="AW156" s="3" t="str">
        <f ca="1">IFERROR(__xludf.DUMMYFUNCTION("GOOGLETRANSLATE(AX156,""en"",""ta"")"),"i) ஆஸ்துமா, மூச்சுக்குழாய் அழற்சி மற்றும் பிற கண்புரை நோய்களுக்கு வேர் கஷாயம் உட்புறமாக கொடுக்கப்படுகிறது.
ii) சீழ்ப்பிடிப்பை விரைவுபடுத்த இலைகளை ஒரு பூசணிக்காய் வடிவில் தடவ வேண்டும்.")</f>
        <v>i) ஆஸ்துமா, மூச்சுக்குழாய் அழற்சி மற்றும் பிற கண்புரை நோய்களுக்கு வேர் கஷாயம் உட்புறமாக கொடுக்கப்படுகிறது.
ii) சீழ்ப்பிடிப்பை விரைவுபடுத்த இலைகளை ஒரு பூசணிக்காய் வடிவில் தடவ வேண்டும்.</v>
      </c>
      <c r="AX156" s="4" t="s">
        <v>2542</v>
      </c>
      <c r="AY156" s="3"/>
      <c r="AZ156" s="3"/>
      <c r="BA156" s="3"/>
      <c r="BB156" s="3"/>
      <c r="BC156" s="3"/>
      <c r="BD156" s="3"/>
      <c r="BE156" s="3"/>
      <c r="BF156" s="3"/>
    </row>
    <row r="157" spans="1:58" ht="56" x14ac:dyDescent="0.15">
      <c r="A157" s="3">
        <v>156</v>
      </c>
      <c r="B157" s="3" t="str">
        <f ca="1">IFERROR(__xludf.DUMMYFUNCTION("GOOGLETRANSLATE(C157,""en"",""ta"")"),"கிளிட்டோரியா டெர்னேட்டியா")</f>
        <v>கிளிட்டோரியா டெர்னேட்டியா</v>
      </c>
      <c r="C157" s="4" t="s">
        <v>1946</v>
      </c>
      <c r="D157" s="3" t="str">
        <f ca="1">IFERROR(__xludf.DUMMYFUNCTION("GOOGLETRANSLATE(E157,""en"",""ta"")"),"அபராஜிதா")</f>
        <v>அபராஜிதா</v>
      </c>
      <c r="E157" s="4" t="s">
        <v>1947</v>
      </c>
      <c r="F157" s="3" t="str">
        <f ca="1">IFERROR(__xludf.DUMMYFUNCTION("GOOGLETRANSLATE(G157,""en"",""ta"")"),"கோடி-கக்கணம்")</f>
        <v>கோடி-கக்கணம்</v>
      </c>
      <c r="G157" s="4" t="s">
        <v>1948</v>
      </c>
      <c r="H157" s="3" t="str">
        <f ca="1">IFERROR(__xludf.DUMMYFUNCTION("GOOGLETRANSLATE(I157,""en"",""ta"")"),"பட்டாம்பூச்சி பட்டாணி")</f>
        <v>பட்டாம்பூச்சி பட்டாணி</v>
      </c>
      <c r="I157" s="4" t="s">
        <v>1949</v>
      </c>
      <c r="J157" s="3" t="str">
        <f ca="1">IFERROR(__xludf.DUMMYFUNCTION("GOOGLETRANSLATE(K157,""en"",""ta"")"),"சங்குபுவ்வு")</f>
        <v>சங்குபுவ்வு</v>
      </c>
      <c r="K157" s="4" t="s">
        <v>1950</v>
      </c>
      <c r="L157" s="3" t="str">
        <f ca="1">IFERROR(__xludf.DUMMYFUNCTION("GOOGLETRANSLATE(M157,""en"",""ta"")"),"ஷங்கு புஷ்பம்")</f>
        <v>ஷங்கு புஷ்பம்</v>
      </c>
      <c r="M157" s="4" t="s">
        <v>1951</v>
      </c>
      <c r="N157" s="3" t="str">
        <f ca="1">IFERROR(__xludf.DUMMYFUNCTION("GOOGLETRANSLATE(O157,""en"",""ta"")"),"அபராஜித்")</f>
        <v>அபராஜித்</v>
      </c>
      <c r="O157" s="4" t="s">
        <v>1952</v>
      </c>
      <c r="P157" s="3"/>
      <c r="Q157" s="3" t="str">
        <f ca="1">IFERROR(__xludf.DUMMYFUNCTION("GOOGLETRANSLATE(R157,""en"",""ta"")"),"மெல்லிய, வளையமான, கீழ்நோக்கிய தண்டுகளைக் கொண்ட வற்றாத ட்வினர். இலைகள் ஒற்றை-சிறகு வடிவ, 5-7 சிற்றிலைகள் கொண்டவை, நீள்வட்ட வடிவ மற்றும் மழுங்கியவை. மலர்கள் நீலம் அல்லது வெள்ளை நிறத்தில் உள்ளன மற்றும் நிலையான, இறக்கை மற்றும் கீல் இதழ்கள், இலைக்கோணங்களில் அல"&amp;"்லது தனித்த சைம் கொண்டவை. பழங்கள் தட்டையான காய்கள். விதைகள் தட்டையானவை, 6-10, மஞ்சள் கலந்த பழுப்பு, துணை கோள வடிவ.")</f>
        <v>மெல்லிய, வளையமான, கீழ்நோக்கிய தண்டுகளைக் கொண்ட வற்றாத ட்வினர். இலைகள் ஒற்றை-சிறகு வடிவ, 5-7 சிற்றிலைகள் கொண்டவை, நீள்வட்ட வடிவ மற்றும் மழுங்கியவை. மலர்கள் நீலம் அல்லது வெள்ளை நிறத்தில் உள்ளன மற்றும் நிலையான, இறக்கை மற்றும் கீல் இதழ்கள், இலைக்கோணங்களில் அல்லது தனித்த சைம் கொண்டவை. பழங்கள் தட்டையான காய்கள். விதைகள் தட்டையானவை, 6-10, மஞ்சள் கலந்த பழுப்பு, துணை கோள வடிவ.</v>
      </c>
      <c r="R157" s="4" t="s">
        <v>1953</v>
      </c>
      <c r="S157" s="3" t="str">
        <f ca="1">IFERROR(__xludf.DUMMYFUNCTION("GOOGLETRANSLATE(T157,""en"",""ta"")"),"மூட்டு வலிகள், யானைக்கால் நோய், நாள்பட்ட மூச்சுக்குழாய் அழற்சி")</f>
        <v>மூட்டு வலிகள், யானைக்கால் நோய், நாள்பட்ட மூச்சுக்குழாய் அழற்சி</v>
      </c>
      <c r="T157" s="4" t="s">
        <v>1954</v>
      </c>
      <c r="U157" s="3" t="str">
        <f ca="1">IFERROR(__xludf.DUMMYFUNCTION("GOOGLETRANSLATE(V157,""en"",""ta"")"),"கண் நோய்கள், தொண்டை வலி, சளி கோளாறுகள்.")</f>
        <v>கண் நோய்கள், தொண்டை வலி, சளி கோளாறுகள்.</v>
      </c>
      <c r="V157" s="4" t="s">
        <v>1955</v>
      </c>
      <c r="W157" s="3" t="str">
        <f ca="1">IFERROR(__xludf.DUMMYFUNCTION("GOOGLETRANSLATE(X157,""en"",""ta"")"),"ஓட்டால்ஜியா, ஹெபடோபதி வெடிப்புகள் மற்றும் ஹெக்டிக் காய்ச்சல்.")</f>
        <v>ஓட்டால்ஜியா, ஹெபடோபதி வெடிப்புகள் மற்றும் ஹெக்டிக் காய்ச்சல்.</v>
      </c>
      <c r="X157" s="4" t="s">
        <v>1956</v>
      </c>
      <c r="Y157" s="3" t="str">
        <f ca="1">IFERROR(__xludf.DUMMYFUNCTION("GOOGLETRANSLATE(Z157,""en"",""ta"")"),"#VALUE!")</f>
        <v>#VALUE!</v>
      </c>
      <c r="Z157" s="3"/>
      <c r="AA157" s="3" t="str">
        <f ca="1">IFERROR(__xludf.DUMMYFUNCTION("GOOGLETRANSLATE(AB157,""en"",""ta"")"),"#VALUE!")</f>
        <v>#VALUE!</v>
      </c>
      <c r="AB157" s="3"/>
      <c r="AC157" s="3" t="str">
        <f ca="1">IFERROR(__xludf.DUMMYFUNCTION("GOOGLETRANSLATE(AD157,""en"",""ta"")"),"#VALUE!")</f>
        <v>#VALUE!</v>
      </c>
      <c r="AD157" s="3"/>
      <c r="AE157" s="3" t="str">
        <f ca="1">IFERROR(__xludf.DUMMYFUNCTION("GOOGLETRANSLATE(AF157,""en"",""ta"")"),"#VALUE!")</f>
        <v>#VALUE!</v>
      </c>
      <c r="AF157" s="3"/>
      <c r="AG157" s="3" t="str">
        <f ca="1">IFERROR(__xludf.DUMMYFUNCTION("GOOGLETRANSLATE(AH157,""en"",""ta"")"),"#VALUE!")</f>
        <v>#VALUE!</v>
      </c>
      <c r="AH157" s="3"/>
      <c r="AI157" s="3" t="str">
        <f ca="1">IFERROR(__xludf.DUMMYFUNCTION("GOOGLETRANSLATE(AJ157,""en"",""ta"")"),"#VALUE!")</f>
        <v>#VALUE!</v>
      </c>
      <c r="AJ157" s="3"/>
      <c r="AK157" s="3" t="str">
        <f ca="1">IFERROR(__xludf.DUMMYFUNCTION("GOOGLETRANSLATE(AL157,""en"",""ta"")"),"#VALUE!")</f>
        <v>#VALUE!</v>
      </c>
      <c r="AL157" s="3"/>
      <c r="AM157" s="3" t="str">
        <f ca="1">IFERROR(__xludf.DUMMYFUNCTION("GOOGLETRANSLATE(AN157,""en"",""ta"")"),"#VALUE!")</f>
        <v>#VALUE!</v>
      </c>
      <c r="AN157" s="3"/>
      <c r="AO157" s="3" t="str">
        <f ca="1">IFERROR(__xludf.DUMMYFUNCTION("GOOGLETRANSLATE(AP157,""en"",""ta"")"),"#VALUE!")</f>
        <v>#VALUE!</v>
      </c>
      <c r="AP157" s="3"/>
      <c r="AQ157" s="3"/>
      <c r="AR157" s="3" t="str">
        <f ca="1">IFERROR(__xludf.DUMMYFUNCTION("GOOGLETRANSLATE(AS157,""en"",""ta"")"),"குளிர்பதனப் பொருள், கண் மருத்துவம், மலமிளக்கி, சிறுநீர்ப் பெருக்கி, அறிவாற்றலை ஊக்குவிக்கும், புழுக்களைக் கொல்லும் மருந்து, சிறுநீர் கழிக்கும் மருந்து மற்றும் பாலுணர்வூக்கி.")</f>
        <v>குளிர்பதனப் பொருள், கண் மருத்துவம், மலமிளக்கி, சிறுநீர்ப் பெருக்கி, அறிவாற்றலை ஊக்குவிக்கும், புழுக்களைக் கொல்லும் மருந்து, சிறுநீர் கழிக்கும் மருந்து மற்றும் பாலுணர்வூக்கி.</v>
      </c>
      <c r="AS157" s="4" t="s">
        <v>1957</v>
      </c>
      <c r="AT157" s="3" t="str">
        <f ca="1">IFERROR(__xludf.DUMMYFUNCTION("GOOGLETRANSLATE(AU157,""en"",""ta"")"),"டாராக்செரோல், டாராக்செரோன், சின்னமிக் அமிலம், அந்தோக்சாந்தின், பால்மிடிக், ஸ்டீரிக், ஒலிக், லினோலிக் அமிலங்கள், நோபிலிசின், டெர்னாடின்கள் மற்றும் குர்செடின்.")</f>
        <v>டாராக்செரோல், டாராக்செரோன், சின்னமிக் அமிலம், அந்தோக்சாந்தின், பால்மிடிக், ஸ்டீரிக், ஒலிக், லினோலிக் அமிலங்கள், நோபிலிசின், டெர்னாடின்கள் மற்றும் குர்செடின்.</v>
      </c>
      <c r="AU157" s="4" t="s">
        <v>1958</v>
      </c>
      <c r="AV157" s="3"/>
      <c r="AW157" s="3" t="str">
        <f ca="1">IFERROR(__xludf.DUMMYFUNCTION("GOOGLETRANSLATE(AX157,""en"",""ta"")"),"i) விதைகள் 7 பங்கு + கல் உப்பு 7 பங்கு மற்றும் உலர்ந்த இஞ்சியை பொடி செய்து, யானைக்கால் நோய்க்கு உள்ளுக்கு கொடுக்க வேண்டும். 
ii) இலை விழுதை உப்புடன் சேர்த்து வெளிப்புறமாகப் பயன்படுத்தினால் நிணநீர் அடினிடிஸ் ஏற்படும்.")</f>
        <v>i) விதைகள் 7 பங்கு + கல் உப்பு 7 பங்கு மற்றும் உலர்ந்த இஞ்சியை பொடி செய்து, யானைக்கால் நோய்க்கு உள்ளுக்கு கொடுக்க வேண்டும். 
ii) இலை விழுதை உப்புடன் சேர்த்து வெளிப்புறமாகப் பயன்படுத்தினால் நிணநீர் அடினிடிஸ் ஏற்படும்.</v>
      </c>
      <c r="AX157" s="4" t="s">
        <v>2543</v>
      </c>
      <c r="AY157" s="3"/>
      <c r="AZ157" s="3"/>
      <c r="BA157" s="3"/>
      <c r="BB157" s="3"/>
      <c r="BC157" s="3"/>
      <c r="BD157" s="3"/>
      <c r="BE157" s="3"/>
      <c r="BF157" s="3"/>
    </row>
    <row r="158" spans="1:58" ht="84" x14ac:dyDescent="0.15">
      <c r="A158" s="3">
        <v>157</v>
      </c>
      <c r="B158" s="3" t="str">
        <f ca="1">IFERROR(__xludf.DUMMYFUNCTION("GOOGLETRANSLATE(C158,""en"",""ta"")"),"கோசினியா கிராண்டிஸ்")</f>
        <v>கோசினியா கிராண்டிஸ்</v>
      </c>
      <c r="C158" s="4" t="s">
        <v>1960</v>
      </c>
      <c r="D158" s="3" t="str">
        <f ca="1">IFERROR(__xludf.DUMMYFUNCTION("GOOGLETRANSLATE(E158,""en"",""ta"")"),"பிம்பி")</f>
        <v>பிம்பி</v>
      </c>
      <c r="E158" s="4" t="s">
        <v>1961</v>
      </c>
      <c r="F158" s="3" t="str">
        <f ca="1">IFERROR(__xludf.DUMMYFUNCTION("GOOGLETRANSLATE(G158,""en"",""ta"")"),"கோவை")</f>
        <v>கோவை</v>
      </c>
      <c r="G158" s="4" t="s">
        <v>1962</v>
      </c>
      <c r="H158" s="3" t="str">
        <f ca="1">IFERROR(__xludf.DUMMYFUNCTION("GOOGLETRANSLATE(I158,""en"",""ta"")"),"ஐவி பூசணி")</f>
        <v>ஐவி பூசணி</v>
      </c>
      <c r="I158" s="4" t="s">
        <v>1963</v>
      </c>
      <c r="J158" s="3" t="str">
        <f ca="1">IFERROR(__xludf.DUMMYFUNCTION("GOOGLETRANSLATE(K158,""en"",""ta"")"),"டோண்டா கீயா")</f>
        <v>டோண்டா கீயா</v>
      </c>
      <c r="K158" s="4" t="s">
        <v>1964</v>
      </c>
      <c r="L158" s="3" t="str">
        <f ca="1">IFERROR(__xludf.DUMMYFUNCTION("GOOGLETRANSLATE(M158,""en"",""ta"")"),"கோவ்வாய்")</f>
        <v>கோவ்வாய்</v>
      </c>
      <c r="M158" s="4" t="s">
        <v>1965</v>
      </c>
      <c r="N158" s="3" t="str">
        <f ca="1">IFERROR(__xludf.DUMMYFUNCTION("GOOGLETRANSLATE(O158,""en"",""ta"")"),"கந்தூரி")</f>
        <v>கந்தூரி</v>
      </c>
      <c r="O158" s="4" t="s">
        <v>1966</v>
      </c>
      <c r="P158" s="3"/>
      <c r="Q158" s="3" t="str">
        <f ca="1">IFERROR(__xludf.DUMMYFUNCTION("GOOGLETRANSLATE(R158,""en"",""ta"")"),"சிறிய ஏறும் புதர். இலைகள் இலைக்காம்பு வடிவானது, முழுதும் உள்ளங்கை வடிவானது, நுண்ணிய பற்கள் கொண்டவை. டென்ட்ரில்ஸ் மெல்லியதாகவும், இலைக்கோணங்களில் காணப்படும். மலர்கள் ஈருருள், தனித்த மற்றும் இலைக்கோணங்களில் காணப்படும். பழங்கள் நீள்வட்ட அல்லது பியூசிஃபார்ம்,"&amp;" பிரகாசமான சிவப்பு பெர்ரி. விதைகள் நீள்வட்டமானது, மஞ்சள் நிற சாம்பல் நிறமானது.")</f>
        <v>சிறிய ஏறும் புதர். இலைகள் இலைக்காம்பு வடிவானது, முழுதும் உள்ளங்கை வடிவானது, நுண்ணிய பற்கள் கொண்டவை. டென்ட்ரில்ஸ் மெல்லியதாகவும், இலைக்கோணங்களில் காணப்படும். மலர்கள் ஈருருள், தனித்த மற்றும் இலைக்கோணங்களில் காணப்படும். பழங்கள் நீள்வட்ட அல்லது பியூசிஃபார்ம், பிரகாசமான சிவப்பு பெர்ரி. விதைகள் நீள்வட்டமானது, மஞ்சள் நிற சாம்பல் நிறமானது.</v>
      </c>
      <c r="R158" s="4" t="s">
        <v>1967</v>
      </c>
      <c r="S158" s="3" t="str">
        <f ca="1">IFERROR(__xludf.DUMMYFUNCTION("GOOGLETRANSLATE(T158,""en"",""ta"")"),"வாந்தி, எரிச்சல், நீரிழிவு, கருப்பை வெளியேற்றம்.")</f>
        <v>வாந்தி, எரிச்சல், நீரிழிவு, கருப்பை வெளியேற்றம்.</v>
      </c>
      <c r="T158" s="4" t="s">
        <v>1968</v>
      </c>
      <c r="U158" s="3" t="str">
        <f ca="1">IFERROR(__xludf.DUMMYFUNCTION("GOOGLETRANSLATE(V158,""en"",""ta"")"),"#VALUE!")</f>
        <v>#VALUE!</v>
      </c>
      <c r="V158" s="3"/>
      <c r="W158" s="3" t="str">
        <f ca="1">IFERROR(__xludf.DUMMYFUNCTION("GOOGLETRANSLATE(X158,""en"",""ta"")"),"தோல் நோய்கள், காய்ச்சல், வயிற்றுப்போக்கு.")</f>
        <v>தோல் நோய்கள், காய்ச்சல், வயிற்றுப்போக்கு.</v>
      </c>
      <c r="X158" s="4" t="s">
        <v>1969</v>
      </c>
      <c r="Y158" s="3" t="str">
        <f ca="1">IFERROR(__xludf.DUMMYFUNCTION("GOOGLETRANSLATE(Z158,""en"",""ta"")"),"#VALUE!")</f>
        <v>#VALUE!</v>
      </c>
      <c r="Z158" s="3"/>
      <c r="AA158" s="3" t="str">
        <f ca="1">IFERROR(__xludf.DUMMYFUNCTION("GOOGLETRANSLATE(AB158,""en"",""ta"")"),"#VALUE!")</f>
        <v>#VALUE!</v>
      </c>
      <c r="AB158" s="3"/>
      <c r="AC158" s="3" t="str">
        <f ca="1">IFERROR(__xludf.DUMMYFUNCTION("GOOGLETRANSLATE(AD158,""en"",""ta"")"),"#VALUE!")</f>
        <v>#VALUE!</v>
      </c>
      <c r="AD158" s="3"/>
      <c r="AE158" s="3" t="str">
        <f ca="1">IFERROR(__xludf.DUMMYFUNCTION("GOOGLETRANSLATE(AF158,""en"",""ta"")"),"#VALUE!")</f>
        <v>#VALUE!</v>
      </c>
      <c r="AF158" s="3"/>
      <c r="AG158" s="3" t="str">
        <f ca="1">IFERROR(__xludf.DUMMYFUNCTION("GOOGLETRANSLATE(AH158,""en"",""ta"")"),"#VALUE!")</f>
        <v>#VALUE!</v>
      </c>
      <c r="AH158" s="3"/>
      <c r="AI158" s="3" t="str">
        <f ca="1">IFERROR(__xludf.DUMMYFUNCTION("GOOGLETRANSLATE(AJ158,""en"",""ta"")"),"#VALUE!")</f>
        <v>#VALUE!</v>
      </c>
      <c r="AJ158" s="3"/>
      <c r="AK158" s="3" t="str">
        <f ca="1">IFERROR(__xludf.DUMMYFUNCTION("GOOGLETRANSLATE(AL158,""en"",""ta"")"),"#VALUE!")</f>
        <v>#VALUE!</v>
      </c>
      <c r="AL158" s="3"/>
      <c r="AM158" s="3" t="str">
        <f ca="1">IFERROR(__xludf.DUMMYFUNCTION("GOOGLETRANSLATE(AN158,""en"",""ta"")"),"காயங்கள், வீக்கம், ஹெல்மின்தியாசிஸ், மஞ்சள் காமாலை மற்றும் நீரிழிவு நோய்.")</f>
        <v>காயங்கள், வீக்கம், ஹெல்மின்தியாசிஸ், மஞ்சள் காமாலை மற்றும் நீரிழிவு நோய்.</v>
      </c>
      <c r="AN158" s="4" t="s">
        <v>1970</v>
      </c>
      <c r="AO158" s="3" t="str">
        <f ca="1">IFERROR(__xludf.DUMMYFUNCTION("GOOGLETRANSLATE(AP158,""en"",""ta"")"),"#VALUE!")</f>
        <v>#VALUE!</v>
      </c>
      <c r="AP158" s="3"/>
      <c r="AQ158" s="3"/>
      <c r="AR158" s="3" t="str">
        <f ca="1">IFERROR(__xludf.DUMMYFUNCTION("GOOGLETRANSLATE(AS158,""en"",""ta"")"),"கூலண்ட், அஸ்ட்ரிஜென்ட், டிப்யூரேட்டிவ், ஆன்டிபிரைடிக், ஃபெப்ரிஃபியூஜ், கேலக்டோகாக் மற்றும் எக்ஸ்பெக்டோரண்ட்.")</f>
        <v>கூலண்ட், அஸ்ட்ரிஜென்ட், டிப்யூரேட்டிவ், ஆன்டிபிரைடிக், ஃபெப்ரிஃபியூஜ், கேலக்டோகாக் மற்றும் எக்ஸ்பெக்டோரண்ட்.</v>
      </c>
      <c r="AS158" s="4" t="s">
        <v>1971</v>
      </c>
      <c r="AT158" s="3" t="str">
        <f ca="1">IFERROR(__xludf.DUMMYFUNCTION("GOOGLETRANSLATE(AU158,""en"",""ta"")"),"மஞ்சள் காமாலை மற்றும் நீரிழிவு நோய். : லூபியோல், செஃபாலாண்ட்ரோல், பி-சிட்டோஸ்டெரால், கிரிப்டோக்சாந்தின், லைகோபீனல், லைகோபீன், சைலோகுளுக்கன், பி-கரோட்டின், டாராக்செரோல், லினோலிக் அமிலம், குவெர்சிடின், கேம்ப்ஃபெரால் மற்றும் சைலான்.")</f>
        <v>மஞ்சள் காமாலை மற்றும் நீரிழிவு நோய். : லூபியோல், செஃபாலாண்ட்ரோல், பி-சிட்டோஸ்டெரால், கிரிப்டோக்சாந்தின், லைகோபீனல், லைகோபீன், சைலோகுளுக்கன், பி-கரோட்டின், டாராக்செரோல், லினோலிக் அமிலம், குவெர்சிடின், கேம்ப்ஃபெரால் மற்றும் சைலான்.</v>
      </c>
      <c r="AU158" s="4" t="s">
        <v>1972</v>
      </c>
      <c r="AV158" s="3"/>
      <c r="AW158" s="3" t="str">
        <f ca="1">IFERROR(__xludf.DUMMYFUNCTION("GOOGLETRANSLATE(AX158,""en"",""ta"")"),"i) இலைச்சாற்றை தேங்காய் எண்ணெயுடன் கொதிக்க வைத்து சிரங்கு மற்றும் பூஞ்சை தொற்றுகளுக்குப் பயன்படுத்த வேண்டும்.
ii) வேர்கள் மற்றும் இலைகளின் சாறு கொடுக்கப்பட வேண்டும்.")</f>
        <v>i) இலைச்சாற்றை தேங்காய் எண்ணெயுடன் கொதிக்க வைத்து சிரங்கு மற்றும் பூஞ்சை தொற்றுகளுக்குப் பயன்படுத்த வேண்டும்.
ii) வேர்கள் மற்றும் இலைகளின் சாறு கொடுக்கப்பட வேண்டும்.</v>
      </c>
      <c r="AX158" s="4" t="s">
        <v>2544</v>
      </c>
      <c r="AY158" s="3"/>
      <c r="AZ158" s="3"/>
      <c r="BA158" s="3"/>
      <c r="BB158" s="3"/>
      <c r="BC158" s="3"/>
      <c r="BD158" s="3"/>
      <c r="BE158" s="3"/>
      <c r="BF158" s="3"/>
    </row>
    <row r="159" spans="1:58" ht="42" x14ac:dyDescent="0.15">
      <c r="A159" s="3">
        <v>158</v>
      </c>
      <c r="B159" s="3" t="str">
        <f ca="1">IFERROR(__xludf.DUMMYFUNCTION("GOOGLETRANSLATE(C159,""en"",""ta"")"),"காக்குலஸ் ஹிர்சுடஸ்")</f>
        <v>காக்குலஸ் ஹிர்சுடஸ்</v>
      </c>
      <c r="C159" s="4" t="s">
        <v>1974</v>
      </c>
      <c r="D159" s="3" t="str">
        <f ca="1">IFERROR(__xludf.DUMMYFUNCTION("GOOGLETRANSLATE(E159,""en"",""ta"")"),"ஜாலியாம்னி")</f>
        <v>ஜாலியாம்னி</v>
      </c>
      <c r="E159" s="4" t="s">
        <v>1975</v>
      </c>
      <c r="F159" s="3" t="str">
        <f ca="1">IFERROR(__xludf.DUMMYFUNCTION("GOOGLETRANSLATE(G159,""en"",""ta"")"),"கட்டுகோடு")</f>
        <v>கட்டுகோடு</v>
      </c>
      <c r="G159" s="4" t="s">
        <v>1976</v>
      </c>
      <c r="H159" s="3" t="str">
        <f ca="1">IFERROR(__xludf.DUMMYFUNCTION("GOOGLETRANSLATE(I159,""en"",""ta"")"),"மை-பெர்ரி")</f>
        <v>மை-பெர்ரி</v>
      </c>
      <c r="I159" s="4" t="s">
        <v>1977</v>
      </c>
      <c r="J159" s="3" t="str">
        <f ca="1">IFERROR(__xludf.DUMMYFUNCTION("GOOGLETRANSLATE(K159,""en"",""ta"")"),"சிபுரு-டிகே")</f>
        <v>சிபுரு-டிகே</v>
      </c>
      <c r="K159" s="4" t="s">
        <v>1978</v>
      </c>
      <c r="L159" s="3" t="str">
        <f ca="1">IFERROR(__xludf.DUMMYFUNCTION("GOOGLETRANSLATE(M159,""en"",""ta"")"),"கட்டுக்கோடி")</f>
        <v>கட்டுக்கோடி</v>
      </c>
      <c r="M159" s="4" t="s">
        <v>1979</v>
      </c>
      <c r="N159" s="3" t="str">
        <f ca="1">IFERROR(__xludf.DUMMYFUNCTION("GOOGLETRANSLATE(O159,""en"",""ta"")"),"ஃபரித்பெல்")</f>
        <v>ஃபரித்பெல்</v>
      </c>
      <c r="O159" s="4" t="s">
        <v>1980</v>
      </c>
      <c r="P159" s="3"/>
      <c r="Q159" s="3" t="str">
        <f ca="1">IFERROR(__xludf.DUMMYFUNCTION("GOOGLETRANSLATE(R159,""en"",""ta"")"),"ஒரு அலைந்து திரியும் ஒரு சிறிய புதர். இலைகள் எளிமையானவை, முட்டை வடிவானது, நீள்வட்டமானது, உரோமங்களற்றவை மற்றும் இலைக்காம்பு வடிவானது. ஆண் பூக்கள் சிறிய இலைக்கோணங்களில் காணப்படும் சைமோஸ் பேனிக்கிள்களில் காணப்படும். பெண் பூக்கள் இலைக்கோணங்களில் காணப்படும் ரே"&amp;"சீம்களின் கொத்துக்களில் காணப்படும். பழங்கள் பெர்ரி.")</f>
        <v>ஒரு அலைந்து திரியும் ஒரு சிறிய புதர். இலைகள் எளிமையானவை, முட்டை வடிவானது, நீள்வட்டமானது, உரோமங்களற்றவை மற்றும் இலைக்காம்பு வடிவானது. ஆண் பூக்கள் சிறிய இலைக்கோணங்களில் காணப்படும் சைமோஸ் பேனிக்கிள்களில் காணப்படும். பெண் பூக்கள் இலைக்கோணங்களில் காணப்படும் ரேசீம்களின் கொத்துக்களில் காணப்படும். பழங்கள் பெர்ரி.</v>
      </c>
      <c r="R159" s="4" t="s">
        <v>1981</v>
      </c>
      <c r="S159" s="3" t="str">
        <f ca="1">IFERROR(__xludf.DUMMYFUNCTION("GOOGLETRANSLATE(T159,""en"",""ta"")"),"#VALUE!")</f>
        <v>#VALUE!</v>
      </c>
      <c r="T159" s="3"/>
      <c r="U159" s="3" t="str">
        <f ca="1">IFERROR(__xludf.DUMMYFUNCTION("GOOGLETRANSLATE(V159,""en"",""ta"")"),"#VALUE!")</f>
        <v>#VALUE!</v>
      </c>
      <c r="V159" s="3"/>
      <c r="W159" s="3" t="str">
        <f ca="1">IFERROR(__xludf.DUMMYFUNCTION("GOOGLETRANSLATE(X159,""en"",""ta"")"),"#VALUE!")</f>
        <v>#VALUE!</v>
      </c>
      <c r="X159" s="3"/>
      <c r="Y159" s="3" t="str">
        <f ca="1">IFERROR(__xludf.DUMMYFUNCTION("GOOGLETRANSLATE(Z159,""en"",""ta"")"),"#VALUE!")</f>
        <v>#VALUE!</v>
      </c>
      <c r="Z159" s="3"/>
      <c r="AA159" s="3" t="str">
        <f ca="1">IFERROR(__xludf.DUMMYFUNCTION("GOOGLETRANSLATE(AB159,""en"",""ta"")"),"#VALUE!")</f>
        <v>#VALUE!</v>
      </c>
      <c r="AB159" s="3"/>
      <c r="AC159" s="3" t="str">
        <f ca="1">IFERROR(__xludf.DUMMYFUNCTION("GOOGLETRANSLATE(AD159,""en"",""ta"")"),"#VALUE!")</f>
        <v>#VALUE!</v>
      </c>
      <c r="AD159" s="3"/>
      <c r="AE159" s="3" t="str">
        <f ca="1">IFERROR(__xludf.DUMMYFUNCTION("GOOGLETRANSLATE(AF159,""en"",""ta"")"),"#VALUE!")</f>
        <v>#VALUE!</v>
      </c>
      <c r="AF159" s="3"/>
      <c r="AG159" s="3" t="str">
        <f ca="1">IFERROR(__xludf.DUMMYFUNCTION("GOOGLETRANSLATE(AH159,""en"",""ta"")"),"#VALUE!")</f>
        <v>#VALUE!</v>
      </c>
      <c r="AH159" s="3"/>
      <c r="AI159" s="3" t="str">
        <f ca="1">IFERROR(__xludf.DUMMYFUNCTION("GOOGLETRANSLATE(AJ159,""en"",""ta"")"),"#VALUE!")</f>
        <v>#VALUE!</v>
      </c>
      <c r="AJ159" s="3"/>
      <c r="AK159" s="3" t="str">
        <f ca="1">IFERROR(__xludf.DUMMYFUNCTION("GOOGLETRANSLATE(AL159,""en"",""ta"")"),"#VALUE!")</f>
        <v>#VALUE!</v>
      </c>
      <c r="AL159" s="3"/>
      <c r="AM159" s="3" t="str">
        <f ca="1">IFERROR(__xludf.DUMMYFUNCTION("GOOGLETRANSLATE(AN159,""en"",""ta"")"),"#VALUE!")</f>
        <v>#VALUE!</v>
      </c>
      <c r="AN159" s="3"/>
      <c r="AO159" s="3" t="str">
        <f ca="1">IFERROR(__xludf.DUMMYFUNCTION("GOOGLETRANSLATE(AP159,""en"",""ta"")"),"#VALUE!")</f>
        <v>#VALUE!</v>
      </c>
      <c r="AP159" s="3"/>
      <c r="AQ159" s="3"/>
      <c r="AR159" s="3" t="str">
        <f ca="1">IFERROR(__xludf.DUMMYFUNCTION("GOOGLETRANSLATE(AS159,""en"",""ta"")"),"மாற்று மருந்து, மலமிளக்கி, டீமல்சென்ட், டையூரிடிக், ஆண்டிபீரியோடிக் மற்றும் குளிர்பதனப் பொருள்.")</f>
        <v>மாற்று மருந்து, மலமிளக்கி, டீமல்சென்ட், டையூரிடிக், ஆண்டிபீரியோடிக் மற்றும் குளிர்பதனப் பொருள்.</v>
      </c>
      <c r="AS159" s="4" t="s">
        <v>1982</v>
      </c>
      <c r="AT159" s="3" t="str">
        <f ca="1">IFERROR(__xludf.DUMMYFUNCTION("GOOGLETRANSLATE(AU159,""en"",""ta"")"),"புரோட்டோகுவெர்சிட்டால், ட்ரைடர்பெனாய்டுகள், கோஹிர்சின், ஹிர்சுடியோல், ட்ரைலோபின், ஐசோட்ரைலோபின் மற்றும் சிரிங்கரேசினால்")</f>
        <v>புரோட்டோகுவெர்சிட்டால், ட்ரைடர்பெனாய்டுகள், கோஹிர்சின், ஹிர்சுடியோல், ட்ரைலோபின், ஐசோட்ரைலோபின் மற்றும் சிரிங்கரேசினால்</v>
      </c>
      <c r="AU159" s="4" t="s">
        <v>1983</v>
      </c>
      <c r="AV159" s="3"/>
      <c r="AW159" s="3" t="str">
        <f ca="1">IFERROR(__xludf.DUMMYFUNCTION("GOOGLETRANSLATE(AX159,""en"",""ta"")"),"i) இலைக் கஷாயம் வெள்ளைப்படுதலுக்கும், குழந்தைகளுக்கு படுக்கையில் சிறுநீர் கழிக்கும் பிரச்சனைக்கும் கொடுக்கப்படுகிறது. 
ii) விந்தணுக்களைக் குணப்படுத்த, செடியிலிருந்து எடுக்கப்படும் சளியை பாலுடன் சேர்த்து உள்ளே எடுத்துக் கொள்ள வேண்டும்.")</f>
        <v>i) இலைக் கஷாயம் வெள்ளைப்படுதலுக்கும், குழந்தைகளுக்கு படுக்கையில் சிறுநீர் கழிக்கும் பிரச்சனைக்கும் கொடுக்கப்படுகிறது. 
ii) விந்தணுக்களைக் குணப்படுத்த, செடியிலிருந்து எடுக்கப்படும் சளியை பாலுடன் சேர்த்து உள்ளே எடுத்துக் கொள்ள வேண்டும்.</v>
      </c>
      <c r="AX159" s="4" t="s">
        <v>2545</v>
      </c>
      <c r="AY159" s="3"/>
      <c r="AZ159" s="3"/>
      <c r="BA159" s="3"/>
      <c r="BB159" s="3"/>
      <c r="BC159" s="3"/>
      <c r="BD159" s="3"/>
      <c r="BE159" s="3"/>
      <c r="BF159" s="3"/>
    </row>
    <row r="160" spans="1:58" ht="56" x14ac:dyDescent="0.15">
      <c r="A160" s="3">
        <v>159</v>
      </c>
      <c r="B160" s="3" t="str">
        <f ca="1">IFERROR(__xludf.DUMMYFUNCTION("GOOGLETRANSLATE(C160,""en"",""ta"")"),"கோகோஸ் நியூசிஃபெரா")</f>
        <v>கோகோஸ் நியூசிஃபெரா</v>
      </c>
      <c r="C160" s="4" t="s">
        <v>1985</v>
      </c>
      <c r="D160" s="3" t="str">
        <f ca="1">IFERROR(__xludf.DUMMYFUNCTION("GOOGLETRANSLATE(E160,""en"",""ta"")"),"நரிகேலா")</f>
        <v>நரிகேலா</v>
      </c>
      <c r="E160" s="4" t="s">
        <v>1986</v>
      </c>
      <c r="F160" s="3" t="str">
        <f ca="1">IFERROR(__xludf.DUMMYFUNCTION("GOOGLETRANSLATE(G160,""en"",""ta"")"),"தென்னை மரம்")</f>
        <v>தென்னை மரம்</v>
      </c>
      <c r="G160" s="4" t="s">
        <v>1987</v>
      </c>
      <c r="H160" s="3" t="str">
        <f ca="1">IFERROR(__xludf.DUMMYFUNCTION("GOOGLETRANSLATE(I160,""en"",""ta"")"),"தென்னை மரம்")</f>
        <v>தென்னை மரம்</v>
      </c>
      <c r="I160" s="4" t="s">
        <v>1988</v>
      </c>
      <c r="J160" s="3" t="str">
        <f ca="1">IFERROR(__xludf.DUMMYFUNCTION("GOOGLETRANSLATE(K160,""en"",""ta"")"),"கோபிரி சேட்டு")</f>
        <v>கோபிரி சேட்டு</v>
      </c>
      <c r="K160" s="4" t="s">
        <v>1989</v>
      </c>
      <c r="L160" s="3" t="str">
        <f ca="1">IFERROR(__xludf.DUMMYFUNCTION("GOOGLETRANSLATE(M160,""en"",""ta"")"),"தென்னா")</f>
        <v>தென்னா</v>
      </c>
      <c r="M160" s="4" t="s">
        <v>1990</v>
      </c>
      <c r="N160" s="3" t="str">
        <f ca="1">IFERROR(__xludf.DUMMYFUNCTION("GOOGLETRANSLATE(O160,""en"",""ta"")"),"நாரியல்")</f>
        <v>நாரியல்</v>
      </c>
      <c r="O160" s="4" t="s">
        <v>1991</v>
      </c>
      <c r="P160" s="3"/>
      <c r="Q160" s="3" t="str">
        <f ca="1">IFERROR(__xludf.DUMMYFUNCTION("GOOGLETRANSLATE(R160,""en"",""ta"")"),"தண்டு மெல்லியதாக, வளைந்ததாக அல்லது நேராக, வளையம் போன்ற இலை வடுக்கள் கொண்டதாக இருக்கும். இலைகள் நேரியல், ஒற்றை நரம்பு, ஏராளமான இலைகள் நேரியல் முதல் ஈட்டி வடிவானது. மஞ்சரி ஒரு கூட்டு ஸ்பேடிக்ஸ். பழங்கள் ட்ரூப், பச்சை அல்லது மஞ்சள் நிறத்தில் இருக்கும், குழிய"&amp;"ில் குடிக்கக்கூடிய பால் போன்ற திரவம் உள்ளது.")</f>
        <v>தண்டு மெல்லியதாக, வளைந்ததாக அல்லது நேராக, வளையம் போன்ற இலை வடுக்கள் கொண்டதாக இருக்கும். இலைகள் நேரியல், ஒற்றை நரம்பு, ஏராளமான இலைகள் நேரியல் முதல் ஈட்டி வடிவானது. மஞ்சரி ஒரு கூட்டு ஸ்பேடிக்ஸ். பழங்கள் ட்ரூப், பச்சை அல்லது மஞ்சள் நிறத்தில் இருக்கும், குழியில் குடிக்கக்கூடிய பால் போன்ற திரவம் உள்ளது.</v>
      </c>
      <c r="R160" s="4" t="s">
        <v>1992</v>
      </c>
      <c r="S160" s="3" t="str">
        <f ca="1">IFERROR(__xludf.DUMMYFUNCTION("GOOGLETRANSLATE(T160,""en"",""ta"")"),"கருப்பை கோளாறுகள்.")</f>
        <v>கருப்பை கோளாறுகள்.</v>
      </c>
      <c r="T160" s="4" t="s">
        <v>1993</v>
      </c>
      <c r="U160" s="3" t="str">
        <f ca="1">IFERROR(__xludf.DUMMYFUNCTION("GOOGLETRANSLATE(V160,""en"",""ta"")"),"#VALUE!")</f>
        <v>#VALUE!</v>
      </c>
      <c r="V160" s="3"/>
      <c r="W160" s="3" t="str">
        <f ca="1">IFERROR(__xludf.DUMMYFUNCTION("GOOGLETRANSLATE(X160,""en"",""ta"")"),"#VALUE!")</f>
        <v>#VALUE!</v>
      </c>
      <c r="X160" s="3"/>
      <c r="Y160" s="3" t="str">
        <f ca="1">IFERROR(__xludf.DUMMYFUNCTION("GOOGLETRANSLATE(Z160,""en"",""ta"")"),"#VALUE!")</f>
        <v>#VALUE!</v>
      </c>
      <c r="Z160" s="3"/>
      <c r="AA160" s="3" t="str">
        <f ca="1">IFERROR(__xludf.DUMMYFUNCTION("GOOGLETRANSLATE(AB160,""en"",""ta"")"),"#VALUE!")</f>
        <v>#VALUE!</v>
      </c>
      <c r="AB160" s="3"/>
      <c r="AC160" s="3" t="str">
        <f ca="1">IFERROR(__xludf.DUMMYFUNCTION("GOOGLETRANSLATE(AD160,""en"",""ta"")"),"#VALUE!")</f>
        <v>#VALUE!</v>
      </c>
      <c r="AD160" s="3"/>
      <c r="AE160" s="3" t="str">
        <f ca="1">IFERROR(__xludf.DUMMYFUNCTION("GOOGLETRANSLATE(AF160,""en"",""ta"")"),"#VALUE!")</f>
        <v>#VALUE!</v>
      </c>
      <c r="AF160" s="3"/>
      <c r="AG160" s="3" t="str">
        <f ca="1">IFERROR(__xludf.DUMMYFUNCTION("GOOGLETRANSLATE(AH160,""en"",""ta"")"),"#VALUE!")</f>
        <v>#VALUE!</v>
      </c>
      <c r="AH160" s="3"/>
      <c r="AI160" s="3" t="str">
        <f ca="1">IFERROR(__xludf.DUMMYFUNCTION("GOOGLETRANSLATE(AJ160,""en"",""ta"")"),"#VALUE!")</f>
        <v>#VALUE!</v>
      </c>
      <c r="AJ160" s="3"/>
      <c r="AK160" s="3" t="str">
        <f ca="1">IFERROR(__xludf.DUMMYFUNCTION("GOOGLETRANSLATE(AL160,""en"",""ta"")"),"தீக்காயங்கள், முடி வளர்ச்சி.")</f>
        <v>தீக்காயங்கள், முடி வளர்ச்சி.</v>
      </c>
      <c r="AL160" s="4" t="s">
        <v>1994</v>
      </c>
      <c r="AM160" s="3" t="str">
        <f ca="1">IFERROR(__xludf.DUMMYFUNCTION("GOOGLETRANSLATE(AN160,""en"",""ta"")"),"#VALUE!")</f>
        <v>#VALUE!</v>
      </c>
      <c r="AN160" s="3"/>
      <c r="AO160" s="3" t="str">
        <f ca="1">IFERROR(__xludf.DUMMYFUNCTION("GOOGLETRANSLATE(AP160,""en"",""ta"")"),"#VALUE!")</f>
        <v>#VALUE!</v>
      </c>
      <c r="AP160" s="3"/>
      <c r="AQ160" s="3"/>
      <c r="AR160" s="3" t="str">
        <f ca="1">IFERROR(__xludf.DUMMYFUNCTION("GOOGLETRANSLATE(AS160,""en"",""ta"")"),"குளிர்பதனப் பொருள், ஊட்டச்சத்து, அபெரியண்ட், டையூரிடிக் மற்றும் புழுக்களால் கொல்லும் மருந்து.")</f>
        <v>குளிர்பதனப் பொருள், ஊட்டச்சத்து, அபெரியண்ட், டையூரிடிக் மற்றும் புழுக்களால் கொல்லும் மருந்து.</v>
      </c>
      <c r="AS160" s="4" t="s">
        <v>1995</v>
      </c>
      <c r="AT160" s="3" t="str">
        <f ca="1">IFERROR(__xludf.DUMMYFUNCTION("GOOGLETRANSLATE(AU160,""en"",""ta"")"),"லியூசின், ஐசோலூசின், ஃபர்ஃபுரல், அசிட்டிக் அமிலம், ஏ-டோகோபெரோல், டி-டோகோபெரோல், ஃப்ரீ கேப்ரிலிக் அமிலம், ஒலின், கேப்ரோயிக் அமிலம், பி-ஹைட்ராக்ஸி பென்சாயிக் அமிலம்.")</f>
        <v>லியூசின், ஐசோலூசின், ஃபர்ஃபுரல், அசிட்டிக் அமிலம், ஏ-டோகோபெரோல், டி-டோகோபெரோல், ஃப்ரீ கேப்ரிலிக் அமிலம், ஒலின், கேப்ரோயிக் அமிலம், பி-ஹைட்ராக்ஸி பென்சாயிக் அமிலம்.</v>
      </c>
      <c r="AU160" s="4" t="s">
        <v>1996</v>
      </c>
      <c r="AV160" s="3"/>
      <c r="AW160" s="3" t="str">
        <f ca="1">IFERROR(__xludf.DUMMYFUNCTION("GOOGLETRANSLATE(AX160,""en"",""ta"")"),"i) ஸ்டோமாடிடிஸ் மற்றும் தொண்டை தொற்றுகளுக்கு தேங்காய் பால் தடவி உள்ளே எடுத்துக் கொள்ளப்படுகிறது.
ii) ஹெமிடெஸ்மஸ் சாறுடன் தேங்காய் எண்ணெயை தீக்காயங்கள் மற்றும் தீக்காயங்களில் தடவவும்.")</f>
        <v>i) ஸ்டோமாடிடிஸ் மற்றும் தொண்டை தொற்றுகளுக்கு தேங்காய் பால் தடவி உள்ளே எடுத்துக் கொள்ளப்படுகிறது.
ii) ஹெமிடெஸ்மஸ் சாறுடன் தேங்காய் எண்ணெயை தீக்காயங்கள் மற்றும் தீக்காயங்களில் தடவவும்.</v>
      </c>
      <c r="AX160" s="4" t="s">
        <v>2546</v>
      </c>
      <c r="AY160" s="3"/>
      <c r="AZ160" s="3"/>
      <c r="BA160" s="3"/>
      <c r="BB160" s="3"/>
      <c r="BC160" s="3"/>
      <c r="BD160" s="3"/>
      <c r="BE160" s="3"/>
      <c r="BF160" s="3"/>
    </row>
    <row r="161" spans="1:58" ht="84" x14ac:dyDescent="0.15">
      <c r="A161" s="3">
        <v>160</v>
      </c>
      <c r="B161" s="3" t="str">
        <f ca="1">IFERROR(__xludf.DUMMYFUNCTION("GOOGLETRANSLATE(C161,""en"",""ta"")"),"காஃபியா அராபிகா")</f>
        <v>காஃபியா அராபிகா</v>
      </c>
      <c r="C161" s="4" t="s">
        <v>1998</v>
      </c>
      <c r="D161" s="3" t="str">
        <f ca="1">IFERROR(__xludf.DUMMYFUNCTION("GOOGLETRANSLATE(E161,""en"",""ta"")"),"மிலேச்சா பலா")</f>
        <v>மிலேச்சா பலா</v>
      </c>
      <c r="E161" s="3" t="s">
        <v>1999</v>
      </c>
      <c r="F161" s="3" t="str">
        <f ca="1">IFERROR(__xludf.DUMMYFUNCTION("GOOGLETRANSLATE(G161,""en"",""ta"")"),"கப்பிக்கோட்டை")</f>
        <v>கப்பிக்கோட்டை</v>
      </c>
      <c r="G161" s="4" t="s">
        <v>2000</v>
      </c>
      <c r="H161" s="3" t="str">
        <f ca="1">IFERROR(__xludf.DUMMYFUNCTION("GOOGLETRANSLATE(I161,""en"",""ta"")"),"காபி")</f>
        <v>காபி</v>
      </c>
      <c r="I161" s="4" t="s">
        <v>2001</v>
      </c>
      <c r="J161" s="3" t="str">
        <f ca="1">IFERROR(__xludf.DUMMYFUNCTION("GOOGLETRANSLATE(K161,""en"",""ta"")"),"கபி விட்டுலு")</f>
        <v>கபி விட்டுலு</v>
      </c>
      <c r="K161" s="4" t="s">
        <v>2002</v>
      </c>
      <c r="L161" s="3" t="str">
        <f ca="1">IFERROR(__xludf.DUMMYFUNCTION("GOOGLETRANSLATE(M161,""en"",""ta"")"),"பன்னு")</f>
        <v>பன்னு</v>
      </c>
      <c r="M161" s="4" t="s">
        <v>2003</v>
      </c>
      <c r="N161" s="3" t="str">
        <f ca="1">IFERROR(__xludf.DUMMYFUNCTION("GOOGLETRANSLATE(O161,""en"",""ta"")"),"காஃபி")</f>
        <v>காஃபி</v>
      </c>
      <c r="O161" s="4" t="s">
        <v>2004</v>
      </c>
      <c r="P161" s="3"/>
      <c r="Q161" s="3" t="str">
        <f ca="1">IFERROR(__xludf.DUMMYFUNCTION("GOOGLETRANSLATE(R161,""en"",""ta"")"),"புதர்கள், இலையடிச்செதில்களுக்கு எதிரே உள்ள இலைகள் அகலமாகவும், இலைக்காம்புகளுக்கு இடைப்பட்ட இலையடிச்செதில்கள் பெரியதாகவும் பளபளப்பாகவும் காணப்படும். பூக்கள் இலைக்கோணங்களில் காணப்படும். பழங்கள் முட்டை வடிவ ட்ரூப். விதைகள் குழிவானவை அல்லது வயிற்றுப் பள்ளம் க"&amp;"ொண்டவை.")</f>
        <v>புதர்கள், இலையடிச்செதில்களுக்கு எதிரே உள்ள இலைகள் அகலமாகவும், இலைக்காம்புகளுக்கு இடைப்பட்ட இலையடிச்செதில்கள் பெரியதாகவும் பளபளப்பாகவும் காணப்படும். பூக்கள் இலைக்கோணங்களில் காணப்படும். பழங்கள் முட்டை வடிவ ட்ரூப். விதைகள் குழிவானவை அல்லது வயிற்றுப் பள்ளம் கொண்டவை.</v>
      </c>
      <c r="R161" s="4" t="s">
        <v>2005</v>
      </c>
      <c r="S161" s="3" t="str">
        <f ca="1">IFERROR(__xludf.DUMMYFUNCTION("GOOGLETRANSLATE(T161,""en"",""ta"")"),"#VALUE!")</f>
        <v>#VALUE!</v>
      </c>
      <c r="T161" s="3"/>
      <c r="U161" s="3" t="str">
        <f ca="1">IFERROR(__xludf.DUMMYFUNCTION("GOOGLETRANSLATE(V161,""en"",""ta"")"),"#VALUE!")</f>
        <v>#VALUE!</v>
      </c>
      <c r="V161" s="3"/>
      <c r="W161" s="3" t="str">
        <f ca="1">IFERROR(__xludf.DUMMYFUNCTION("GOOGLETRANSLATE(X161,""en"",""ta"")"),"#VALUE!")</f>
        <v>#VALUE!</v>
      </c>
      <c r="X161" s="3"/>
      <c r="Y161" s="3" t="str">
        <f ca="1">IFERROR(__xludf.DUMMYFUNCTION("GOOGLETRANSLATE(Z161,""en"",""ta"")"),"#VALUE!")</f>
        <v>#VALUE!</v>
      </c>
      <c r="Z161" s="3"/>
      <c r="AA161" s="3" t="str">
        <f ca="1">IFERROR(__xludf.DUMMYFUNCTION("GOOGLETRANSLATE(AB161,""en"",""ta"")"),"#VALUE!")</f>
        <v>#VALUE!</v>
      </c>
      <c r="AB161" s="3"/>
      <c r="AC161" s="3" t="str">
        <f ca="1">IFERROR(__xludf.DUMMYFUNCTION("GOOGLETRANSLATE(AD161,""en"",""ta"")"),"#VALUE!")</f>
        <v>#VALUE!</v>
      </c>
      <c r="AD161" s="3"/>
      <c r="AE161" s="3" t="str">
        <f ca="1">IFERROR(__xludf.DUMMYFUNCTION("GOOGLETRANSLATE(AF161,""en"",""ta"")"),"#VALUE!")</f>
        <v>#VALUE!</v>
      </c>
      <c r="AF161" s="3"/>
      <c r="AG161" s="3" t="str">
        <f ca="1">IFERROR(__xludf.DUMMYFUNCTION("GOOGLETRANSLATE(AH161,""en"",""ta"")"),"#VALUE!")</f>
        <v>#VALUE!</v>
      </c>
      <c r="AH161" s="3"/>
      <c r="AI161" s="3" t="str">
        <f ca="1">IFERROR(__xludf.DUMMYFUNCTION("GOOGLETRANSLATE(AJ161,""en"",""ta"")"),"#VALUE!")</f>
        <v>#VALUE!</v>
      </c>
      <c r="AJ161" s="3"/>
      <c r="AK161" s="3" t="str">
        <f ca="1">IFERROR(__xludf.DUMMYFUNCTION("GOOGLETRANSLATE(AL161,""en"",""ta"")"),"#VALUE!")</f>
        <v>#VALUE!</v>
      </c>
      <c r="AL161" s="3"/>
      <c r="AM161" s="3" t="str">
        <f ca="1">IFERROR(__xludf.DUMMYFUNCTION("GOOGLETRANSLATE(AN161,""en"",""ta"")"),"#VALUE!")</f>
        <v>#VALUE!</v>
      </c>
      <c r="AN161" s="3"/>
      <c r="AO161" s="3" t="str">
        <f ca="1">IFERROR(__xludf.DUMMYFUNCTION("GOOGLETRANSLATE(AP161,""en"",""ta"")"),"#VALUE!")</f>
        <v>#VALUE!</v>
      </c>
      <c r="AP161" s="3"/>
      <c r="AQ161" s="3"/>
      <c r="AR161" s="3" t="str">
        <f ca="1">IFERROR(__xludf.DUMMYFUNCTION("GOOGLETRANSLATE(AS161,""en"",""ta"")"),"தூண்டுதல், மயக்க மருந்து எதிர்ப்பு, டியோடரன்ட், டையூரிடிக் மற்றும் காய்ச்சலடக்கும் மருந்து.")</f>
        <v>தூண்டுதல், மயக்க மருந்து எதிர்ப்பு, டியோடரன்ட், டையூரிடிக் மற்றும் காய்ச்சலடக்கும் மருந்து.</v>
      </c>
      <c r="AS161" s="4" t="s">
        <v>2006</v>
      </c>
      <c r="AT161" s="3" t="str">
        <f ca="1">IFERROR(__xludf.DUMMYFUNCTION("GOOGLETRANSLATE(AU161,""en"",""ta"")"),"காஃபின், காஃபிக் அமிலம், காஃபியோல், காஃபிஸ்டால், நியாசின், தியோபிலின், காஃபியோ-டானிக் அமிலம், யோஹிம்பைன், சாந்தைன், குளோரோஜெனிக் அமிலம், ஹைபோக்சாந்தைன், குவானோசின், குளுக்கோஸ் புரதங்கள் மற்றும் ஆவியாகும் எண்ணெய்.")</f>
        <v>காஃபின், காஃபிக் அமிலம், காஃபியோல், காஃபிஸ்டால், நியாசின், தியோபிலின், காஃபியோ-டானிக் அமிலம், யோஹிம்பைன், சாந்தைன், குளோரோஜெனிக் அமிலம், ஹைபோக்சாந்தைன், குவானோசின், குளுக்கோஸ் புரதங்கள் மற்றும் ஆவியாகும் எண்ணெய்.</v>
      </c>
      <c r="AU161" s="4" t="s">
        <v>2007</v>
      </c>
      <c r="AV161" s="3"/>
      <c r="AW161" s="3" t="str">
        <f ca="1">IFERROR(__xludf.DUMMYFUNCTION("GOOGLETRANSLATE(AX161,""en"",""ta"")"),"i) அபின் மற்றும் பிற போதைப்பொருள் விஷம் போன்ற விஷம் ஏற்பட்டால், கருப்பு காபியின் வலுவான உட்செலுத்துதல் ஒரு மயக்க மருந்தாகப் பயன்படுத்தப்படுகிறது.
ii) வறுத்த காபி விதைகள் கிருமிநாசினியாகவும், வாசனை நீக்கியாகவும் பயன்படுத்தப்படுகின்றன.")</f>
        <v>i) அபின் மற்றும் பிற போதைப்பொருள் விஷம் போன்ற விஷம் ஏற்பட்டால், கருப்பு காபியின் வலுவான உட்செலுத்துதல் ஒரு மயக்க மருந்தாகப் பயன்படுத்தப்படுகிறது.
ii) வறுத்த காபி விதைகள் கிருமிநாசினியாகவும், வாசனை நீக்கியாகவும் பயன்படுத்தப்படுகின்றன.</v>
      </c>
      <c r="AX161" s="4" t="s">
        <v>2547</v>
      </c>
      <c r="AY161" s="3"/>
      <c r="AZ161" s="3"/>
      <c r="BA161" s="3"/>
      <c r="BB161" s="3"/>
      <c r="BC161" s="3"/>
      <c r="BD161" s="3"/>
      <c r="BE161" s="3"/>
      <c r="BF161" s="3"/>
    </row>
    <row r="162" spans="1:58" ht="56" x14ac:dyDescent="0.15">
      <c r="A162" s="3">
        <v>161</v>
      </c>
      <c r="B162" s="3" t="str">
        <f ca="1">IFERROR(__xludf.DUMMYFUNCTION("GOOGLETRANSLATE(C162,""en"",""ta"")"),"கொலோகாசியா எஸ்குலெண்டா")</f>
        <v>கொலோகாசியா எஸ்குலெண்டா</v>
      </c>
      <c r="C162" s="4" t="s">
        <v>2009</v>
      </c>
      <c r="D162" s="3" t="str">
        <f ca="1">IFERROR(__xludf.DUMMYFUNCTION("GOOGLETRANSLATE(E162,""en"",""ta"")"),"அலுகம்")</f>
        <v>அலுகம்</v>
      </c>
      <c r="E162" s="4" t="s">
        <v>2010</v>
      </c>
      <c r="F162" s="3" t="str">
        <f ca="1">IFERROR(__xludf.DUMMYFUNCTION("GOOGLETRANSLATE(G162,""en"",""ta"")"),"சீமை கிழங்கு")</f>
        <v>சீமை கிழங்கு</v>
      </c>
      <c r="G162" s="4" t="s">
        <v>2011</v>
      </c>
      <c r="H162" s="3" t="str">
        <f ca="1">IFERROR(__xludf.DUMMYFUNCTION("GOOGLETRANSLATE(I162,""en"",""ta"")"),"டாரோ")</f>
        <v>டாரோ</v>
      </c>
      <c r="I162" s="4" t="s">
        <v>2012</v>
      </c>
      <c r="J162" s="3" t="str">
        <f ca="1">IFERROR(__xludf.DUMMYFUNCTION("GOOGLETRANSLATE(K162,""en"",""ta"")"),"செமா டம்பா")</f>
        <v>செமா டம்பா</v>
      </c>
      <c r="K162" s="4" t="s">
        <v>2013</v>
      </c>
      <c r="L162" s="3" t="str">
        <f ca="1">IFERROR(__xludf.DUMMYFUNCTION("GOOGLETRANSLATE(M162,""en"",""ta"")"),"சீப்பன் கிழங்கு")</f>
        <v>சீப்பன் கிழங்கு</v>
      </c>
      <c r="M162" s="4" t="s">
        <v>2014</v>
      </c>
      <c r="N162" s="3" t="str">
        <f ca="1">IFERROR(__xludf.DUMMYFUNCTION("GOOGLETRANSLATE(O162,""en"",""ta"")"),"ஆர்வி")</f>
        <v>ஆர்வி</v>
      </c>
      <c r="O162" s="4" t="s">
        <v>2015</v>
      </c>
      <c r="P162" s="3"/>
      <c r="Q162" s="3" t="str">
        <f ca="1">IFERROR(__xludf.DUMMYFUNCTION("GOOGLETRANSLATE(R162,""en"",""ta"")"),"குறுகிய தடிமனான காடெக்ஸ் கொண்ட கிழங்கு வடிவ மூலிகைகள். இலைகள் முட்டை வடிவ-சப்ஆர்பிகுலர்-கார்டேட், அகலமானவை, நுனி வட்டமானது மற்றும் பொதுவாக நுனி வடிவானது, அடித்தள சைனஸ் முக்கோணமானது, விளிம்புகள் அலை அலையானவை, தடிமனான இலைக்காம்புடன் அடர் பச்சை நிறத்தில் இரு"&amp;"க்கும். மஞ்சரி ஒரு ஸ்பேடிக்ஸ், மஞ்சரி மிகவும் குறுகியது, தனித்த அல்லது கொத்தாக. பழங்கள் நீள்வட்ட பெர்ரி.")</f>
        <v>குறுகிய தடிமனான காடெக்ஸ் கொண்ட கிழங்கு வடிவ மூலிகைகள். இலைகள் முட்டை வடிவ-சப்ஆர்பிகுலர்-கார்டேட், அகலமானவை, நுனி வட்டமானது மற்றும் பொதுவாக நுனி வடிவானது, அடித்தள சைனஸ் முக்கோணமானது, விளிம்புகள் அலை அலையானவை, தடிமனான இலைக்காம்புடன் அடர் பச்சை நிறத்தில் இருக்கும். மஞ்சரி ஒரு ஸ்பேடிக்ஸ், மஞ்சரி மிகவும் குறுகியது, தனித்த அல்லது கொத்தாக. பழங்கள் நீள்வட்ட பெர்ரி.</v>
      </c>
      <c r="R162" s="4" t="s">
        <v>2016</v>
      </c>
      <c r="S162" s="3" t="str">
        <f ca="1">IFERROR(__xludf.DUMMYFUNCTION("GOOGLETRANSLATE(T162,""en"",""ta"")"),"#VALUE!")</f>
        <v>#VALUE!</v>
      </c>
      <c r="T162" s="3"/>
      <c r="U162" s="3" t="str">
        <f ca="1">IFERROR(__xludf.DUMMYFUNCTION("GOOGLETRANSLATE(V162,""en"",""ta"")"),"#VALUE!")</f>
        <v>#VALUE!</v>
      </c>
      <c r="V162" s="3"/>
      <c r="W162" s="3" t="str">
        <f ca="1">IFERROR(__xludf.DUMMYFUNCTION("GOOGLETRANSLATE(X162,""en"",""ta"")"),"#VALUE!")</f>
        <v>#VALUE!</v>
      </c>
      <c r="X162" s="3"/>
      <c r="Y162" s="3" t="str">
        <f ca="1">IFERROR(__xludf.DUMMYFUNCTION("GOOGLETRANSLATE(Z162,""en"",""ta"")"),"#VALUE!")</f>
        <v>#VALUE!</v>
      </c>
      <c r="Z162" s="3"/>
      <c r="AA162" s="3" t="str">
        <f ca="1">IFERROR(__xludf.DUMMYFUNCTION("GOOGLETRANSLATE(AB162,""en"",""ta"")"),"#VALUE!")</f>
        <v>#VALUE!</v>
      </c>
      <c r="AB162" s="3"/>
      <c r="AC162" s="3" t="str">
        <f ca="1">IFERROR(__xludf.DUMMYFUNCTION("GOOGLETRANSLATE(AD162,""en"",""ta"")"),"#VALUE!")</f>
        <v>#VALUE!</v>
      </c>
      <c r="AD162" s="3"/>
      <c r="AE162" s="3" t="str">
        <f ca="1">IFERROR(__xludf.DUMMYFUNCTION("GOOGLETRANSLATE(AF162,""en"",""ta"")"),"#VALUE!")</f>
        <v>#VALUE!</v>
      </c>
      <c r="AF162" s="3"/>
      <c r="AG162" s="3" t="str">
        <f ca="1">IFERROR(__xludf.DUMMYFUNCTION("GOOGLETRANSLATE(AH162,""en"",""ta"")"),"#VALUE!")</f>
        <v>#VALUE!</v>
      </c>
      <c r="AH162" s="3"/>
      <c r="AI162" s="3" t="str">
        <f ca="1">IFERROR(__xludf.DUMMYFUNCTION("GOOGLETRANSLATE(AJ162,""en"",""ta"")"),"#VALUE!")</f>
        <v>#VALUE!</v>
      </c>
      <c r="AJ162" s="3"/>
      <c r="AK162" s="3" t="str">
        <f ca="1">IFERROR(__xludf.DUMMYFUNCTION("GOOGLETRANSLATE(AL162,""en"",""ta"")"),"#VALUE!")</f>
        <v>#VALUE!</v>
      </c>
      <c r="AL162" s="3"/>
      <c r="AM162" s="3" t="str">
        <f ca="1">IFERROR(__xludf.DUMMYFUNCTION("GOOGLETRANSLATE(AN162,""en"",""ta"")"),"#VALUE!")</f>
        <v>#VALUE!</v>
      </c>
      <c r="AN162" s="3"/>
      <c r="AO162" s="3" t="str">
        <f ca="1">IFERROR(__xludf.DUMMYFUNCTION("GOOGLETRANSLATE(AP162,""en"",""ta"")"),"#VALUE!")</f>
        <v>#VALUE!</v>
      </c>
      <c r="AP162" s="3"/>
      <c r="AQ162" s="3"/>
      <c r="AR162" s="3" t="str">
        <f ca="1">IFERROR(__xludf.DUMMYFUNCTION("GOOGLETRANSLATE(AS162,""en"",""ta"")"),"ஸ்டைப்டிக், ஊக்கி, ருபேஃபேசியன்ட்.")</f>
        <v>ஸ்டைப்டிக், ஊக்கி, ருபேஃபேசியன்ட்.</v>
      </c>
      <c r="AS162" s="4" t="s">
        <v>2017</v>
      </c>
      <c r="AT162" s="3" t="str">
        <f ca="1">IFERROR(__xludf.DUMMYFUNCTION("GOOGLETRANSLATE(AU162,""en"",""ta"")"),"லிபோக்சிஜனேஸ், டைஹைட்ராக்ஸிஸ்டிரால், பி-சிட்டோஸ்டிரால், அத்தியாவசிய அமினோ அமிலங்கள், அமிலோஸ் மற்றும் ஸ்டிக்மாஸ்டரால்.")</f>
        <v>லிபோக்சிஜனேஸ், டைஹைட்ராக்ஸிஸ்டிரால், பி-சிட்டோஸ்டிரால், அத்தியாவசிய அமினோ அமிலங்கள், அமிலோஸ் மற்றும் ஸ்டிக்மாஸ்டரால்.</v>
      </c>
      <c r="AU162" s="4" t="s">
        <v>2018</v>
      </c>
      <c r="AV162" s="3"/>
      <c r="AW162" s="3" t="str">
        <f ca="1">IFERROR(__xludf.DUMMYFUNCTION("GOOGLETRANSLATE(AX162,""en"",""ta"")"),"i) புளி இலைகளுடன் கூடிய இலைகளை சமைத்து மூல நோய்க்கு சாப்பிடலாம்.
ii) நீரிழிவு நோயில் உணவுக்குப் பிறகு இரத்த குளுக்கோஸ் அளவைக் குறைக்க இலைகளை சமைத்து சாப்பிடலாம்.")</f>
        <v>i) புளி இலைகளுடன் கூடிய இலைகளை சமைத்து மூல நோய்க்கு சாப்பிடலாம்.
ii) நீரிழிவு நோயில் உணவுக்குப் பிறகு இரத்த குளுக்கோஸ் அளவைக் குறைக்க இலைகளை சமைத்து சாப்பிடலாம்.</v>
      </c>
      <c r="AX162" s="4" t="s">
        <v>2548</v>
      </c>
      <c r="AY162" s="3"/>
      <c r="AZ162" s="3"/>
      <c r="BA162" s="3"/>
      <c r="BB162" s="3"/>
      <c r="BC162" s="3"/>
      <c r="BD162" s="3"/>
      <c r="BE162" s="3"/>
      <c r="BF162" s="3"/>
    </row>
    <row r="163" spans="1:58" ht="42" x14ac:dyDescent="0.15">
      <c r="A163" s="3">
        <v>162</v>
      </c>
      <c r="B163" s="3" t="str">
        <f ca="1">IFERROR(__xludf.DUMMYFUNCTION("GOOGLETRANSLATE(C163,""en"",""ta"")"),"காமெலினா பெங்காலென்சிஸ்")</f>
        <v>காமெலினா பெங்காலென்சிஸ்</v>
      </c>
      <c r="C163" s="4" t="s">
        <v>2020</v>
      </c>
      <c r="D163" s="3" t="str">
        <f ca="1">IFERROR(__xludf.DUMMYFUNCTION("GOOGLETRANSLATE(E163,""en"",""ta"")"),"காஞ்சட்டா")</f>
        <v>காஞ்சட்டா</v>
      </c>
      <c r="E163" s="4" t="s">
        <v>2021</v>
      </c>
      <c r="F163" s="3" t="str">
        <f ca="1">IFERROR(__xludf.DUMMYFUNCTION("GOOGLETRANSLATE(G163,""en"",""ta"")"),"கனம் வாழை")</f>
        <v>கனம் வாழை</v>
      </c>
      <c r="G163" s="4" t="s">
        <v>2022</v>
      </c>
      <c r="H163" s="3" t="str">
        <f ca="1">IFERROR(__xludf.DUMMYFUNCTION("GOOGLETRANSLATE(I163,""en"",""ta"")"),"நீல சிலந்தி வோர்ட்")</f>
        <v>நீல சிலந்தி வோர்ட்</v>
      </c>
      <c r="I163" s="4" t="s">
        <v>2023</v>
      </c>
      <c r="J163" s="3" t="str">
        <f ca="1">IFERROR(__xludf.DUMMYFUNCTION("GOOGLETRANSLATE(K163,""en"",""ta"")"),"காஞ்சிராமு")</f>
        <v>காஞ்சிராமு</v>
      </c>
      <c r="K163" s="4" t="s">
        <v>2024</v>
      </c>
      <c r="L163" s="3" t="str">
        <f ca="1">IFERROR(__xludf.DUMMYFUNCTION("GOOGLETRANSLATE(M163,""en"",""ta"")"),"கனவழி")</f>
        <v>கனவழி</v>
      </c>
      <c r="M163" s="4" t="s">
        <v>2025</v>
      </c>
      <c r="N163" s="3" t="str">
        <f ca="1">IFERROR(__xludf.DUMMYFUNCTION("GOOGLETRANSLATE(O163,""en"",""ta"")"),"காஞ்சரா")</f>
        <v>காஞ்சரா</v>
      </c>
      <c r="O163" s="4" t="s">
        <v>2026</v>
      </c>
      <c r="P163" s="3"/>
      <c r="Q163" s="3" t="str">
        <f ca="1">IFERROR(__xludf.DUMMYFUNCTION("GOOGLETRANSLATE(R163,""en"",""ta"")"),"ஊர்ந்து செல்லும் மூலிகை. தண்டு நீளமானது, மெல்லியது மற்றும் பொய்யானது. இலைகள் எளிமையானவை, நேரியல், முட்டை வடிவானது அல்லது நீள்வட்டமானது, காம்பற்றது மற்றும் முழுமையானது. மலர்கள் 2 முதல் 3 பூக்கள் கொண்ட நீல நிற சைம்களில் உருவாகின்றன. பழங்கள் பைரிஃபார்ம் காப்"&amp;"ஸ்யூல்கள்.")</f>
        <v>ஊர்ந்து செல்லும் மூலிகை. தண்டு நீளமானது, மெல்லியது மற்றும் பொய்யானது. இலைகள் எளிமையானவை, நேரியல், முட்டை வடிவானது அல்லது நீள்வட்டமானது, காம்பற்றது மற்றும் முழுமையானது. மலர்கள் 2 முதல் 3 பூக்கள் கொண்ட நீல நிற சைம்களில் உருவாகின்றன. பழங்கள் பைரிஃபார்ம் காப்ஸ்யூல்கள்.</v>
      </c>
      <c r="R163" s="4" t="s">
        <v>2027</v>
      </c>
      <c r="S163" s="3" t="str">
        <f ca="1">IFERROR(__xludf.DUMMYFUNCTION("GOOGLETRANSLATE(T163,""en"",""ta"")"),"#VALUE!")</f>
        <v>#VALUE!</v>
      </c>
      <c r="T163" s="3"/>
      <c r="U163" s="3" t="str">
        <f ca="1">IFERROR(__xludf.DUMMYFUNCTION("GOOGLETRANSLATE(V163,""en"",""ta"")"),"#VALUE!")</f>
        <v>#VALUE!</v>
      </c>
      <c r="V163" s="3"/>
      <c r="W163" s="3" t="str">
        <f ca="1">IFERROR(__xludf.DUMMYFUNCTION("GOOGLETRANSLATE(X163,""en"",""ta"")"),"#VALUE!")</f>
        <v>#VALUE!</v>
      </c>
      <c r="X163" s="3"/>
      <c r="Y163" s="3" t="str">
        <f ca="1">IFERROR(__xludf.DUMMYFUNCTION("GOOGLETRANSLATE(Z163,""en"",""ta"")"),"#VALUE!")</f>
        <v>#VALUE!</v>
      </c>
      <c r="Z163" s="3"/>
      <c r="AA163" s="3" t="str">
        <f ca="1">IFERROR(__xludf.DUMMYFUNCTION("GOOGLETRANSLATE(AB163,""en"",""ta"")"),"#VALUE!")</f>
        <v>#VALUE!</v>
      </c>
      <c r="AB163" s="3"/>
      <c r="AC163" s="3" t="str">
        <f ca="1">IFERROR(__xludf.DUMMYFUNCTION("GOOGLETRANSLATE(AD163,""en"",""ta"")"),"#VALUE!")</f>
        <v>#VALUE!</v>
      </c>
      <c r="AD163" s="3"/>
      <c r="AE163" s="3" t="str">
        <f ca="1">IFERROR(__xludf.DUMMYFUNCTION("GOOGLETRANSLATE(AF163,""en"",""ta"")"),"#VALUE!")</f>
        <v>#VALUE!</v>
      </c>
      <c r="AF163" s="3"/>
      <c r="AG163" s="3" t="str">
        <f ca="1">IFERROR(__xludf.DUMMYFUNCTION("GOOGLETRANSLATE(AH163,""en"",""ta"")"),"#VALUE!")</f>
        <v>#VALUE!</v>
      </c>
      <c r="AH163" s="3"/>
      <c r="AI163" s="3" t="str">
        <f ca="1">IFERROR(__xludf.DUMMYFUNCTION("GOOGLETRANSLATE(AJ163,""en"",""ta"")"),"#VALUE!")</f>
        <v>#VALUE!</v>
      </c>
      <c r="AJ163" s="3"/>
      <c r="AK163" s="3" t="str">
        <f ca="1">IFERROR(__xludf.DUMMYFUNCTION("GOOGLETRANSLATE(AL163,""en"",""ta"")"),"#VALUE!")</f>
        <v>#VALUE!</v>
      </c>
      <c r="AL163" s="3"/>
      <c r="AM163" s="3" t="str">
        <f ca="1">IFERROR(__xludf.DUMMYFUNCTION("GOOGLETRANSLATE(AN163,""en"",""ta"")"),"#VALUE!")</f>
        <v>#VALUE!</v>
      </c>
      <c r="AN163" s="3"/>
      <c r="AO163" s="3" t="str">
        <f ca="1">IFERROR(__xludf.DUMMYFUNCTION("GOOGLETRANSLATE(AP163,""en"",""ta"")"),"#VALUE!")</f>
        <v>#VALUE!</v>
      </c>
      <c r="AP163" s="3"/>
      <c r="AQ163" s="3"/>
      <c r="AR163" s="3" t="str">
        <f ca="1">IFERROR(__xludf.DUMMYFUNCTION("GOOGLETRANSLATE(AS163,""en"",""ta"")"),"குளிர்பதனப் பொருள், பாலுணர்வூக்கி, மலமிளக்கி மற்றும் காய்ச்சல் மருந்து")</f>
        <v>குளிர்பதனப் பொருள், பாலுணர்வூக்கி, மலமிளக்கி மற்றும் காய்ச்சல் மருந்து</v>
      </c>
      <c r="AS163" s="4" t="s">
        <v>2028</v>
      </c>
      <c r="AT163" s="3" t="str">
        <f ca="1">IFERROR(__xludf.DUMMYFUNCTION("GOOGLETRANSLATE(AU163,""en"",""ta"")"),"n-ஆக்டகோசனால், n-ட்ரைகோன்டனால், ஸ்டிக்மாஸ்டரால், ஸ்டிக்மாசிடோஸ்டெரால் மற்றும் கேம்பஸ்டெரால்")</f>
        <v>n-ஆக்டகோசனால், n-ட்ரைகோன்டனால், ஸ்டிக்மாஸ்டரால், ஸ்டிக்மாசிடோஸ்டெரால் மற்றும் கேம்பஸ்டெரால்</v>
      </c>
      <c r="AU163" s="4" t="s">
        <v>2029</v>
      </c>
      <c r="AV163" s="3"/>
      <c r="AW163" s="3" t="str">
        <f ca="1">IFERROR(__xludf.DUMMYFUNCTION("GOOGLETRANSLATE(AX163,""en"",""ta"")"),"i) விந்தணுக்களின் எண்ணிக்கையை அதிகரிக்க இலைகளை சமைத்து சாப்பிடுகிறார்கள். 
i) இந்த செடி கண் நோய்களுக்கு பயன்படுத்தப்படுகிறது.")</f>
        <v>i) விந்தணுக்களின் எண்ணிக்கையை அதிகரிக்க இலைகளை சமைத்து சாப்பிடுகிறார்கள். 
i) இந்த செடி கண் நோய்களுக்கு பயன்படுத்தப்படுகிறது.</v>
      </c>
      <c r="AX163" s="4" t="s">
        <v>2549</v>
      </c>
      <c r="AY163" s="3"/>
      <c r="AZ163" s="3"/>
      <c r="BA163" s="3"/>
      <c r="BB163" s="3"/>
      <c r="BC163" s="3"/>
      <c r="BD163" s="3"/>
      <c r="BE163" s="3"/>
      <c r="BF163" s="3"/>
    </row>
    <row r="164" spans="1:58" ht="42" x14ac:dyDescent="0.15">
      <c r="A164" s="3">
        <v>163</v>
      </c>
      <c r="B164" s="3" t="str">
        <f ca="1">IFERROR(__xludf.DUMMYFUNCTION("GOOGLETRANSLATE(C164,""en"",""ta"")"),"கமிஃபோரா முகுல்")</f>
        <v>கமிஃபோரா முகுல்</v>
      </c>
      <c r="C164" s="4" t="s">
        <v>2031</v>
      </c>
      <c r="D164" s="3" t="str">
        <f ca="1">IFERROR(__xludf.DUMMYFUNCTION("GOOGLETRANSLATE(E164,""en"",""ta"")"),"குகுலு")</f>
        <v>குகுலு</v>
      </c>
      <c r="E164" s="4" t="s">
        <v>2032</v>
      </c>
      <c r="F164" s="3" t="str">
        <f ca="1">IFERROR(__xludf.DUMMYFUNCTION("GOOGLETRANSLATE(G164,""en"",""ta"")"),"குகுலு")</f>
        <v>குகுலு</v>
      </c>
      <c r="G164" s="4" t="s">
        <v>2032</v>
      </c>
      <c r="H164" s="3" t="str">
        <f ca="1">IFERROR(__xludf.DUMMYFUNCTION("GOOGLETRANSLATE(I164,""en"",""ta"")"),"இந்திய பெடெலியம் மரம்")</f>
        <v>இந்திய பெடெலியம் மரம்</v>
      </c>
      <c r="I164" s="4" t="s">
        <v>2033</v>
      </c>
      <c r="J164" s="3" t="str">
        <f ca="1">IFERROR(__xludf.DUMMYFUNCTION("GOOGLETRANSLATE(K164,""en"",""ta"")"),"குக்கல்")</f>
        <v>குக்கல்</v>
      </c>
      <c r="K164" s="4" t="s">
        <v>2034</v>
      </c>
      <c r="L164" s="3" t="str">
        <f ca="1">IFERROR(__xludf.DUMMYFUNCTION("GOOGLETRANSLATE(M164,""en"",""ta"")"),"குகுலா")</f>
        <v>குகுலா</v>
      </c>
      <c r="M164" s="4" t="s">
        <v>2035</v>
      </c>
      <c r="N164" s="3" t="str">
        <f ca="1">IFERROR(__xludf.DUMMYFUNCTION("GOOGLETRANSLATE(O164,""en"",""ta"")"),"கூகல்")</f>
        <v>கூகல்</v>
      </c>
      <c r="O164" s="4" t="s">
        <v>2036</v>
      </c>
      <c r="P164" s="3"/>
      <c r="Q164" s="3" t="str">
        <f ca="1">IFERROR(__xludf.DUMMYFUNCTION("GOOGLETRANSLATE(R164,""en"",""ta"")"),"மரங்கள், இலைகள் மாற்று வடிவிலானவை, கூட்டு இலைகள், இலைகள் காம்பற்றவை முதல் துணை காம்பற்றவை. மலர்கள் பழுப்பு நிறத்தில் ஐந்து இதழ்களுடன், பலதார மணம் கொண்டவை, சிறிய தொகுப்புகள் அல்லது பேனிகுலேட் டைகேசியல் சைமில் காணப்படும். பழங்கள் முட்டை வடிவானது, சதைப்பற்று"&amp;"ள்ள ட்ரூப்.")</f>
        <v>மரங்கள், இலைகள் மாற்று வடிவிலானவை, கூட்டு இலைகள், இலைகள் காம்பற்றவை முதல் துணை காம்பற்றவை. மலர்கள் பழுப்பு நிறத்தில் ஐந்து இதழ்களுடன், பலதார மணம் கொண்டவை, சிறிய தொகுப்புகள் அல்லது பேனிகுலேட் டைகேசியல் சைமில் காணப்படும். பழங்கள் முட்டை வடிவானது, சதைப்பற்றுள்ள ட்ரூப்.</v>
      </c>
      <c r="R164" s="4" t="s">
        <v>2037</v>
      </c>
      <c r="S164" s="3" t="str">
        <f ca="1">IFERROR(__xludf.DUMMYFUNCTION("GOOGLETRANSLATE(T164,""en"",""ta"")"),"#VALUE!")</f>
        <v>#VALUE!</v>
      </c>
      <c r="T164" s="3"/>
      <c r="U164" s="3" t="str">
        <f ca="1">IFERROR(__xludf.DUMMYFUNCTION("GOOGLETRANSLATE(V164,""en"",""ta"")"),"#VALUE!")</f>
        <v>#VALUE!</v>
      </c>
      <c r="V164" s="3"/>
      <c r="W164" s="3" t="str">
        <f ca="1">IFERROR(__xludf.DUMMYFUNCTION("GOOGLETRANSLATE(X164,""en"",""ta"")"),"#VALUE!")</f>
        <v>#VALUE!</v>
      </c>
      <c r="X164" s="3"/>
      <c r="Y164" s="3" t="str">
        <f ca="1">IFERROR(__xludf.DUMMYFUNCTION("GOOGLETRANSLATE(Z164,""en"",""ta"")"),"#VALUE!")</f>
        <v>#VALUE!</v>
      </c>
      <c r="Z164" s="3"/>
      <c r="AA164" s="3" t="str">
        <f ca="1">IFERROR(__xludf.DUMMYFUNCTION("GOOGLETRANSLATE(AB164,""en"",""ta"")"),"#VALUE!")</f>
        <v>#VALUE!</v>
      </c>
      <c r="AB164" s="3"/>
      <c r="AC164" s="3" t="str">
        <f ca="1">IFERROR(__xludf.DUMMYFUNCTION("GOOGLETRANSLATE(AD164,""en"",""ta"")"),"#VALUE!")</f>
        <v>#VALUE!</v>
      </c>
      <c r="AD164" s="3"/>
      <c r="AE164" s="3" t="str">
        <f ca="1">IFERROR(__xludf.DUMMYFUNCTION("GOOGLETRANSLATE(AF164,""en"",""ta"")"),"#VALUE!")</f>
        <v>#VALUE!</v>
      </c>
      <c r="AF164" s="3"/>
      <c r="AG164" s="3" t="str">
        <f ca="1">IFERROR(__xludf.DUMMYFUNCTION("GOOGLETRANSLATE(AH164,""en"",""ta"")"),"#VALUE!")</f>
        <v>#VALUE!</v>
      </c>
      <c r="AH164" s="3"/>
      <c r="AI164" s="3" t="str">
        <f ca="1">IFERROR(__xludf.DUMMYFUNCTION("GOOGLETRANSLATE(AJ164,""en"",""ta"")"),"#VALUE!")</f>
        <v>#VALUE!</v>
      </c>
      <c r="AJ164" s="3"/>
      <c r="AK164" s="3" t="str">
        <f ca="1">IFERROR(__xludf.DUMMYFUNCTION("GOOGLETRANSLATE(AL164,""en"",""ta"")"),"#VALUE!")</f>
        <v>#VALUE!</v>
      </c>
      <c r="AL164" s="3"/>
      <c r="AM164" s="3" t="str">
        <f ca="1">IFERROR(__xludf.DUMMYFUNCTION("GOOGLETRANSLATE(AN164,""en"",""ta"")"),"#VALUE!")</f>
        <v>#VALUE!</v>
      </c>
      <c r="AN164" s="3"/>
      <c r="AO164" s="3" t="str">
        <f ca="1">IFERROR(__xludf.DUMMYFUNCTION("GOOGLETRANSLATE(AP164,""en"",""ta"")"),"#VALUE!")</f>
        <v>#VALUE!</v>
      </c>
      <c r="AP164" s="3"/>
      <c r="AQ164" s="3"/>
      <c r="AR164" s="3" t="str">
        <f ca="1">IFERROR(__xludf.DUMMYFUNCTION("GOOGLETRANSLATE(AS164,""en"",""ta"")"),"அழற்சி எதிர்ப்பு, வலி ​​நிவாரணி, நரம்பு டானிக், பாக்டீரியா எதிர்ப்பு, கருப்பை டானிக், எம்மெனாகோக் மற்றும் தூண்டுதல்.")</f>
        <v>அழற்சி எதிர்ப்பு, வலி ​​நிவாரணி, நரம்பு டானிக், பாக்டீரியா எதிர்ப்பு, கருப்பை டானிக், எம்மெனாகோக் மற்றும் தூண்டுதல்.</v>
      </c>
      <c r="AS164" s="4" t="s">
        <v>2038</v>
      </c>
      <c r="AT164" s="3" t="str">
        <f ca="1">IFERROR(__xludf.DUMMYFUNCTION("GOOGLETRANSLATE(AU164,""en"",""ta"")"),"ஸ்டீராய்டுகள், அலிபாடிக் டெட்ரோல், செம்டிரீன், முகுலோல், கேம்போரீன், குகல்ஸ்டெரால், டெர்பெனாய்டுகள்.")</f>
        <v>ஸ்டீராய்டுகள், அலிபாடிக் டெட்ரோல், செம்டிரீன், முகுலோல், கேம்போரீன், குகல்ஸ்டெரால், டெர்பெனாய்டுகள்.</v>
      </c>
      <c r="AU164" s="4" t="s">
        <v>2039</v>
      </c>
      <c r="AV164" s="3"/>
      <c r="AW164" s="3" t="str">
        <f ca="1">IFERROR(__xludf.DUMMYFUNCTION("GOOGLETRANSLATE(AX164,""en"",""ta"")"),"i) கீல்வாதத்திற்கு பிசின் மற்றும் ஆல்கஹால், முட்டையின் வெள்ளைக்கரு ஆகியவற்றை கலந்து மூட்டுகளில் தடவப்படுகிறது.
ii) குழந்தைகளுக்கு வயிற்றுப்போக்குக்கு பிசின் பவுடர் சர்க்கரையுடன் சேர்த்து உள்ளே கொடுக்கப்படுகிறது.")</f>
        <v>i) கீல்வாதத்திற்கு பிசின் மற்றும் ஆல்கஹால், முட்டையின் வெள்ளைக்கரு ஆகியவற்றை கலந்து மூட்டுகளில் தடவப்படுகிறது.
ii) குழந்தைகளுக்கு வயிற்றுப்போக்குக்கு பிசின் பவுடர் சர்க்கரையுடன் சேர்த்து உள்ளே கொடுக்கப்படுகிறது.</v>
      </c>
      <c r="AX164" s="4" t="s">
        <v>2550</v>
      </c>
      <c r="AY164" s="3"/>
      <c r="AZ164" s="3"/>
      <c r="BA164" s="3"/>
      <c r="BB164" s="3"/>
      <c r="BC164" s="3"/>
      <c r="BD164" s="3"/>
      <c r="BE164" s="3"/>
      <c r="BF164" s="3"/>
    </row>
    <row r="165" spans="1:58" ht="42" x14ac:dyDescent="0.15">
      <c r="A165" s="3">
        <v>164</v>
      </c>
      <c r="B165" s="3" t="str">
        <f ca="1">IFERROR(__xludf.DUMMYFUNCTION("GOOGLETRANSLATE(C165,""en"",""ta"")"),"கோரலோகார்பஸ் எபிகேயஸ்")</f>
        <v>கோரலோகார்பஸ் எபிகேயஸ்</v>
      </c>
      <c r="C165" s="4" t="s">
        <v>2041</v>
      </c>
      <c r="D165" s="3" t="str">
        <f ca="1">IFERROR(__xludf.DUMMYFUNCTION("GOOGLETRANSLATE(E165,""en"",""ta"")"),"பாதாள கருடன்")</f>
        <v>பாதாள கருடன்</v>
      </c>
      <c r="E165" s="4" t="s">
        <v>2042</v>
      </c>
      <c r="F165" s="3" t="str">
        <f ca="1">IFERROR(__xludf.DUMMYFUNCTION("GOOGLETRANSLATE(G165,""en"",""ta"")"),"ஆகாச கருடன்")</f>
        <v>ஆகாச கருடன்</v>
      </c>
      <c r="G165" s="4" t="s">
        <v>2043</v>
      </c>
      <c r="H165" s="3" t="str">
        <f ca="1">IFERROR(__xludf.DUMMYFUNCTION("GOOGLETRANSLATE(I165,""en"",""ta"")"),"பிரையோம்ஸ்")</f>
        <v>பிரையோம்ஸ்</v>
      </c>
      <c r="I165" s="4" t="s">
        <v>2044</v>
      </c>
      <c r="J165" s="3" t="str">
        <f ca="1">IFERROR(__xludf.DUMMYFUNCTION("GOOGLETRANSLATE(K165,""en"",""ta"")"),"நாக தொண்டா")</f>
        <v>நாக தொண்டா</v>
      </c>
      <c r="K165" s="4" t="s">
        <v>2045</v>
      </c>
      <c r="L165" s="3" t="str">
        <f ca="1">IFERROR(__xludf.DUMMYFUNCTION("GOOGLETRANSLATE(M165,""en"",""ta"")"),"கொல்லங்கோவா கிழன்னா")</f>
        <v>கொல்லங்கோவா கிழன்னா</v>
      </c>
      <c r="M165" s="4" t="s">
        <v>2046</v>
      </c>
      <c r="N165" s="3" t="str">
        <f ca="1">IFERROR(__xludf.DUMMYFUNCTION("GOOGLETRANSLATE(O165,""en"",""ta"")"),"ஆகாஷ்கடா")</f>
        <v>ஆகாஷ்கடா</v>
      </c>
      <c r="O165" s="4" t="s">
        <v>2047</v>
      </c>
      <c r="P165" s="3"/>
      <c r="Q165" s="3" t="str">
        <f ca="1">IFERROR(__xludf.DUMMYFUNCTION("GOOGLETRANSLATE(R165,""en"",""ta"")"),"ஒரு பெரிய கிழங்கு போன்ற வேர் தண்டு, எளிமையான தண்டுகள் கொண்ட ஒரு தடிமனான தண்டு கொண்ட வற்றாத ஏறும் தாவரம். இலைகள் அவற்றின் மடல்களில் கரடுமுரடானவை மற்றும் மாறுபடும். பூக்கள் சிறிய கூட்டமான ரேசீம்களில் நீண்ட மஞ்சரிகளில், தனித்த, குறுகிய மஞ்சரி இலைக்காம்புகளுட"&amp;"ன் ஒரே அச்சுகளிலிருந்து. பழங்கள் முட்டை வடிவானது, கொக்குகள் கொண்டது, சதைப்பற்றுள்ள பெர்ரி. விதைகள் சில முட்டை வடிவானது, பழுப்பு அல்லது ஆரஞ்சு.")</f>
        <v>ஒரு பெரிய கிழங்கு போன்ற வேர் தண்டு, எளிமையான தண்டுகள் கொண்ட ஒரு தடிமனான தண்டு கொண்ட வற்றாத ஏறும் தாவரம். இலைகள் அவற்றின் மடல்களில் கரடுமுரடானவை மற்றும் மாறுபடும். பூக்கள் சிறிய கூட்டமான ரேசீம்களில் நீண்ட மஞ்சரிகளில், தனித்த, குறுகிய மஞ்சரி இலைக்காம்புகளுடன் ஒரே அச்சுகளிலிருந்து. பழங்கள் முட்டை வடிவானது, கொக்குகள் கொண்டது, சதைப்பற்றுள்ள பெர்ரி. விதைகள் சில முட்டை வடிவானது, பழுப்பு அல்லது ஆரஞ்சு.</v>
      </c>
      <c r="R165" s="4" t="s">
        <v>2048</v>
      </c>
      <c r="S165" s="3" t="str">
        <f ca="1">IFERROR(__xludf.DUMMYFUNCTION("GOOGLETRANSLATE(T165,""en"",""ta"")"),"#VALUE!")</f>
        <v>#VALUE!</v>
      </c>
      <c r="T165" s="3"/>
      <c r="U165" s="3" t="str">
        <f ca="1">IFERROR(__xludf.DUMMYFUNCTION("GOOGLETRANSLATE(V165,""en"",""ta"")"),"#VALUE!")</f>
        <v>#VALUE!</v>
      </c>
      <c r="V165" s="3"/>
      <c r="W165" s="3" t="str">
        <f ca="1">IFERROR(__xludf.DUMMYFUNCTION("GOOGLETRANSLATE(X165,""en"",""ta"")"),"#VALUE!")</f>
        <v>#VALUE!</v>
      </c>
      <c r="X165" s="3"/>
      <c r="Y165" s="3" t="str">
        <f ca="1">IFERROR(__xludf.DUMMYFUNCTION("GOOGLETRANSLATE(Z165,""en"",""ta"")"),"#VALUE!")</f>
        <v>#VALUE!</v>
      </c>
      <c r="Z165" s="3"/>
      <c r="AA165" s="3" t="str">
        <f ca="1">IFERROR(__xludf.DUMMYFUNCTION("GOOGLETRANSLATE(AB165,""en"",""ta"")"),"#VALUE!")</f>
        <v>#VALUE!</v>
      </c>
      <c r="AB165" s="3"/>
      <c r="AC165" s="3" t="str">
        <f ca="1">IFERROR(__xludf.DUMMYFUNCTION("GOOGLETRANSLATE(AD165,""en"",""ta"")"),"#VALUE!")</f>
        <v>#VALUE!</v>
      </c>
      <c r="AD165" s="3"/>
      <c r="AE165" s="3" t="str">
        <f ca="1">IFERROR(__xludf.DUMMYFUNCTION("GOOGLETRANSLATE(AF165,""en"",""ta"")"),"#VALUE!")</f>
        <v>#VALUE!</v>
      </c>
      <c r="AF165" s="3"/>
      <c r="AG165" s="3" t="str">
        <f ca="1">IFERROR(__xludf.DUMMYFUNCTION("GOOGLETRANSLATE(AH165,""en"",""ta"")"),"#VALUE!")</f>
        <v>#VALUE!</v>
      </c>
      <c r="AH165" s="3"/>
      <c r="AI165" s="3" t="str">
        <f ca="1">IFERROR(__xludf.DUMMYFUNCTION("GOOGLETRANSLATE(AJ165,""en"",""ta"")"),"#VALUE!")</f>
        <v>#VALUE!</v>
      </c>
      <c r="AJ165" s="3"/>
      <c r="AK165" s="3" t="str">
        <f ca="1">IFERROR(__xludf.DUMMYFUNCTION("GOOGLETRANSLATE(AL165,""en"",""ta"")"),"#VALUE!")</f>
        <v>#VALUE!</v>
      </c>
      <c r="AL165" s="3"/>
      <c r="AM165" s="3" t="str">
        <f ca="1">IFERROR(__xludf.DUMMYFUNCTION("GOOGLETRANSLATE(AN165,""en"",""ta"")"),"#VALUE!")</f>
        <v>#VALUE!</v>
      </c>
      <c r="AN165" s="3"/>
      <c r="AO165" s="3" t="str">
        <f ca="1">IFERROR(__xludf.DUMMYFUNCTION("GOOGLETRANSLATE(AP165,""en"",""ta"")"),"#VALUE!")</f>
        <v>#VALUE!</v>
      </c>
      <c r="AP165" s="3"/>
      <c r="AQ165" s="3"/>
      <c r="AR165" s="3" t="str">
        <f ca="1">IFERROR(__xludf.DUMMYFUNCTION("GOOGLETRANSLATE(AS165,""en"",""ta"")"),"கசப்பான, மாற்று, டானிக், அபிரியண்ட், வாந்தி.")</f>
        <v>கசப்பான, மாற்று, டானிக், அபிரியண்ட், வாந்தி.</v>
      </c>
      <c r="AS165" s="4" t="s">
        <v>2049</v>
      </c>
      <c r="AT165" s="3" t="str">
        <f ca="1">IFERROR(__xludf.DUMMYFUNCTION("GOOGLETRANSLATE(AU165,""en"",""ta"")"),"பிரையோனின், குக்குர்பிடசின் பி")</f>
        <v>பிரையோனின், குக்குர்பிடசின் பி</v>
      </c>
      <c r="AU165" s="4" t="s">
        <v>2050</v>
      </c>
      <c r="AV165" s="3"/>
      <c r="AW165" s="3" t="str">
        <f ca="1">IFERROR(__xludf.DUMMYFUNCTION("GOOGLETRANSLATE(AX165,""en"",""ta"")"),"i) வேர் கிழங்கின் பொடி வயிற்றுப்போக்கில் பயனுள்ளதாக இருக்கும். 
ii) கிழங்குகள், வெங்காயம் மற்றும் சீரகத்தை பேஸ்டாகப் செய்து, ஆமணக்கு எண்ணெயில் கொதிக்க வைத்து மூட்டுவலிக்கு தடவ வேண்டும்.")</f>
        <v>i) வேர் கிழங்கின் பொடி வயிற்றுப்போக்கில் பயனுள்ளதாக இருக்கும். 
ii) கிழங்குகள், வெங்காயம் மற்றும் சீரகத்தை பேஸ்டாகப் செய்து, ஆமணக்கு எண்ணெயில் கொதிக்க வைத்து மூட்டுவலிக்கு தடவ வேண்டும்.</v>
      </c>
      <c r="AX165" s="4" t="s">
        <v>2551</v>
      </c>
      <c r="AY165" s="3"/>
      <c r="AZ165" s="3"/>
      <c r="BA165" s="3"/>
      <c r="BB165" s="3"/>
      <c r="BC165" s="3"/>
      <c r="BD165" s="3"/>
      <c r="BE165" s="3"/>
      <c r="BF165" s="3"/>
    </row>
    <row r="166" spans="1:58" ht="42" x14ac:dyDescent="0.15">
      <c r="A166" s="3">
        <v>165</v>
      </c>
      <c r="B166" s="3" t="str">
        <f ca="1">IFERROR(__xludf.DUMMYFUNCTION("GOOGLETRANSLATE(C166,""en"",""ta"")"),"கார்டியா மிக்சா")</f>
        <v>கார்டியா மிக்சா</v>
      </c>
      <c r="C166" s="4" t="s">
        <v>2052</v>
      </c>
      <c r="D166" s="3" t="str">
        <f ca="1">IFERROR(__xludf.DUMMYFUNCTION("GOOGLETRANSLATE(E166,""en"",""ta"")"),"ஸ்லேஷ்மடகா")</f>
        <v>ஸ்லேஷ்மடகா</v>
      </c>
      <c r="E166" s="4" t="s">
        <v>2053</v>
      </c>
      <c r="F166" s="3" t="str">
        <f ca="1">IFERROR(__xludf.DUMMYFUNCTION("GOOGLETRANSLATE(G166,""en"",""ta"")"),"நருவிலி")</f>
        <v>நருவிலி</v>
      </c>
      <c r="G166" s="4" t="s">
        <v>2054</v>
      </c>
      <c r="H166" s="3" t="str">
        <f ca="1">IFERROR(__xludf.DUMMYFUNCTION("GOOGLETRANSLATE(I166,""en"",""ta"")"),"பூமி அதிர்ச்சி மரம்")</f>
        <v>பூமி அதிர்ச்சி மரம்</v>
      </c>
      <c r="I166" s="4" t="s">
        <v>2055</v>
      </c>
      <c r="J166" s="3" t="str">
        <f ca="1">IFERROR(__xludf.DUMMYFUNCTION("GOOGLETRANSLATE(K166,""en"",""ta"")"),"பங்கனக்கேரா")</f>
        <v>பங்கனக்கேரா</v>
      </c>
      <c r="K166" s="4" t="s">
        <v>2056</v>
      </c>
      <c r="L166" s="3" t="str">
        <f ca="1">IFERROR(__xludf.DUMMYFUNCTION("GOOGLETRANSLATE(M166,""en"",""ta"")"),"நருவிரி")</f>
        <v>நருவிரி</v>
      </c>
      <c r="M166" s="4" t="s">
        <v>2057</v>
      </c>
      <c r="N166" s="3" t="str">
        <f ca="1">IFERROR(__xludf.DUMMYFUNCTION("GOOGLETRANSLATE(O166,""en"",""ta"")"),"பரா லசோரா")</f>
        <v>பரா லசோரா</v>
      </c>
      <c r="O166" s="4" t="s">
        <v>2058</v>
      </c>
      <c r="P166" s="3"/>
      <c r="Q166" s="3" t="str">
        <f ca="1">IFERROR(__xludf.DUMMYFUNCTION("GOOGLETRANSLATE(R166,""en"",""ta"")"),"மரங்கள், இலைகள் மாறி மாறி, கீழே வெள்ளை நிற உரோமங்களுடையவை, இலைக்காம்புகள் கொண்டவை, முழுதாகவோ அல்லது பல் கொண்டவை. மலர்கள் பலதார மணம் கொண்டவை மற்றும் இருவகை கோரிம்போஸ் சைம்களில் காணப்படும். பழங்கள் முட்டை வடிவானது, நீள்வட்ட வடிவ ட்ரூப் மற்றும் பிசுபிசுப்பான"&amp;" கூழ் கொண்டது.")</f>
        <v>மரங்கள், இலைகள் மாறி மாறி, கீழே வெள்ளை நிற உரோமங்களுடையவை, இலைக்காம்புகள் கொண்டவை, முழுதாகவோ அல்லது பல் கொண்டவை. மலர்கள் பலதார மணம் கொண்டவை மற்றும் இருவகை கோரிம்போஸ் சைம்களில் காணப்படும். பழங்கள் முட்டை வடிவானது, நீள்வட்ட வடிவ ட்ரூப் மற்றும் பிசுபிசுப்பான கூழ் கொண்டது.</v>
      </c>
      <c r="R166" s="4" t="s">
        <v>2059</v>
      </c>
      <c r="S166" s="3" t="str">
        <f ca="1">IFERROR(__xludf.DUMMYFUNCTION("GOOGLETRANSLATE(T166,""en"",""ta"")"),"#VALUE!")</f>
        <v>#VALUE!</v>
      </c>
      <c r="T166" s="3"/>
      <c r="U166" s="3" t="str">
        <f ca="1">IFERROR(__xludf.DUMMYFUNCTION("GOOGLETRANSLATE(V166,""en"",""ta"")"),"#VALUE!")</f>
        <v>#VALUE!</v>
      </c>
      <c r="V166" s="3"/>
      <c r="W166" s="3" t="str">
        <f ca="1">IFERROR(__xludf.DUMMYFUNCTION("GOOGLETRANSLATE(X166,""en"",""ta"")"),"#VALUE!")</f>
        <v>#VALUE!</v>
      </c>
      <c r="X166" s="3"/>
      <c r="Y166" s="3" t="str">
        <f ca="1">IFERROR(__xludf.DUMMYFUNCTION("GOOGLETRANSLATE(Z166,""en"",""ta"")"),"#VALUE!")</f>
        <v>#VALUE!</v>
      </c>
      <c r="Z166" s="3"/>
      <c r="AA166" s="3" t="str">
        <f ca="1">IFERROR(__xludf.DUMMYFUNCTION("GOOGLETRANSLATE(AB166,""en"",""ta"")"),"விஷம், புண்கள், காது தொற்று, வயிற்றுப்போக்கு மற்றும் குடல் புழுக்கள்.")</f>
        <v>விஷம், புண்கள், காது தொற்று, வயிற்றுப்போக்கு மற்றும் குடல் புழுக்கள்.</v>
      </c>
      <c r="AB166" s="4" t="s">
        <v>2060</v>
      </c>
      <c r="AC166" s="3" t="str">
        <f ca="1">IFERROR(__xludf.DUMMYFUNCTION("GOOGLETRANSLATE(AD166,""en"",""ta"")"),"#VALUE!")</f>
        <v>#VALUE!</v>
      </c>
      <c r="AD166" s="3"/>
      <c r="AE166" s="3" t="str">
        <f ca="1">IFERROR(__xludf.DUMMYFUNCTION("GOOGLETRANSLATE(AF166,""en"",""ta"")"),"#VALUE!")</f>
        <v>#VALUE!</v>
      </c>
      <c r="AF166" s="3"/>
      <c r="AG166" s="3" t="str">
        <f ca="1">IFERROR(__xludf.DUMMYFUNCTION("GOOGLETRANSLATE(AH166,""en"",""ta"")"),"#VALUE!")</f>
        <v>#VALUE!</v>
      </c>
      <c r="AH166" s="3"/>
      <c r="AI166" s="3" t="str">
        <f ca="1">IFERROR(__xludf.DUMMYFUNCTION("GOOGLETRANSLATE(AJ166,""en"",""ta"")"),"#VALUE!")</f>
        <v>#VALUE!</v>
      </c>
      <c r="AJ166" s="3"/>
      <c r="AK166" s="3" t="str">
        <f ca="1">IFERROR(__xludf.DUMMYFUNCTION("GOOGLETRANSLATE(AL166,""en"",""ta"")"),"#VALUE!")</f>
        <v>#VALUE!</v>
      </c>
      <c r="AL166" s="3"/>
      <c r="AM166" s="3" t="str">
        <f ca="1">IFERROR(__xludf.DUMMYFUNCTION("GOOGLETRANSLATE(AN166,""en"",""ta"")"),"இரத்தக்கசிவு, வறட்டு இருமல், மூக்கடைப்பு, நெஃப்ரிடிஸ், அசோஸ்பெர்மியா மற்றும் காய்ச்சல்.")</f>
        <v>இரத்தக்கசிவு, வறட்டு இருமல், மூக்கடைப்பு, நெஃப்ரிடிஸ், அசோஸ்பெர்மியா மற்றும் காய்ச்சல்.</v>
      </c>
      <c r="AN166" s="4" t="s">
        <v>2061</v>
      </c>
      <c r="AO166" s="3" t="str">
        <f ca="1">IFERROR(__xludf.DUMMYFUNCTION("GOOGLETRANSLATE(AP166,""en"",""ta"")"),"#VALUE!")</f>
        <v>#VALUE!</v>
      </c>
      <c r="AP166" s="3"/>
      <c r="AQ166" s="3"/>
      <c r="AR166" s="3" t="str">
        <f ca="1">IFERROR(__xludf.DUMMYFUNCTION("GOOGLETRANSLATE(AS166,""en"",""ta"")"),"மாற்று மருந்து, அல்சரோஜெனிக் எதிர்ப்பு.")</f>
        <v>மாற்று மருந்து, அல்சரோஜெனிக் எதிர்ப்பு.</v>
      </c>
      <c r="AS166" s="4" t="s">
        <v>2062</v>
      </c>
      <c r="AT166" s="3" t="str">
        <f ca="1">IFERROR(__xludf.DUMMYFUNCTION("GOOGLETRANSLATE(AU166,""en"",""ta"")"),"கார்டோரெசிக் அமிலம், பி-சிட்டோஸ்டெரால், புரதம், பால்மிடிக், ஸ்டீரிக் மற்றும் ஒலிக் அமிலங்கள்.")</f>
        <v>கார்டோரெசிக் அமிலம், பி-சிட்டோஸ்டெரால், புரதம், பால்மிடிக், ஸ்டீரிக் மற்றும் ஒலிக் அமிலங்கள்.</v>
      </c>
      <c r="AU166" s="4" t="s">
        <v>2063</v>
      </c>
      <c r="AV166" s="3"/>
      <c r="AW166" s="3" t="str">
        <f ca="1">IFERROR(__xludf.DUMMYFUNCTION("GOOGLETRANSLATE(AX166,""en"",""ta"")"),"i) பழத்தில் இருந்து வரும் சளி கருப்பை மற்றும் சிறுநீர்க்குழாய் நோய்களுக்கு பயனுள்ளதாக இருக்கும். 
ii) தேங்காய் பாலில் உள்ள பட்டை சாறு கடுமையான வயிற்று வலியை நீக்குகிறது.")</f>
        <v>i) பழத்தில் இருந்து வரும் சளி கருப்பை மற்றும் சிறுநீர்க்குழாய் நோய்களுக்கு பயனுள்ளதாக இருக்கும். 
ii) தேங்காய் பாலில் உள்ள பட்டை சாறு கடுமையான வயிற்று வலியை நீக்குகிறது.</v>
      </c>
      <c r="AX166" s="4" t="s">
        <v>2552</v>
      </c>
      <c r="AY166" s="3"/>
      <c r="AZ166" s="3"/>
      <c r="BA166" s="3"/>
      <c r="BB166" s="3"/>
      <c r="BC166" s="3"/>
      <c r="BD166" s="3"/>
      <c r="BE166" s="3"/>
      <c r="BF166" s="3"/>
    </row>
    <row r="167" spans="1:58" ht="224" x14ac:dyDescent="0.15">
      <c r="A167" s="3">
        <v>166</v>
      </c>
      <c r="B167" s="3" t="str">
        <f ca="1">IFERROR(__xludf.DUMMYFUNCTION("GOOGLETRANSLATE(C167,""en"",""ta"")"),"கொரியாண்ட்ரம் சாடிவம்")</f>
        <v>கொரியாண்ட்ரம் சாடிவம்</v>
      </c>
      <c r="C167" s="4" t="s">
        <v>2065</v>
      </c>
      <c r="D167" s="3" t="str">
        <f ca="1">IFERROR(__xludf.DUMMYFUNCTION("GOOGLETRANSLATE(E167,""en"",""ta"")"),"தன்யகா")</f>
        <v>தன்யகா</v>
      </c>
      <c r="E167" s="4" t="s">
        <v>2066</v>
      </c>
      <c r="F167" s="3" t="str">
        <f ca="1">IFERROR(__xludf.DUMMYFUNCTION("GOOGLETRANSLATE(G167,""en"",""ta"")"),"கொத்தமல்லி")</f>
        <v>கொத்தமல்லி</v>
      </c>
      <c r="G167" s="4" t="s">
        <v>2067</v>
      </c>
      <c r="H167" s="3" t="str">
        <f ca="1">IFERROR(__xludf.DUMMYFUNCTION("GOOGLETRANSLATE(I167,""en"",""ta"")"),"கொத்தமல்லி")</f>
        <v>கொத்தமல்லி</v>
      </c>
      <c r="I167" s="4" t="s">
        <v>2068</v>
      </c>
      <c r="J167" s="3" t="str">
        <f ca="1">IFERROR(__xludf.DUMMYFUNCTION("GOOGLETRANSLATE(K167,""en"",""ta"")"),"கோதிமீரா")</f>
        <v>கோதிமீரா</v>
      </c>
      <c r="K167" s="4" t="s">
        <v>2069</v>
      </c>
      <c r="L167" s="3" t="str">
        <f ca="1">IFERROR(__xludf.DUMMYFUNCTION("GOOGLETRANSLATE(M167,""en"",""ta"")"),"கோட்டம் பாலர்")</f>
        <v>கோட்டம் பாலர்</v>
      </c>
      <c r="M167" s="4" t="s">
        <v>2070</v>
      </c>
      <c r="N167" s="3" t="str">
        <f ca="1">IFERROR(__xludf.DUMMYFUNCTION("GOOGLETRANSLATE(O167,""en"",""ta"")"),"தானியா")</f>
        <v>தானியா</v>
      </c>
      <c r="O167" s="4" t="s">
        <v>2071</v>
      </c>
      <c r="P167" s="3"/>
      <c r="Q167" s="3" t="str">
        <f ca="1">IFERROR(__xludf.DUMMYFUNCTION("GOOGLETRANSLATE(R167,""en"",""ta"")"),"பல கிளைகள் மற்றும் துணை கிளைகளைக் கொண்ட ஒரு சிறிய மூலிகை. புதிய இலைகள் ஓவல் வடிவத்தில் இருக்கும், ஆனால் பழைய இலைகள் பல சிறிய இதழ்களுடன் நீளமாக இருக்கும். மஞ்சரி ஒரு அம்பல். பூக்கள் சிறியதாகவும் வெள்ளையாகவும் இருக்கும். பழங்கள் வட்டமாகவும் மெரிகார்ப்ஸாகப் "&amp;"பிரிக்கப்படுகின்றன.")</f>
        <v>பல கிளைகள் மற்றும் துணை கிளைகளைக் கொண்ட ஒரு சிறிய மூலிகை. புதிய இலைகள் ஓவல் வடிவத்தில் இருக்கும், ஆனால் பழைய இலைகள் பல சிறிய இதழ்களுடன் நீளமாக இருக்கும். மஞ்சரி ஒரு அம்பல். பூக்கள் சிறியதாகவும் வெள்ளையாகவும் இருக்கும். பழங்கள் வட்டமாகவும் மெரிகார்ப்ஸாகப் பிரிக்கப்படுகின்றன.</v>
      </c>
      <c r="R167" s="4" t="s">
        <v>2072</v>
      </c>
      <c r="S167" s="3" t="str">
        <f ca="1">IFERROR(__xludf.DUMMYFUNCTION("GOOGLETRANSLATE(T167,""en"",""ta"")"),"#VALUE!")</f>
        <v>#VALUE!</v>
      </c>
      <c r="T167" s="3"/>
      <c r="U167" s="3" t="str">
        <f ca="1">IFERROR(__xludf.DUMMYFUNCTION("GOOGLETRANSLATE(V167,""en"",""ta"")"),"#VALUE!")</f>
        <v>#VALUE!</v>
      </c>
      <c r="V167" s="3"/>
      <c r="W167" s="3" t="str">
        <f ca="1">IFERROR(__xludf.DUMMYFUNCTION("GOOGLETRANSLATE(X167,""en"",""ta"")"),"#VALUE!")</f>
        <v>#VALUE!</v>
      </c>
      <c r="X167" s="3"/>
      <c r="Y167" s="3" t="str">
        <f ca="1">IFERROR(__xludf.DUMMYFUNCTION("GOOGLETRANSLATE(Z167,""en"",""ta"")"),"#VALUE!")</f>
        <v>#VALUE!</v>
      </c>
      <c r="Z167" s="3"/>
      <c r="AA167" s="3" t="str">
        <f ca="1">IFERROR(__xludf.DUMMYFUNCTION("GOOGLETRANSLATE(AB167,""en"",""ta"")"),"#VALUE!")</f>
        <v>#VALUE!</v>
      </c>
      <c r="AB167" s="3"/>
      <c r="AC167" s="3" t="str">
        <f ca="1">IFERROR(__xludf.DUMMYFUNCTION("GOOGLETRANSLATE(AD167,""en"",""ta"")"),"#VALUE!")</f>
        <v>#VALUE!</v>
      </c>
      <c r="AD167" s="3"/>
      <c r="AE167" s="3" t="str">
        <f ca="1">IFERROR(__xludf.DUMMYFUNCTION("GOOGLETRANSLATE(AF167,""en"",""ta"")"),"#VALUE!")</f>
        <v>#VALUE!</v>
      </c>
      <c r="AF167" s="3"/>
      <c r="AG167" s="3" t="str">
        <f ca="1">IFERROR(__xludf.DUMMYFUNCTION("GOOGLETRANSLATE(AH167,""en"",""ta"")"),"#VALUE!")</f>
        <v>#VALUE!</v>
      </c>
      <c r="AH167" s="3"/>
      <c r="AI167" s="3" t="str">
        <f ca="1">IFERROR(__xludf.DUMMYFUNCTION("GOOGLETRANSLATE(AJ167,""en"",""ta"")"),"#VALUE!")</f>
        <v>#VALUE!</v>
      </c>
      <c r="AJ167" s="3"/>
      <c r="AK167" s="3" t="str">
        <f ca="1">IFERROR(__xludf.DUMMYFUNCTION("GOOGLETRANSLATE(AL167,""en"",""ta"")"),"வயிற்று வலி, வாத நோய், நரம்புத் தளர்ச்சி")</f>
        <v>வயிற்று வலி, வாத நோய், நரம்புத் தளர்ச்சி</v>
      </c>
      <c r="AL167" s="4" t="s">
        <v>2073</v>
      </c>
      <c r="AM167" s="3" t="str">
        <f ca="1">IFERROR(__xludf.DUMMYFUNCTION("GOOGLETRANSLATE(AN167,""en"",""ta"")"),"தொண்டை புண், வாய்வு, அஜீரணம், வாந்தி, நரம்புத் தளர்ச்சி, நாள்பட்ட கண்சவ்வழற்சி, விந்தணு, வெள்ளைப்படுதல் மற்றும் செபலால்ஜியா.")</f>
        <v>தொண்டை புண், வாய்வு, அஜீரணம், வாந்தி, நரம்புத் தளர்ச்சி, நாள்பட்ட கண்சவ்வழற்சி, விந்தணு, வெள்ளைப்படுதல் மற்றும் செபலால்ஜியா.</v>
      </c>
      <c r="AN167" s="4" t="s">
        <v>2074</v>
      </c>
      <c r="AO167" s="3" t="str">
        <f ca="1">IFERROR(__xludf.DUMMYFUNCTION("GOOGLETRANSLATE(AP167,""en"",""ta"")"),"#VALUE!")</f>
        <v>#VALUE!</v>
      </c>
      <c r="AP167" s="3"/>
      <c r="AQ167" s="3"/>
      <c r="AR167" s="3" t="str">
        <f ca="1">IFERROR(__xludf.DUMMYFUNCTION("GOOGLETRANSLATE(AS167,""en"",""ta"")"),"குளிர்விப்பான், சிறுநீரிறக்கி, மலமிளக்கி மற்றும் செரிமானப் பொருள்")</f>
        <v>குளிர்விப்பான், சிறுநீரிறக்கி, மலமிளக்கி மற்றும் செரிமானப் பொருள்</v>
      </c>
      <c r="AS167" s="4" t="s">
        <v>2075</v>
      </c>
      <c r="AT167" s="3" t="str">
        <f ca="1">IFERROR(__xludf.DUMMYFUNCTION("GOOGLETRANSLATE(AU167,""en"",""ta"")"),"கொரியாண்ட்ரோன் A&amp;B, கொரியாண்ட்ரின், கொரியாண்ட்ரோல், 1-பினீன், அம்பெல்லிஃபெரோன், பி-காரியோபிலினின், ஸ்கோபோலெட்டின், லிமோனின், பெல்லாண்ட்ரீன், குளோரோஜெனிக் அமிலம் மற்றும் பி-சிட்டோஸ்டெரால்")</f>
        <v>கொரியாண்ட்ரோன் A&amp;B, கொரியாண்ட்ரின், கொரியாண்ட்ரோல், 1-பினீன், அம்பெல்லிஃபெரோன், பி-காரியோபிலினின், ஸ்கோபோலெட்டின், லிமோனின், பெல்லாண்ட்ரீன், குளோரோஜெனிக் அமிலம் மற்றும் பி-சிட்டோஸ்டெரால்</v>
      </c>
      <c r="AU167" s="4" t="s">
        <v>2076</v>
      </c>
      <c r="AV167" s="3"/>
      <c r="AW167" s="3" t="str">
        <f ca="1">IFERROR(__xludf.DUMMYFUNCTION("GOOGLETRANSLATE(AX167,""en"",""ta"")"),"i) இரத்தப்போக்கு, அஜீரணம் மற்றும் வாய்வு ஆகியவற்றில் பால் மற்றும் சர்க்கரையுடன் விதைகளின் வலுவான கஷாயம் கொடுக்கப்படுகிறது.
ii) புதிய தாவரத்தின் சாறு எரித்மாவுக்கு ஒரு மருந்தாகப் பயன்படுத்தப்படுகிறது.")</f>
        <v>i) இரத்தப்போக்கு, அஜீரணம் மற்றும் வாய்வு ஆகியவற்றில் பால் மற்றும் சர்க்கரையுடன் விதைகளின் வலுவான கஷாயம் கொடுக்கப்படுகிறது.
ii) புதிய தாவரத்தின் சாறு எரித்மாவுக்கு ஒரு மருந்தாகப் பயன்படுத்தப்படுகிறது.</v>
      </c>
      <c r="AX167" s="4" t="s">
        <v>2553</v>
      </c>
      <c r="AY167" s="3"/>
      <c r="AZ167" s="3"/>
      <c r="BA167" s="3"/>
      <c r="BB167" s="3"/>
      <c r="BC167" s="3"/>
      <c r="BD167" s="3"/>
      <c r="BE167" s="3"/>
      <c r="BF167" s="3"/>
    </row>
    <row r="168" spans="1:58" ht="56" x14ac:dyDescent="0.15">
      <c r="A168" s="3">
        <v>167</v>
      </c>
      <c r="B168" s="3" t="str">
        <f ca="1">IFERROR(__xludf.DUMMYFUNCTION("GOOGLETRANSLATE(C168,""en"",""ta"")"),"கோஸ்டஸ் ஸ்பெசியோசஸ்")</f>
        <v>கோஸ்டஸ் ஸ்பெசியோசஸ்</v>
      </c>
      <c r="C168" s="4" t="s">
        <v>2078</v>
      </c>
      <c r="D168" s="3" t="str">
        <f ca="1">IFERROR(__xludf.DUMMYFUNCTION("GOOGLETRANSLATE(E168,""en"",""ta"")"),"கெமுகா")</f>
        <v>கெமுகா</v>
      </c>
      <c r="E168" s="4" t="s">
        <v>2079</v>
      </c>
      <c r="F168" s="3" t="str">
        <f ca="1">IFERROR(__xludf.DUMMYFUNCTION("GOOGLETRANSLATE(G168,""en"",""ta"")"),"கோஷ்டம்")</f>
        <v>கோஷ்டம்</v>
      </c>
      <c r="G168" s="4" t="s">
        <v>2080</v>
      </c>
      <c r="H168" s="3" t="str">
        <f ca="1">IFERROR(__xludf.DUMMYFUNCTION("GOOGLETRANSLATE(I168,""en"",""ta"")"),"கோஸ்டஸ் ரூட்")</f>
        <v>கோஸ்டஸ் ரூட்</v>
      </c>
      <c r="I168" s="4" t="s">
        <v>2081</v>
      </c>
      <c r="J168" s="3" t="str">
        <f ca="1">IFERROR(__xludf.DUMMYFUNCTION("GOOGLETRANSLATE(K168,""en"",""ta"")"),"செங்கல்வா கோஸ்தா")</f>
        <v>செங்கல்வா கோஸ்தா</v>
      </c>
      <c r="K168" s="4" t="s">
        <v>2082</v>
      </c>
      <c r="L168" s="3" t="str">
        <f ca="1">IFERROR(__xludf.DUMMYFUNCTION("GOOGLETRANSLATE(M168,""en"",""ta"")"),"சன்னா கூவா")</f>
        <v>சன்னா கூவா</v>
      </c>
      <c r="M168" s="4" t="s">
        <v>2083</v>
      </c>
      <c r="N168" s="3" t="str">
        <f ca="1">IFERROR(__xludf.DUMMYFUNCTION("GOOGLETRANSLATE(O168,""en"",""ta"")"),"கெனா")</f>
        <v>கெனா</v>
      </c>
      <c r="O168" s="4" t="s">
        <v>2084</v>
      </c>
      <c r="P168" s="3"/>
      <c r="Q168" s="3" t="str">
        <f ca="1">IFERROR(__xludf.DUMMYFUNCTION("GOOGLETRANSLATE(R168,""en"",""ta"")"),"கிடைமட்ட வேர் தண்டுகளுடன் கூடிய நிமிர்ந்த சதைப்பற்றுள்ள, கிழங்கு போன்ற மூலிகை. தண்டு சுழல் முறையில் முறுக்கப்பட்டதால், இலைகள் சுழல் முறையில் அமைக்கப்பட்டிருக்கும். இலைகள் எளிமையானவை, நீள்வட்ட வடிவானது, ஈட்டி வடிவானது, கூரிய முனை, மேலே உரோமங்களற்றது மற்றும"&amp;"் கீழே பட்டுப் போன்ற உரோமங்களுடையது. பூக்கள் அடர்த்தியான கூர்முனைகளில் வெள்ளை நிறத்தில் இருக்கும். பழங்கள் கோள வடிவமானது, முட்டை வடிவானது, முக்கோண வடிவமானது, சிவப்பு நிறத்தில் இருந்து பிரியும். விதைகள் முட்டை வடிவானது, வெள்ளை ஏரிலுடன் கருப்பு நிறத்தில் இர"&amp;"ுக்கும்.")</f>
        <v>கிடைமட்ட வேர் தண்டுகளுடன் கூடிய நிமிர்ந்த சதைப்பற்றுள்ள, கிழங்கு போன்ற மூலிகை. தண்டு சுழல் முறையில் முறுக்கப்பட்டதால், இலைகள் சுழல் முறையில் அமைக்கப்பட்டிருக்கும். இலைகள் எளிமையானவை, நீள்வட்ட வடிவானது, ஈட்டி வடிவானது, கூரிய முனை, மேலே உரோமங்களற்றது மற்றும் கீழே பட்டுப் போன்ற உரோமங்களுடையது. பூக்கள் அடர்த்தியான கூர்முனைகளில் வெள்ளை நிறத்தில் இருக்கும். பழங்கள் கோள வடிவமானது, முட்டை வடிவானது, முக்கோண வடிவமானது, சிவப்பு நிறத்தில் இருந்து பிரியும். விதைகள் முட்டை வடிவானது, வெள்ளை ஏரிலுடன் கருப்பு நிறத்தில் இருக்கும்.</v>
      </c>
      <c r="R168" s="4" t="s">
        <v>2085</v>
      </c>
      <c r="S168" s="3" t="str">
        <f ca="1">IFERROR(__xludf.DUMMYFUNCTION("GOOGLETRANSLATE(T168,""en"",""ta"")"),"#VALUE!")</f>
        <v>#VALUE!</v>
      </c>
      <c r="T168" s="3"/>
      <c r="U168" s="3" t="str">
        <f ca="1">IFERROR(__xludf.DUMMYFUNCTION("GOOGLETRANSLATE(V168,""en"",""ta"")"),"#VALUE!")</f>
        <v>#VALUE!</v>
      </c>
      <c r="V168" s="3"/>
      <c r="W168" s="3" t="str">
        <f ca="1">IFERROR(__xludf.DUMMYFUNCTION("GOOGLETRANSLATE(X168,""en"",""ta"")"),"#VALUE!")</f>
        <v>#VALUE!</v>
      </c>
      <c r="X168" s="3"/>
      <c r="Y168" s="3" t="str">
        <f ca="1">IFERROR(__xludf.DUMMYFUNCTION("GOOGLETRANSLATE(Z168,""en"",""ta"")"),"#VALUE!")</f>
        <v>#VALUE!</v>
      </c>
      <c r="Z168" s="3"/>
      <c r="AA168" s="3" t="str">
        <f ca="1">IFERROR(__xludf.DUMMYFUNCTION("GOOGLETRANSLATE(AB168,""en"",""ta"")"),"#VALUE!")</f>
        <v>#VALUE!</v>
      </c>
      <c r="AB168" s="3"/>
      <c r="AC168" s="3" t="str">
        <f ca="1">IFERROR(__xludf.DUMMYFUNCTION("GOOGLETRANSLATE(AD168,""en"",""ta"")"),"#VALUE!")</f>
        <v>#VALUE!</v>
      </c>
      <c r="AD168" s="3"/>
      <c r="AE168" s="3" t="str">
        <f ca="1">IFERROR(__xludf.DUMMYFUNCTION("GOOGLETRANSLATE(AF168,""en"",""ta"")"),"#VALUE!")</f>
        <v>#VALUE!</v>
      </c>
      <c r="AF168" s="3"/>
      <c r="AG168" s="3" t="str">
        <f ca="1">IFERROR(__xludf.DUMMYFUNCTION("GOOGLETRANSLATE(AH168,""en"",""ta"")"),"#VALUE!")</f>
        <v>#VALUE!</v>
      </c>
      <c r="AH168" s="3"/>
      <c r="AI168" s="3" t="str">
        <f ca="1">IFERROR(__xludf.DUMMYFUNCTION("GOOGLETRANSLATE(AJ168,""en"",""ta"")"),"#VALUE!")</f>
        <v>#VALUE!</v>
      </c>
      <c r="AJ168" s="3"/>
      <c r="AK168" s="3" t="str">
        <f ca="1">IFERROR(__xludf.DUMMYFUNCTION("GOOGLETRANSLATE(AL168,""en"",""ta"")"),"#VALUE!")</f>
        <v>#VALUE!</v>
      </c>
      <c r="AL168" s="3"/>
      <c r="AM168" s="3" t="str">
        <f ca="1">IFERROR(__xludf.DUMMYFUNCTION("GOOGLETRANSLATE(AN168,""en"",""ta"")"),"#VALUE!")</f>
        <v>#VALUE!</v>
      </c>
      <c r="AN168" s="3"/>
      <c r="AO168" s="3" t="str">
        <f ca="1">IFERROR(__xludf.DUMMYFUNCTION("GOOGLETRANSLATE(AP168,""en"",""ta"")"),"#VALUE!")</f>
        <v>#VALUE!</v>
      </c>
      <c r="AP168" s="3"/>
      <c r="AQ168" s="3"/>
      <c r="AR168" s="3" t="str">
        <f ca="1">IFERROR(__xludf.DUMMYFUNCTION("GOOGLETRANSLATE(AS168,""en"",""ta"")"),"புழுக்களைப் போக்க உதவும், பாலுணர்வைத் தூண்டும், துவர்ப்பு மருந்தாகவும், சுத்தப்படுத்தியாகவும், செரிமானப் பொருளாகவும் பயன்படுகிறது.")</f>
        <v>புழுக்களைப் போக்க உதவும், பாலுணர்வைத் தூண்டும், துவர்ப்பு மருந்தாகவும், சுத்தப்படுத்தியாகவும், செரிமானப் பொருளாகவும் பயன்படுகிறது.</v>
      </c>
      <c r="AS168" s="4" t="s">
        <v>2086</v>
      </c>
      <c r="AT168" s="3" t="str">
        <f ca="1">IFERROR(__xludf.DUMMYFUNCTION("GOOGLETRANSLATE(AU168,""en"",""ta"")"),"a-அமிரின், லூபியோல் பால்மிடேட், டைகோஜெனின், டியோஸ்ஜெனின், சபோனின்கள், பி-சிட்டோஸ்டெரால் &amp; குளுக்கோசைடு")</f>
        <v>a-அமிரின், லூபியோல் பால்மிடேட், டைகோஜெனின், டியோஸ்ஜெனின், சபோனின்கள், பி-சிட்டோஸ்டெரால் &amp; குளுக்கோசைடு</v>
      </c>
      <c r="AU168" s="4" t="s">
        <v>2087</v>
      </c>
      <c r="AV168" s="3"/>
      <c r="AW168" s="3" t="str">
        <f ca="1">IFERROR(__xludf.DUMMYFUNCTION("GOOGLETRANSLATE(AX168,""en"",""ta"")"),"i) ii) வேர் சாறு ஒரு வலுப்படுத்தும் டானிக் மற்றும் இது ஒரு ஆன்டெல்மிண்டிக் மருந்தாகவும் பயன்படுத்தப்படுகிறது. 
வேர் தண்டுகளின் பகுதிகள் மென்மையான தசை தளர்த்தியாகவும், ஆண்டிஸ்பாஸ்மோடிக் மற்றும் கார்டியோடோனிக் ஆகவும் கொடுக்கப்படுகின்றன.")</f>
        <v>i) ii) வேர் சாறு ஒரு வலுப்படுத்தும் டானிக் மற்றும் இது ஒரு ஆன்டெல்மிண்டிக் மருந்தாகவும் பயன்படுத்தப்படுகிறது. 
வேர் தண்டுகளின் பகுதிகள் மென்மையான தசை தளர்த்தியாகவும், ஆண்டிஸ்பாஸ்மோடிக் மற்றும் கார்டியோடோனிக் ஆகவும் கொடுக்கப்படுகின்றன.</v>
      </c>
      <c r="AX168" s="4" t="s">
        <v>2554</v>
      </c>
      <c r="AY168" s="3"/>
      <c r="AZ168" s="3"/>
      <c r="BA168" s="3"/>
      <c r="BB168" s="3"/>
      <c r="BC168" s="3"/>
      <c r="BD168" s="3"/>
      <c r="BE168" s="3"/>
      <c r="BF168" s="3"/>
    </row>
    <row r="169" spans="1:58" ht="56" x14ac:dyDescent="0.15">
      <c r="A169" s="3">
        <v>168</v>
      </c>
      <c r="B169" s="3" t="str">
        <f ca="1">IFERROR(__xludf.DUMMYFUNCTION("GOOGLETRANSLATE(C169,""en"",""ta"")"),"க்ரட்டேவா மேக்னா")</f>
        <v>க்ரட்டேவா மேக்னா</v>
      </c>
      <c r="C169" s="4" t="s">
        <v>2089</v>
      </c>
      <c r="D169" s="3" t="str">
        <f ca="1">IFERROR(__xludf.DUMMYFUNCTION("GOOGLETRANSLATE(E169,""en"",""ta"")"),"வருணன்")</f>
        <v>வருணன்</v>
      </c>
      <c r="E169" s="4" t="s">
        <v>2090</v>
      </c>
      <c r="F169" s="3" t="str">
        <f ca="1">IFERROR(__xludf.DUMMYFUNCTION("GOOGLETRANSLATE(G169,""en"",""ta"")"),"மாவிலிங்கம்")</f>
        <v>மாவிலிங்கம்</v>
      </c>
      <c r="G169" s="4" t="s">
        <v>2091</v>
      </c>
      <c r="H169" s="3" t="str">
        <f ca="1">IFERROR(__xludf.DUMMYFUNCTION("GOOGLETRANSLATE(I169,""en"",""ta"")"),"3 இலைகள் கொண்ட கேப்பர்")</f>
        <v>3 இலைகள் கொண்ட கேப்பர்</v>
      </c>
      <c r="I169" s="4" t="s">
        <v>2092</v>
      </c>
      <c r="J169" s="3" t="str">
        <f ca="1">IFERROR(__xludf.DUMMYFUNCTION("GOOGLETRANSLATE(K169,""en"",""ta"")"),"உஸ்கியா")</f>
        <v>உஸ்கியா</v>
      </c>
      <c r="K169" s="4" t="s">
        <v>2093</v>
      </c>
      <c r="L169" s="3" t="str">
        <f ca="1">IFERROR(__xludf.DUMMYFUNCTION("GOOGLETRANSLATE(M169,""en"",""ta"")"),"நிர்வாலா")</f>
        <v>நிர்வாலா</v>
      </c>
      <c r="M169" s="4" t="s">
        <v>2094</v>
      </c>
      <c r="N169" s="3" t="str">
        <f ca="1">IFERROR(__xludf.DUMMYFUNCTION("GOOGLETRANSLATE(O169,""en"",""ta"")"),"டாபியா")</f>
        <v>டாபியா</v>
      </c>
      <c r="O169" s="4" t="s">
        <v>2095</v>
      </c>
      <c r="P169" s="3"/>
      <c r="Q169" s="3" t="str">
        <f ca="1">IFERROR(__xludf.DUMMYFUNCTION("GOOGLETRANSLATE(R169,""en"",""ta"")"),"ஒரு சிறிய மரம், இலைகள் இலக்க வடிவிலான மூன்று இலைகளைக் கொண்டவை. பூக்கள் பெரியவை, பலதார மணம் கொண்டவை மற்றும் முனைய கோரிம்ப்களில் காணப்படும், இழைகள் ஊதா நிறத்தில் இருக்கும். பழங்கள் கோள வடிவ பெர்ரி.")</f>
        <v>ஒரு சிறிய மரம், இலைகள் இலக்க வடிவிலான மூன்று இலைகளைக் கொண்டவை. பூக்கள் பெரியவை, பலதார மணம் கொண்டவை மற்றும் முனைய கோரிம்ப்களில் காணப்படும், இழைகள் ஊதா நிறத்தில் இருக்கும். பழங்கள் கோள வடிவ பெர்ரி.</v>
      </c>
      <c r="R169" s="4" t="s">
        <v>2096</v>
      </c>
      <c r="S169" s="3" t="str">
        <f ca="1">IFERROR(__xludf.DUMMYFUNCTION("GOOGLETRANSLATE(T169,""en"",""ta"")"),"சிறுநீர் கால்குலி, சிறுநீர் கழிக்கும் போது ஏற்படும் சிறுநீர் கழித்தல், சிறுநீர்ப்பையில் வலி.")</f>
        <v>சிறுநீர் கால்குலி, சிறுநீர் கழிக்கும் போது ஏற்படும் சிறுநீர் கழித்தல், சிறுநீர்ப்பையில் வலி.</v>
      </c>
      <c r="T169" s="4" t="s">
        <v>2097</v>
      </c>
      <c r="U169" s="3" t="str">
        <f ca="1">IFERROR(__xludf.DUMMYFUNCTION("GOOGLETRANSLATE(V169,""en"",""ta"")"),"#VALUE!")</f>
        <v>#VALUE!</v>
      </c>
      <c r="V169" s="3"/>
      <c r="W169" s="3" t="str">
        <f ca="1">IFERROR(__xludf.DUMMYFUNCTION("GOOGLETRANSLATE(X169,""en"",""ta"")"),"வாத நோய், வீக்கம், பாதத்தில் எரியும் உணர்வு")</f>
        <v>வாத நோய், வீக்கம், பாதத்தில் எரியும் உணர்வு</v>
      </c>
      <c r="X169" s="4" t="s">
        <v>2098</v>
      </c>
      <c r="Y169" s="3" t="str">
        <f ca="1">IFERROR(__xludf.DUMMYFUNCTION("GOOGLETRANSLATE(Z169,""en"",""ta"")"),"#VALUE!")</f>
        <v>#VALUE!</v>
      </c>
      <c r="Z169" s="3"/>
      <c r="AA169" s="3" t="str">
        <f ca="1">IFERROR(__xludf.DUMMYFUNCTION("GOOGLETRANSLATE(AB169,""en"",""ta"")"),"நிணநீர் அடினோபதி, சீழ்ப்பிடிப்பு, சிறுநீர்ப்பை விரிவடைதல், வீக்கம், கல்லீரல் புகார்கள்.")</f>
        <v>நிணநீர் அடினோபதி, சீழ்ப்பிடிப்பு, சிறுநீர்ப்பை விரிவடைதல், வீக்கம், கல்லீரல் புகார்கள்.</v>
      </c>
      <c r="AB169" s="4" t="s">
        <v>2099</v>
      </c>
      <c r="AC169" s="3" t="str">
        <f ca="1">IFERROR(__xludf.DUMMYFUNCTION("GOOGLETRANSLATE(AD169,""en"",""ta"")"),"#VALUE!")</f>
        <v>#VALUE!</v>
      </c>
      <c r="AD169" s="3"/>
      <c r="AE169" s="3" t="str">
        <f ca="1">IFERROR(__xludf.DUMMYFUNCTION("GOOGLETRANSLATE(AF169,""en"",""ta"")"),"#VALUE!")</f>
        <v>#VALUE!</v>
      </c>
      <c r="AF169" s="3"/>
      <c r="AG169" s="3" t="str">
        <f ca="1">IFERROR(__xludf.DUMMYFUNCTION("GOOGLETRANSLATE(AH169,""en"",""ta"")"),"#VALUE!")</f>
        <v>#VALUE!</v>
      </c>
      <c r="AH169" s="3"/>
      <c r="AI169" s="3" t="str">
        <f ca="1">IFERROR(__xludf.DUMMYFUNCTION("GOOGLETRANSLATE(AJ169,""en"",""ta"")"),"#VALUE!")</f>
        <v>#VALUE!</v>
      </c>
      <c r="AJ169" s="3"/>
      <c r="AK169" s="3" t="str">
        <f ca="1">IFERROR(__xludf.DUMMYFUNCTION("GOOGLETRANSLATE(AL169,""en"",""ta"")"),"#VALUE!")</f>
        <v>#VALUE!</v>
      </c>
      <c r="AL169" s="3"/>
      <c r="AM169" s="3" t="str">
        <f ca="1">IFERROR(__xludf.DUMMYFUNCTION("GOOGLETRANSLATE(AN169,""en"",""ta"")"),"#VALUE!")</f>
        <v>#VALUE!</v>
      </c>
      <c r="AN169" s="3"/>
      <c r="AO169" s="3" t="str">
        <f ca="1">IFERROR(__xludf.DUMMYFUNCTION("GOOGLETRANSLATE(AP169,""en"",""ta"")"),"#VALUE!")</f>
        <v>#VALUE!</v>
      </c>
      <c r="AP169" s="3"/>
      <c r="AQ169" s="3"/>
      <c r="AR169" s="3" t="str">
        <f ca="1">IFERROR(__xludf.DUMMYFUNCTION("GOOGLETRANSLATE(AS169,""en"",""ta"")"),"லித்தோன்ட்ரிப்டிக், மலமிளக்கி, எம்மெனாகோக், ரூப்ஃபேசியன்ட் மற்றும் ஏபிரியண்ட்.")</f>
        <v>லித்தோன்ட்ரிப்டிக், மலமிளக்கி, எம்மெனாகோக், ரூப்ஃபேசியன்ட் மற்றும் ஏபிரியண்ட்.</v>
      </c>
      <c r="AS169" s="4" t="s">
        <v>2100</v>
      </c>
      <c r="AT169" s="3" t="str">
        <f ca="1">IFERROR(__xludf.DUMMYFUNCTION("GOOGLETRANSLATE(AU169,""en"",""ta"")"),"பி-சிட்டோஸ்டெரால், குளுக்கோகாப்பரின், செரில் ஆல்கஹால், செட்டில் ஆல்கஹால், ஆரிக், ஸ்டீரிக், ஒலிக் &amp; லினோலெனிக் அமிலங்கள், ஃப்ரீடலின் மற்றும் ட்ரைகோன்டேன்.")</f>
        <v>பி-சிட்டோஸ்டெரால், குளுக்கோகாப்பரின், செரில் ஆல்கஹால், செட்டில் ஆல்கஹால், ஆரிக், ஸ்டீரிக், ஒலிக் &amp; லினோலெனிக் அமிலங்கள், ஃப்ரீடலின் மற்றும் ட்ரைகோன்டேன்.</v>
      </c>
      <c r="AU169" s="4" t="s">
        <v>2101</v>
      </c>
      <c r="AV169" s="3"/>
      <c r="AW169" s="3" t="str">
        <f ca="1">IFERROR(__xludf.DUMMYFUNCTION("GOOGLETRANSLATE(AX169,""en"",""ta"")"),"i) பட்டை மற்றும் போயர்ஹேவியா செடியை கஷாயமாக தயாரித்து சிறுநீரக கற்கள் மற்றும் ஹைட்ரோசெல்லுக்கு உட்புறமாக கொடுக்கப்படுகிறது.
ii) சிறுநீர் கோளாறுகள் மற்றும் சிறுநீர்ப்பை கற்களுக்கு ஆந்தை பட்டை மிகவும் பயனுள்ளதாக இருக்கும்.")</f>
        <v>i) பட்டை மற்றும் போயர்ஹேவியா செடியை கஷாயமாக தயாரித்து சிறுநீரக கற்கள் மற்றும் ஹைட்ரோசெல்லுக்கு உட்புறமாக கொடுக்கப்படுகிறது.
ii) சிறுநீர் கோளாறுகள் மற்றும் சிறுநீர்ப்பை கற்களுக்கு ஆந்தை பட்டை மிகவும் பயனுள்ளதாக இருக்கும்.</v>
      </c>
      <c r="AX169" s="4" t="s">
        <v>2555</v>
      </c>
      <c r="AY169" s="3"/>
      <c r="AZ169" s="3"/>
      <c r="BA169" s="3"/>
      <c r="BB169" s="3"/>
      <c r="BC169" s="3"/>
      <c r="BD169" s="3"/>
      <c r="BE169" s="3"/>
      <c r="BF169" s="3"/>
    </row>
    <row r="170" spans="1:58" ht="28" x14ac:dyDescent="0.15">
      <c r="A170" s="3">
        <v>169</v>
      </c>
      <c r="B170" s="3" t="str">
        <f ca="1">IFERROR(__xludf.DUMMYFUNCTION("GOOGLETRANSLATE(C170,""en"",""ta"")"),"கிரினம் ஆசியாட்டிகம்")</f>
        <v>கிரினம் ஆசியாட்டிகம்</v>
      </c>
      <c r="C170" s="4" t="s">
        <v>2103</v>
      </c>
      <c r="D170" s="3" t="str">
        <f ca="1">IFERROR(__xludf.DUMMYFUNCTION("GOOGLETRANSLATE(E170,""en"",""ta"")"),"நாகதமணி")</f>
        <v>நாகதமணி</v>
      </c>
      <c r="E170" s="4" t="s">
        <v>2104</v>
      </c>
      <c r="F170" s="3" t="str">
        <f ca="1">IFERROR(__xludf.DUMMYFUNCTION("GOOGLETRANSLATE(G170,""en"",""ta"")"),"விஷமூங்கில்")</f>
        <v>விஷமூங்கில்</v>
      </c>
      <c r="G170" s="4" t="s">
        <v>2105</v>
      </c>
      <c r="H170" s="3" t="str">
        <f ca="1">IFERROR(__xludf.DUMMYFUNCTION("GOOGLETRANSLATE(I170,""en"",""ta"")"),"விஷ பல்ப்")</f>
        <v>விஷ பல்ப்</v>
      </c>
      <c r="I170" s="4" t="s">
        <v>2106</v>
      </c>
      <c r="J170" s="3" t="str">
        <f ca="1">IFERROR(__xludf.DUMMYFUNCTION("GOOGLETRANSLATE(K170,""en"",""ta"")"),"கேசரிசெட்டு")</f>
        <v>கேசரிசெட்டு</v>
      </c>
      <c r="K170" s="4" t="s">
        <v>2107</v>
      </c>
      <c r="L170" s="3" t="str">
        <f ca="1">IFERROR(__xludf.DUMMYFUNCTION("GOOGLETRANSLATE(M170,""en"",""ta"")"),"விஷமுலா")</f>
        <v>விஷமுலா</v>
      </c>
      <c r="M170" s="4" t="s">
        <v>2108</v>
      </c>
      <c r="N170" s="3" t="str">
        <f ca="1">IFERROR(__xludf.DUMMYFUNCTION("GOOGLETRANSLATE(O170,""en"",""ta"")"),"பிண்டர்")</f>
        <v>பிண்டர்</v>
      </c>
      <c r="O170" s="4" t="s">
        <v>2109</v>
      </c>
      <c r="P170" s="3"/>
      <c r="Q170" s="3" t="str">
        <f ca="1">IFERROR(__xludf.DUMMYFUNCTION("GOOGLETRANSLATE(R170,""en"",""ta"")"),"குமிழ் வடிவ மூலிகை, இலைகள் நேரியல் ஈட்டி வடிவானது, குறுகிய கூரிய முனை நீண்டது, தட்டையானது, உறை போன்ற இலை அடிப்பகுதியுடன் குறுகியது. பூக்கள் வெள்ளை நிற அம்பல்களில் இருக்கும். பழங்கள் சதைப்பற்றுள்ள கோள வடிவமானது, ஒழுங்கற்ற முறையில் வெடிக்கும் காப்ஸ்யூல், 1-"&amp;"2 விதைகள் கொண்டது.")</f>
        <v>குமிழ் வடிவ மூலிகை, இலைகள் நேரியல் ஈட்டி வடிவானது, குறுகிய கூரிய முனை நீண்டது, தட்டையானது, உறை போன்ற இலை அடிப்பகுதியுடன் குறுகியது. பூக்கள் வெள்ளை நிற அம்பல்களில் இருக்கும். பழங்கள் சதைப்பற்றுள்ள கோள வடிவமானது, ஒழுங்கற்ற முறையில் வெடிக்கும் காப்ஸ்யூல், 1-2 விதைகள் கொண்டது.</v>
      </c>
      <c r="R170" s="4" t="s">
        <v>2110</v>
      </c>
      <c r="S170" s="3" t="str">
        <f ca="1">IFERROR(__xludf.DUMMYFUNCTION("GOOGLETRANSLATE(T170,""en"",""ta"")"),"காயங்கள், வாத நோய்")</f>
        <v>காயங்கள், வாத நோய்</v>
      </c>
      <c r="T170" s="4" t="s">
        <v>2111</v>
      </c>
      <c r="U170" s="3" t="str">
        <f ca="1">IFERROR(__xludf.DUMMYFUNCTION("GOOGLETRANSLATE(V170,""en"",""ta"")"),"#VALUE!")</f>
        <v>#VALUE!</v>
      </c>
      <c r="V170" s="3"/>
      <c r="W170" s="3" t="str">
        <f ca="1">IFERROR(__xludf.DUMMYFUNCTION("GOOGLETRANSLATE(X170,""en"",""ta"")"),"தோல் நோய்கள், வீக்கம், சுளுக்கு, விட்லோ")</f>
        <v>தோல் நோய்கள், வீக்கம், சுளுக்கு, விட்லோ</v>
      </c>
      <c r="X170" s="4" t="s">
        <v>2112</v>
      </c>
      <c r="Y170" s="3" t="str">
        <f ca="1">IFERROR(__xludf.DUMMYFUNCTION("GOOGLETRANSLATE(Z170,""en"",""ta"")"),"#VALUE!")</f>
        <v>#VALUE!</v>
      </c>
      <c r="Z170" s="3"/>
      <c r="AA170" s="3" t="str">
        <f ca="1">IFERROR(__xludf.DUMMYFUNCTION("GOOGLETRANSLATE(AB170,""en"",""ta"")"),"#VALUE!")</f>
        <v>#VALUE!</v>
      </c>
      <c r="AB170" s="3"/>
      <c r="AC170" s="3" t="str">
        <f ca="1">IFERROR(__xludf.DUMMYFUNCTION("GOOGLETRANSLATE(AD170,""en"",""ta"")"),"#VALUE!")</f>
        <v>#VALUE!</v>
      </c>
      <c r="AD170" s="3"/>
      <c r="AE170" s="3" t="str">
        <f ca="1">IFERROR(__xludf.DUMMYFUNCTION("GOOGLETRANSLATE(AF170,""en"",""ta"")"),"#VALUE!")</f>
        <v>#VALUE!</v>
      </c>
      <c r="AF170" s="3"/>
      <c r="AG170" s="3" t="str">
        <f ca="1">IFERROR(__xludf.DUMMYFUNCTION("GOOGLETRANSLATE(AH170,""en"",""ta"")"),"#VALUE!")</f>
        <v>#VALUE!</v>
      </c>
      <c r="AH170" s="3"/>
      <c r="AI170" s="3" t="str">
        <f ca="1">IFERROR(__xludf.DUMMYFUNCTION("GOOGLETRANSLATE(AJ170,""en"",""ta"")"),"#VALUE!")</f>
        <v>#VALUE!</v>
      </c>
      <c r="AJ170" s="3"/>
      <c r="AK170" s="3" t="str">
        <f ca="1">IFERROR(__xludf.DUMMYFUNCTION("GOOGLETRANSLATE(AL170,""en"",""ta"")"),"#VALUE!")</f>
        <v>#VALUE!</v>
      </c>
      <c r="AL170" s="3"/>
      <c r="AM170" s="3" t="str">
        <f ca="1">IFERROR(__xludf.DUMMYFUNCTION("GOOGLETRANSLATE(AN170,""en"",""ta"")"),"#VALUE!")</f>
        <v>#VALUE!</v>
      </c>
      <c r="AN170" s="3"/>
      <c r="AO170" s="3" t="str">
        <f ca="1">IFERROR(__xludf.DUMMYFUNCTION("GOOGLETRANSLATE(AP170,""en"",""ta"")"),"#VALUE!")</f>
        <v>#VALUE!</v>
      </c>
      <c r="AP170" s="3"/>
      <c r="AQ170" s="3"/>
      <c r="AR170" s="3" t="str">
        <f ca="1">IFERROR(__xludf.DUMMYFUNCTION("GOOGLETRANSLATE(AS170,""en"",""ta"")"),"சிறுநீர் பெருக்கி, எம்மெனாகோக், சளி நீக்கி, பாலுணர்வூக்கி மற்றும் காய்ச்சலடக்கும் மருந்து.")</f>
        <v>சிறுநீர் பெருக்கி, எம்மெனாகோக், சளி நீக்கி, பாலுணர்வூக்கி மற்றும் காய்ச்சலடக்கும் மருந்து.</v>
      </c>
      <c r="AS170" s="4" t="s">
        <v>2113</v>
      </c>
      <c r="AT170" s="3" t="str">
        <f ca="1">IFERROR(__xludf.DUMMYFUNCTION("GOOGLETRANSLATE(AU170,""en"",""ta"")"),"ஐசோக்ராக்ஸோடைன் மற்றும் லைகோரின்")</f>
        <v>ஐசோக்ராக்ஸோடைன் மற்றும் லைகோரின்</v>
      </c>
      <c r="AU170" s="4" t="s">
        <v>2114</v>
      </c>
      <c r="AV170" s="3"/>
      <c r="AW170" s="3" t="str">
        <f ca="1">IFERROR(__xludf.DUMMYFUNCTION("GOOGLETRANSLATE(AX170,""en"",""ta"")"),"i) ii) வறுத்த குமிழ் வாத நோய்க்கு ஒரு ரூபிஃபேசியன்டாகப் பயன்படுத்தப்படுகிறது.
புதிதாக வெட்டப்பட்ட இலைகள் புண்கள் மற்றும் சிரங்குகளுக்குப் பயன்படுத்தப்படுகின்றன.")</f>
        <v>i) ii) வறுத்த குமிழ் வாத நோய்க்கு ஒரு ரூபிஃபேசியன்டாகப் பயன்படுத்தப்படுகிறது.
புதிதாக வெட்டப்பட்ட இலைகள் புண்கள் மற்றும் சிரங்குகளுக்குப் பயன்படுத்தப்படுகின்றன.</v>
      </c>
      <c r="AX170" s="4" t="s">
        <v>2556</v>
      </c>
      <c r="AY170" s="3"/>
      <c r="AZ170" s="3"/>
      <c r="BA170" s="3"/>
      <c r="BB170" s="3"/>
      <c r="BC170" s="3"/>
      <c r="BD170" s="3"/>
      <c r="BE170" s="3"/>
      <c r="BF170" s="3"/>
    </row>
    <row r="171" spans="1:58" ht="70" x14ac:dyDescent="0.15">
      <c r="A171" s="3">
        <v>170</v>
      </c>
      <c r="B171" s="3" t="str">
        <f ca="1">IFERROR(__xludf.DUMMYFUNCTION("GOOGLETRANSLATE(C171,""en"",""ta"")"),"குரோக்கஸ் சாடிவஸ்")</f>
        <v>குரோக்கஸ் சாடிவஸ்</v>
      </c>
      <c r="C171" s="4" t="s">
        <v>2116</v>
      </c>
      <c r="D171" s="3" t="str">
        <f ca="1">IFERROR(__xludf.DUMMYFUNCTION("GOOGLETRANSLATE(E171,""en"",""ta"")"),"கும்குமா")</f>
        <v>கும்குமா</v>
      </c>
      <c r="E171" s="4" t="s">
        <v>2117</v>
      </c>
      <c r="F171" s="3" t="str">
        <f ca="1">IFERROR(__xludf.DUMMYFUNCTION("GOOGLETRANSLATE(G171,""en"",""ta"")"),"குங்குமப் பூ")</f>
        <v>குங்குமப் பூ</v>
      </c>
      <c r="G171" s="4" t="s">
        <v>2118</v>
      </c>
      <c r="H171" s="3" t="str">
        <f ca="1">IFERROR(__xludf.DUMMYFUNCTION("GOOGLETRANSLATE(I171,""en"",""ta"")"),"குங்குமப்பூ")</f>
        <v>குங்குமப்பூ</v>
      </c>
      <c r="I171" s="4" t="s">
        <v>2119</v>
      </c>
      <c r="J171" s="3" t="str">
        <f ca="1">IFERROR(__xludf.DUMMYFUNCTION("GOOGLETRANSLATE(K171,""en"",""ta"")"),"குங்கும பூவா")</f>
        <v>குங்கும பூவா</v>
      </c>
      <c r="K171" s="4" t="s">
        <v>2120</v>
      </c>
      <c r="L171" s="3" t="str">
        <f ca="1">IFERROR(__xludf.DUMMYFUNCTION("GOOGLETRANSLATE(M171,""en"",""ta"")"),"குங்குமா பூ")</f>
        <v>குங்குமா பூ</v>
      </c>
      <c r="M171" s="4" t="s">
        <v>2121</v>
      </c>
      <c r="N171" s="3" t="str">
        <f ca="1">IFERROR(__xludf.DUMMYFUNCTION("GOOGLETRANSLATE(O171,""en"",""ta"")"),"கேசர்")</f>
        <v>கேசர்</v>
      </c>
      <c r="O171" s="4" t="s">
        <v>2122</v>
      </c>
      <c r="P171" s="3"/>
      <c r="Q171" s="3" t="str">
        <f ca="1">IFERROR(__xludf.DUMMYFUNCTION("GOOGLETRANSLATE(R171,""en"",""ta"")"),"ஒரு புதர் செடி, இலைகள் தண்டின் அடிப்பகுதியை நோக்கிக் காணப்படும், மேலும் அவை அடர்த்தியாக அமைக்கப்பட்டிருக்கும். மலர்கள் தனியாகவோ அல்லது கொத்தாக ஊதா நிறத்திலோ இருக்கும், ஒரு கைனோசியத்தில் 3 இழைகள் உள்ளன. விதைகள் வட்டமாகவும், சிவப்பு நிற சூலகத்துடனும் இருக்க"&amp;"ும்.")</f>
        <v>ஒரு புதர் செடி, இலைகள் தண்டின் அடிப்பகுதியை நோக்கிக் காணப்படும், மேலும் அவை அடர்த்தியாக அமைக்கப்பட்டிருக்கும். மலர்கள் தனியாகவோ அல்லது கொத்தாக ஊதா நிறத்திலோ இருக்கும், ஒரு கைனோசியத்தில் 3 இழைகள் உள்ளன. விதைகள் வட்டமாகவும், சிவப்பு நிற சூலகத்துடனும் இருக்கும்.</v>
      </c>
      <c r="R171" s="4" t="s">
        <v>2123</v>
      </c>
      <c r="S171" s="3" t="str">
        <f ca="1">IFERROR(__xludf.DUMMYFUNCTION("GOOGLETRANSLATE(T171,""en"",""ta"")"),"#VALUE!")</f>
        <v>#VALUE!</v>
      </c>
      <c r="T171" s="3"/>
      <c r="U171" s="3" t="str">
        <f ca="1">IFERROR(__xludf.DUMMYFUNCTION("GOOGLETRANSLATE(V171,""en"",""ta"")"),"#VALUE!")</f>
        <v>#VALUE!</v>
      </c>
      <c r="V171" s="3"/>
      <c r="W171" s="3" t="str">
        <f ca="1">IFERROR(__xludf.DUMMYFUNCTION("GOOGLETRANSLATE(X171,""en"",""ta"")"),"#VALUE!")</f>
        <v>#VALUE!</v>
      </c>
      <c r="X171" s="3"/>
      <c r="Y171" s="3" t="str">
        <f ca="1">IFERROR(__xludf.DUMMYFUNCTION("GOOGLETRANSLATE(Z171,""en"",""ta"")"),"#VALUE!")</f>
        <v>#VALUE!</v>
      </c>
      <c r="Z171" s="3"/>
      <c r="AA171" s="3" t="str">
        <f ca="1">IFERROR(__xludf.DUMMYFUNCTION("GOOGLETRANSLATE(AB171,""en"",""ta"")"),"#VALUE!")</f>
        <v>#VALUE!</v>
      </c>
      <c r="AB171" s="3"/>
      <c r="AC171" s="3" t="str">
        <f ca="1">IFERROR(__xludf.DUMMYFUNCTION("GOOGLETRANSLATE(AD171,""en"",""ta"")"),"#VALUE!")</f>
        <v>#VALUE!</v>
      </c>
      <c r="AD171" s="3"/>
      <c r="AE171" s="3" t="str">
        <f ca="1">IFERROR(__xludf.DUMMYFUNCTION("GOOGLETRANSLATE(AF171,""en"",""ta"")"),"#VALUE!")</f>
        <v>#VALUE!</v>
      </c>
      <c r="AF171" s="3"/>
      <c r="AG171" s="3" t="str">
        <f ca="1">IFERROR(__xludf.DUMMYFUNCTION("GOOGLETRANSLATE(AH171,""en"",""ta"")"),"#VALUE!")</f>
        <v>#VALUE!</v>
      </c>
      <c r="AH171" s="3"/>
      <c r="AI171" s="3" t="str">
        <f ca="1">IFERROR(__xludf.DUMMYFUNCTION("GOOGLETRANSLATE(AJ171,""en"",""ta"")"),"#VALUE!")</f>
        <v>#VALUE!</v>
      </c>
      <c r="AJ171" s="3"/>
      <c r="AK171" s="3" t="str">
        <f ca="1">IFERROR(__xludf.DUMMYFUNCTION("GOOGLETRANSLATE(AL171,""en"",""ta"")"),"#VALUE!")</f>
        <v>#VALUE!</v>
      </c>
      <c r="AL171" s="3"/>
      <c r="AM171" s="3" t="str">
        <f ca="1">IFERROR(__xludf.DUMMYFUNCTION("GOOGLETRANSLATE(AN171,""en"",""ta"")"),"#VALUE!")</f>
        <v>#VALUE!</v>
      </c>
      <c r="AN171" s="3"/>
      <c r="AO171" s="3" t="str">
        <f ca="1">IFERROR(__xludf.DUMMYFUNCTION("GOOGLETRANSLATE(AP171,""en"",""ta"")"),"#VALUE!")</f>
        <v>#VALUE!</v>
      </c>
      <c r="AP171" s="3"/>
      <c r="AQ171" s="3"/>
      <c r="AR171" s="3" t="str">
        <f ca="1">IFERROR(__xludf.DUMMYFUNCTION("GOOGLETRANSLATE(AS171,""en"",""ta"")"),"தூண்டுதல், பாலுணர்வைத் தூண்டும், வயிற்று வலியைத் தூண்டும், சற்று மயக்க மருந்து தரும், வலிப்பு எதிர்ப்பு மற்றும் எம்மெனாகோக்.")</f>
        <v>தூண்டுதல், பாலுணர்வைத் தூண்டும், வயிற்று வலியைத் தூண்டும், சற்று மயக்க மருந்து தரும், வலிப்பு எதிர்ப்பு மற்றும் எம்மெனாகோக்.</v>
      </c>
      <c r="AS171" s="4" t="s">
        <v>2124</v>
      </c>
      <c r="AT171" s="3" t="str">
        <f ca="1">IFERROR(__xludf.DUMMYFUNCTION("GOOGLETRANSLATE(AU171,""en"",""ta"")"),"குரோசின் I &amp; II, a-குரோசெடின், B-குரோசெடின், குயர்செடின், கேம்ப்ஃபெரால், அந்தோசயனின், டெல்ஃபினிடின், மைரிசெடின், கரோட்டினாய்டு கிளைகோசைடுகள், பிக்ரோகுரோசின் மற்றும் ஹெலிக்ரைசோசைடு")</f>
        <v>குரோசின் I &amp; II, a-குரோசெடின், B-குரோசெடின், குயர்செடின், கேம்ப்ஃபெரால், அந்தோசயனின், டெல்ஃபினிடின், மைரிசெடின், கரோட்டினாய்டு கிளைகோசைடுகள், பிக்ரோகுரோசின் மற்றும் ஹெலிக்ரைசோசைடு</v>
      </c>
      <c r="AU171" s="4" t="s">
        <v>2125</v>
      </c>
      <c r="AV171" s="3"/>
      <c r="AW171" s="3" t="str">
        <f ca="1">IFERROR(__xludf.DUMMYFUNCTION("GOOGLETRANSLATE(AX171,""en"",""ta"")"),"i) குடல் தளர்ச்சி உள்ள குழந்தைகளுக்கு குங்குமப்பூவை நெய்யுடன் சேர்த்து சிறிய அளவில் கொடுக்க வேண்டும். 
ii) தலைவலி மற்றும் மேலோட்டமான புண்களுக்கு குங்குமப்பூவை பேஸ்ட் வடிவில் வெளிப்புறமாகப் பயன்படுத்தலாம்.")</f>
        <v>i) குடல் தளர்ச்சி உள்ள குழந்தைகளுக்கு குங்குமப்பூவை நெய்யுடன் சேர்த்து சிறிய அளவில் கொடுக்க வேண்டும். 
ii) தலைவலி மற்றும் மேலோட்டமான புண்களுக்கு குங்குமப்பூவை பேஸ்ட் வடிவில் வெளிப்புறமாகப் பயன்படுத்தலாம்.</v>
      </c>
      <c r="AX171" s="4" t="s">
        <v>2557</v>
      </c>
      <c r="AY171" s="3"/>
      <c r="AZ171" s="3"/>
      <c r="BA171" s="3"/>
      <c r="BB171" s="3"/>
      <c r="BC171" s="3"/>
      <c r="BD171" s="3"/>
      <c r="BE171" s="3"/>
      <c r="BF171" s="3"/>
    </row>
    <row r="172" spans="1:58" ht="70" x14ac:dyDescent="0.15">
      <c r="A172" s="3">
        <v>171</v>
      </c>
      <c r="B172" s="3" t="str">
        <f ca="1">IFERROR(__xludf.DUMMYFUNCTION("GOOGLETRANSLATE(C172,""en"",""ta"")"),"குரோடலேரியா ரெட்டூசா")</f>
        <v>குரோடலேரியா ரெட்டூசா</v>
      </c>
      <c r="C172" s="4" t="s">
        <v>2127</v>
      </c>
      <c r="D172" s="3" t="str">
        <f ca="1">IFERROR(__xludf.DUMMYFUNCTION("GOOGLETRANSLATE(E172,""en"",""ta"")"),"சனபுஷ்பி")</f>
        <v>சனபுஷ்பி</v>
      </c>
      <c r="E172" s="4" t="s">
        <v>2128</v>
      </c>
      <c r="F172" s="3" t="str">
        <f ca="1">IFERROR(__xludf.DUMMYFUNCTION("GOOGLETRANSLATE(G172,""en"",""ta"")"),"சனல்")</f>
        <v>சனல்</v>
      </c>
      <c r="G172" s="4" t="s">
        <v>2129</v>
      </c>
      <c r="H172" s="3" t="str">
        <f ca="1">IFERROR(__xludf.DUMMYFUNCTION("GOOGLETRANSLATE(I172,""en"",""ta"")"),"வங்காள சணல்")</f>
        <v>வங்காள சணல்</v>
      </c>
      <c r="I172" s="4" t="s">
        <v>2130</v>
      </c>
      <c r="J172" s="3" t="str">
        <f ca="1">IFERROR(__xludf.DUMMYFUNCTION("GOOGLETRANSLATE(K172,""en"",""ta"")"),"போட்டி கிலிகிச்சா")</f>
        <v>போட்டி கிலிகிச்சா</v>
      </c>
      <c r="K172" s="4" t="s">
        <v>2131</v>
      </c>
      <c r="L172" s="3" t="str">
        <f ca="1">IFERROR(__xludf.DUMMYFUNCTION("GOOGLETRANSLATE(M172,""en"",""ta"")"),"ஜனபா")</f>
        <v>ஜனபா</v>
      </c>
      <c r="M172" s="4" t="s">
        <v>2132</v>
      </c>
      <c r="N172" s="3" t="str">
        <f ca="1">IFERROR(__xludf.DUMMYFUNCTION("GOOGLETRANSLATE(O172,""en"",""ta"")"),"சான்")</f>
        <v>சான்</v>
      </c>
      <c r="O172" s="4" t="s">
        <v>2133</v>
      </c>
      <c r="P172" s="3"/>
      <c r="Q172" s="3" t="str">
        <f ca="1">IFERROR(__xludf.DUMMYFUNCTION("GOOGLETRANSLATE(R172,""en"",""ta"")"),"புதர்கள், இலைகள் எளிமையானவை, மேல் மேற்பரப்பில் உரோமங்களற்றவை மற்றும் குறுகிய இலைக்காம்புகள் கொண்டவை. பூக்கள் ரேசீம் மஞ்சரி மற்றும் நீளமானவை. பழங்கள் காய்கள், குறுகலானவை.")</f>
        <v>புதர்கள், இலைகள் எளிமையானவை, மேல் மேற்பரப்பில் உரோமங்களற்றவை மற்றும் குறுகிய இலைக்காம்புகள் கொண்டவை. பூக்கள் ரேசீம் மஞ்சரி மற்றும் நீளமானவை. பழங்கள் காய்கள், குறுகலானவை.</v>
      </c>
      <c r="R172" s="4" t="s">
        <v>2134</v>
      </c>
      <c r="S172" s="3" t="str">
        <f ca="1">IFERROR(__xludf.DUMMYFUNCTION("GOOGLETRANSLATE(T172,""en"",""ta"")"),"#VALUE!")</f>
        <v>#VALUE!</v>
      </c>
      <c r="T172" s="3"/>
      <c r="U172" s="3" t="str">
        <f ca="1">IFERROR(__xludf.DUMMYFUNCTION("GOOGLETRANSLATE(V172,""en"",""ta"")"),"#VALUE!")</f>
        <v>#VALUE!</v>
      </c>
      <c r="V172" s="3"/>
      <c r="W172" s="3" t="str">
        <f ca="1">IFERROR(__xludf.DUMMYFUNCTION("GOOGLETRANSLATE(X172,""en"",""ta"")"),"#VALUE!")</f>
        <v>#VALUE!</v>
      </c>
      <c r="X172" s="3"/>
      <c r="Y172" s="3" t="str">
        <f ca="1">IFERROR(__xludf.DUMMYFUNCTION("GOOGLETRANSLATE(Z172,""en"",""ta"")"),"#VALUE!")</f>
        <v>#VALUE!</v>
      </c>
      <c r="Z172" s="3"/>
      <c r="AA172" s="3" t="str">
        <f ca="1">IFERROR(__xludf.DUMMYFUNCTION("GOOGLETRANSLATE(AB172,""en"",""ta"")"),"#VALUE!")</f>
        <v>#VALUE!</v>
      </c>
      <c r="AB172" s="3"/>
      <c r="AC172" s="3" t="str">
        <f ca="1">IFERROR(__xludf.DUMMYFUNCTION("GOOGLETRANSLATE(AD172,""en"",""ta"")"),"#VALUE!")</f>
        <v>#VALUE!</v>
      </c>
      <c r="AD172" s="3"/>
      <c r="AE172" s="3" t="str">
        <f ca="1">IFERROR(__xludf.DUMMYFUNCTION("GOOGLETRANSLATE(AF172,""en"",""ta"")"),"#VALUE!")</f>
        <v>#VALUE!</v>
      </c>
      <c r="AF172" s="3"/>
      <c r="AG172" s="3" t="str">
        <f ca="1">IFERROR(__xludf.DUMMYFUNCTION("GOOGLETRANSLATE(AH172,""en"",""ta"")"),"#VALUE!")</f>
        <v>#VALUE!</v>
      </c>
      <c r="AH172" s="3"/>
      <c r="AI172" s="3" t="str">
        <f ca="1">IFERROR(__xludf.DUMMYFUNCTION("GOOGLETRANSLATE(AJ172,""en"",""ta"")"),"#VALUE!")</f>
        <v>#VALUE!</v>
      </c>
      <c r="AJ172" s="3"/>
      <c r="AK172" s="3" t="str">
        <f ca="1">IFERROR(__xludf.DUMMYFUNCTION("GOOGLETRANSLATE(AL172,""en"",""ta"")"),"#VALUE!")</f>
        <v>#VALUE!</v>
      </c>
      <c r="AL172" s="3"/>
      <c r="AM172" s="3" t="str">
        <f ca="1">IFERROR(__xludf.DUMMYFUNCTION("GOOGLETRANSLATE(AN172,""en"",""ta"")"),"#VALUE!")</f>
        <v>#VALUE!</v>
      </c>
      <c r="AN172" s="3"/>
      <c r="AO172" s="3" t="str">
        <f ca="1">IFERROR(__xludf.DUMMYFUNCTION("GOOGLETRANSLATE(AP172,""en"",""ta"")"),"#VALUE!")</f>
        <v>#VALUE!</v>
      </c>
      <c r="AP172" s="3"/>
      <c r="AQ172" s="3"/>
      <c r="AR172" s="3" t="str">
        <f ca="1">IFERROR(__xludf.DUMMYFUNCTION("GOOGLETRANSLATE(AS172,""en"",""ta"")"),"பாலுணர்வூக்கி, துவர்ப்பு மருந்து, ஊக்கி, சிறுநீர்ப் பெருக்கி, கரைப்பான், சளி நீக்கி மற்றும் வியர்வை நீக்கி.")</f>
        <v>பாலுணர்வூக்கி, துவர்ப்பு மருந்து, ஊக்கி, சிறுநீர்ப் பெருக்கி, கரைப்பான், சளி நீக்கி மற்றும் வியர்வை நீக்கி.</v>
      </c>
      <c r="AS172" s="4" t="s">
        <v>2135</v>
      </c>
      <c r="AT172" s="3" t="str">
        <f ca="1">IFERROR(__xludf.DUMMYFUNCTION("GOOGLETRANSLATE(AU172,""en"",""ta"")"),"மெத்தில் எஸ்டர், ட்ரை டெக்கனோயேட், மைரிஸ்டேட், லாக்டோனேட், பால்மிடேட், ஸ்டீரேட், ஓலியேட், லினோலியேட், லினோலினேட், மோனோக்ரோடலின், ஸ்பெக்டாபிலின் மற்றும் ரெட்டுசின்.")</f>
        <v>மெத்தில் எஸ்டர், ட்ரை டெக்கனோயேட், மைரிஸ்டேட், லாக்டோனேட், பால்மிடேட், ஸ்டீரேட், ஓலியேட், லினோலியேட், லினோலினேட், மோனோக்ரோடலின், ஸ்பெக்டாபிலின் மற்றும் ரெட்டுசின்.</v>
      </c>
      <c r="AU172" s="4" t="s">
        <v>2136</v>
      </c>
      <c r="AV172" s="3"/>
      <c r="AW172" s="3" t="str">
        <f ca="1">IFERROR(__xludf.DUMMYFUNCTION("GOOGLETRANSLATE(AX172,""en"",""ta"")"),"i) கசப்பு இலைகளை வெளிப்புறமாகவும் உட்புறமாகவும் உட்செலுத்துதல் வடிவில் பயன்படுத்துவதால் இரைப்பை மற்றும் பித்தப்பை காய்ச்சல் குணமாகும். 
ii) விதைப் பொடியை எண்ணெயுடன் கலந்து பயன்படுத்தினால் முடி பளபளப்பாக இருக்கும்.")</f>
        <v>i) கசப்பு இலைகளை வெளிப்புறமாகவும் உட்புறமாகவும் உட்செலுத்துதல் வடிவில் பயன்படுத்துவதால் இரைப்பை மற்றும் பித்தப்பை காய்ச்சல் குணமாகும். 
ii) விதைப் பொடியை எண்ணெயுடன் கலந்து பயன்படுத்தினால் முடி பளபளப்பாக இருக்கும்.</v>
      </c>
      <c r="AX172" s="4" t="s">
        <v>2558</v>
      </c>
      <c r="AY172" s="3"/>
      <c r="AZ172" s="3"/>
      <c r="BA172" s="3"/>
      <c r="BB172" s="3"/>
      <c r="BC172" s="3"/>
      <c r="BD172" s="3"/>
      <c r="BE172" s="3"/>
      <c r="BF172" s="3"/>
    </row>
    <row r="173" spans="1:58" ht="56" x14ac:dyDescent="0.15">
      <c r="A173" s="3">
        <v>172</v>
      </c>
      <c r="B173" s="3" t="str">
        <f ca="1">IFERROR(__xludf.DUMMYFUNCTION("GOOGLETRANSLATE(C173,""en"",""ta"")"),"குரோடலேரியா வெருகோசா")</f>
        <v>குரோடலேரியா வெருகோசா</v>
      </c>
      <c r="C173" s="4" t="s">
        <v>2138</v>
      </c>
      <c r="D173" s="3" t="str">
        <f ca="1">IFERROR(__xludf.DUMMYFUNCTION("GOOGLETRANSLATE(E173,""en"",""ta"")"),"சனா புஸ்பி")</f>
        <v>சனா புஸ்பி</v>
      </c>
      <c r="E173" s="4" t="s">
        <v>2139</v>
      </c>
      <c r="F173" s="3" t="str">
        <f ca="1">IFERROR(__xludf.DUMMYFUNCTION("GOOGLETRANSLATE(G173,""en"",""ta"")"),"வட்ட கிலுகிலுப்பை")</f>
        <v>வட்ட கிலுகிலுப்பை</v>
      </c>
      <c r="G173" s="4" t="s">
        <v>2140</v>
      </c>
      <c r="H173" s="3" t="str">
        <f ca="1">IFERROR(__xludf.DUMMYFUNCTION("GOOGLETRANSLATE(I173,""en"",""ta"")"),"ஆளி சணல்")</f>
        <v>ஆளி சணல்</v>
      </c>
      <c r="I173" s="4" t="s">
        <v>2141</v>
      </c>
      <c r="J173" s="3" t="str">
        <f ca="1">IFERROR(__xludf.DUMMYFUNCTION("GOOGLETRANSLATE(K173,""en"",""ta"")"),"சின்ன கிலிகிச்சா")</f>
        <v>சின்ன கிலிகிச்சா</v>
      </c>
      <c r="K173" s="4" t="s">
        <v>2142</v>
      </c>
      <c r="L173" s="3" t="str">
        <f ca="1">IFERROR(__xludf.DUMMYFUNCTION("GOOGLETRANSLATE(M173,""en"",""ta"")"),"கிலுகிலுப்பை")</f>
        <v>கிலுகிலுப்பை</v>
      </c>
      <c r="M173" s="4" t="s">
        <v>2143</v>
      </c>
      <c r="N173" s="3" t="str">
        <f ca="1">IFERROR(__xludf.DUMMYFUNCTION("GOOGLETRANSLATE(O173,""en"",""ta"")"),"ஜான்-ஜானியா")</f>
        <v>ஜான்-ஜானியா</v>
      </c>
      <c r="O173" s="4" t="s">
        <v>2144</v>
      </c>
      <c r="P173" s="3"/>
      <c r="Q173" s="3" t="str">
        <f ca="1">IFERROR(__xludf.DUMMYFUNCTION("GOOGLETRANSLATE(R173,""en"",""ta"")"),"அதிக கிளைகளைக் கொண்ட கீழ்ப் புதர், தண்டுகள் மற்றும் கிளைகள் கோண வடிவானவை மற்றும் மூலிகைகள் கொண்டவை. இலைகள் எளிமையானவை, ரோம்பாய்டு, கிட்டத்தட்ட உரோமங்களற்றவை. பூக்கள் கிட்டத்தட்ட நீல நிறத்தில், முனையத்தில் அல்லது இலைகளுக்கு எதிரே உள்ள ரேஸ்மி மஞ்சரியில் இரு"&amp;"க்கும். பழங்கள் காய்கள், நீள்வட்டம். விதைகள் 10 அல்லது அதற்கு மேற்பட்டவை, பளபளப்பானவை.")</f>
        <v>அதிக கிளைகளைக் கொண்ட கீழ்ப் புதர், தண்டுகள் மற்றும் கிளைகள் கோண வடிவானவை மற்றும் மூலிகைகள் கொண்டவை. இலைகள் எளிமையானவை, ரோம்பாய்டு, கிட்டத்தட்ட உரோமங்களற்றவை. பூக்கள் கிட்டத்தட்ட நீல நிறத்தில், முனையத்தில் அல்லது இலைகளுக்கு எதிரே உள்ள ரேஸ்மி மஞ்சரியில் இருக்கும். பழங்கள் காய்கள், நீள்வட்டம். விதைகள் 10 அல்லது அதற்கு மேற்பட்டவை, பளபளப்பானவை.</v>
      </c>
      <c r="R173" s="4" t="s">
        <v>2145</v>
      </c>
      <c r="S173" s="3" t="str">
        <f ca="1">IFERROR(__xludf.DUMMYFUNCTION("GOOGLETRANSLATE(T173,""en"",""ta"")"),"#VALUE!")</f>
        <v>#VALUE!</v>
      </c>
      <c r="T173" s="3"/>
      <c r="U173" s="3" t="str">
        <f ca="1">IFERROR(__xludf.DUMMYFUNCTION("GOOGLETRANSLATE(V173,""en"",""ta"")"),"#VALUE!")</f>
        <v>#VALUE!</v>
      </c>
      <c r="V173" s="3"/>
      <c r="W173" s="3" t="str">
        <f ca="1">IFERROR(__xludf.DUMMYFUNCTION("GOOGLETRANSLATE(X173,""en"",""ta"")"),"#VALUE!")</f>
        <v>#VALUE!</v>
      </c>
      <c r="X173" s="3"/>
      <c r="Y173" s="3" t="str">
        <f ca="1">IFERROR(__xludf.DUMMYFUNCTION("GOOGLETRANSLATE(Z173,""en"",""ta"")"),"#VALUE!")</f>
        <v>#VALUE!</v>
      </c>
      <c r="Z173" s="3"/>
      <c r="AA173" s="3" t="str">
        <f ca="1">IFERROR(__xludf.DUMMYFUNCTION("GOOGLETRANSLATE(AB173,""en"",""ta"")"),"#VALUE!")</f>
        <v>#VALUE!</v>
      </c>
      <c r="AB173" s="3"/>
      <c r="AC173" s="3" t="str">
        <f ca="1">IFERROR(__xludf.DUMMYFUNCTION("GOOGLETRANSLATE(AD173,""en"",""ta"")"),"#VALUE!")</f>
        <v>#VALUE!</v>
      </c>
      <c r="AD173" s="3"/>
      <c r="AE173" s="3" t="str">
        <f ca="1">IFERROR(__xludf.DUMMYFUNCTION("GOOGLETRANSLATE(AF173,""en"",""ta"")"),"#VALUE!")</f>
        <v>#VALUE!</v>
      </c>
      <c r="AF173" s="3"/>
      <c r="AG173" s="3" t="str">
        <f ca="1">IFERROR(__xludf.DUMMYFUNCTION("GOOGLETRANSLATE(AH173,""en"",""ta"")"),"#VALUE!")</f>
        <v>#VALUE!</v>
      </c>
      <c r="AH173" s="3"/>
      <c r="AI173" s="3" t="str">
        <f ca="1">IFERROR(__xludf.DUMMYFUNCTION("GOOGLETRANSLATE(AJ173,""en"",""ta"")"),"#VALUE!")</f>
        <v>#VALUE!</v>
      </c>
      <c r="AJ173" s="3"/>
      <c r="AK173" s="3" t="str">
        <f ca="1">IFERROR(__xludf.DUMMYFUNCTION("GOOGLETRANSLATE(AL173,""en"",""ta"")"),"#VALUE!")</f>
        <v>#VALUE!</v>
      </c>
      <c r="AL173" s="3"/>
      <c r="AM173" s="3" t="str">
        <f ca="1">IFERROR(__xludf.DUMMYFUNCTION("GOOGLETRANSLATE(AN173,""en"",""ta"")"),"#VALUE!")</f>
        <v>#VALUE!</v>
      </c>
      <c r="AN173" s="3"/>
      <c r="AO173" s="3" t="str">
        <f ca="1">IFERROR(__xludf.DUMMYFUNCTION("GOOGLETRANSLATE(AP173,""en"",""ta"")"),"#VALUE!")</f>
        <v>#VALUE!</v>
      </c>
      <c r="AP173" s="3"/>
      <c r="AQ173" s="3"/>
      <c r="AR173" s="3" t="str">
        <f ca="1">IFERROR(__xludf.DUMMYFUNCTION("GOOGLETRANSLATE(AS173,""en"",""ta"")"),"சளி நீக்கி, வாந்தி நீக்கி மற்றும் அழற்சி எதிர்ப்பு.")</f>
        <v>சளி நீக்கி, வாந்தி நீக்கி மற்றும் அழற்சி எதிர்ப்பு.</v>
      </c>
      <c r="AS173" s="4" t="s">
        <v>2146</v>
      </c>
      <c r="AT173" s="3" t="str">
        <f ca="1">IFERROR(__xludf.DUMMYFUNCTION("GOOGLETRANSLATE(AU173,""en"",""ta"")"),"குரோட்டாவெரின், ஓ-அசிடைல்-குரோட்டாவெரின், ரிசினோலிக் அமிலம், ரேஸ்மிக் லாக்டோன் அமிலம், புரோபியோனிக் அமிலம் மற்றும் பி-சிட்டோஸ்டெரால்.")</f>
        <v>குரோட்டாவெரின், ஓ-அசிடைல்-குரோட்டாவெரின், ரிசினோலிக் அமிலம், ரேஸ்மிக் லாக்டோன் அமிலம், புரோபியோனிக் அமிலம் மற்றும் பி-சிட்டோஸ்டெரால்.</v>
      </c>
      <c r="AU173" s="4" t="s">
        <v>2147</v>
      </c>
      <c r="AV173" s="3"/>
      <c r="AW173" s="3" t="str">
        <f ca="1">IFERROR(__xludf.DUMMYFUNCTION("GOOGLETRANSLATE(AX173,""en"",""ta"")"),"i) ii) இலைகளை பேஸ்டாக உருவாக்கி, சிரங்கு மற்றும் காயங்களுக்குப் பூசுகிறார்கள்.
வாயுவலிக்கு இலையின் கஷாயம் உட்புறமாக கொடுக்கப்படுகிறது.")</f>
        <v>i) ii) இலைகளை பேஸ்டாக உருவாக்கி, சிரங்கு மற்றும் காயங்களுக்குப் பூசுகிறார்கள்.
வாயுவலிக்கு இலையின் கஷாயம் உட்புறமாக கொடுக்கப்படுகிறது.</v>
      </c>
      <c r="AX173" s="4" t="s">
        <v>2559</v>
      </c>
      <c r="AY173" s="3"/>
      <c r="AZ173" s="3"/>
      <c r="BA173" s="3"/>
      <c r="BB173" s="3"/>
      <c r="BC173" s="3"/>
      <c r="BD173" s="3"/>
      <c r="BE173" s="3"/>
      <c r="BF173" s="3"/>
    </row>
    <row r="174" spans="1:58" ht="70" x14ac:dyDescent="0.15">
      <c r="A174" s="3">
        <v>173</v>
      </c>
      <c r="B174" s="3" t="str">
        <f ca="1">IFERROR(__xludf.DUMMYFUNCTION("GOOGLETRANSLATE(C174,""en"",""ta"")"),"குரோட்டன் டிக்லியம்")</f>
        <v>குரோட்டன் டிக்லியம்</v>
      </c>
      <c r="C174" s="4" t="s">
        <v>2149</v>
      </c>
      <c r="D174" s="3" t="str">
        <f ca="1">IFERROR(__xludf.DUMMYFUNCTION("GOOGLETRANSLATE(E174,""en"",""ta"")"),"ஜெய பாலா")</f>
        <v>ஜெய பாலா</v>
      </c>
      <c r="E174" s="4" t="s">
        <v>2150</v>
      </c>
      <c r="F174" s="3" t="str">
        <f ca="1">IFERROR(__xludf.DUMMYFUNCTION("GOOGLETRANSLATE(G174,""en"",""ta"")"),"நெர்வலம்")</f>
        <v>நெர்வலம்</v>
      </c>
      <c r="G174" s="4" t="s">
        <v>2151</v>
      </c>
      <c r="H174" s="3" t="str">
        <f ca="1">IFERROR(__xludf.DUMMYFUNCTION("GOOGLETRANSLATE(I174,""en"",""ta"")"),"குரோட்டோவை சுத்தப்படுத்துதல்")</f>
        <v>குரோட்டோவை சுத்தப்படுத்துதல்</v>
      </c>
      <c r="I174" s="4" t="s">
        <v>2152</v>
      </c>
      <c r="J174" s="3" t="str">
        <f ca="1">IFERROR(__xludf.DUMMYFUNCTION("GOOGLETRANSLATE(K174,""en"",""ta"")"),"நேபாளமு")</f>
        <v>நேபாளமு</v>
      </c>
      <c r="K174" s="4" t="s">
        <v>2153</v>
      </c>
      <c r="L174" s="3" t="str">
        <f ca="1">IFERROR(__xludf.DUMMYFUNCTION("GOOGLETRANSLATE(M174,""en"",""ta"")"),"நீர்வலம்")</f>
        <v>நீர்வலம்</v>
      </c>
      <c r="M174" s="4" t="s">
        <v>2154</v>
      </c>
      <c r="N174" s="3" t="str">
        <f ca="1">IFERROR(__xludf.DUMMYFUNCTION("GOOGLETRANSLATE(O174,""en"",""ta"")"),"ஜமால் கட்டாயம்")</f>
        <v>ஜமால் கட்டாயம்</v>
      </c>
      <c r="O174" s="4" t="s">
        <v>2155</v>
      </c>
      <c r="P174" s="3"/>
      <c r="Q174" s="3" t="str">
        <f ca="1">IFERROR(__xludf.DUMMYFUNCTION("GOOGLETRANSLATE(R174,""en"",""ta"")"),"மரங்கள், இலைகள் மாறி மாறி, அரிதாக எதிரெதிர் அல்லது சுழல்களாக இருக்கும். இலைகளின் பக்கவாட்டு விலா எலும்புகள் தெளிவாகத் தெரியும். இலைகள் சவ்வு, முட்டை வடிவம், கூரிய முனை ரம்பம் போன்றது, உரோமங்களற்றது அகலமானது மற்றும் இலைக்காம்பு போன்றது. பூக்கள் சிறியவை, ஆண"&amp;"் மலர்கள் மெல்லியவை, உரோமங்களற்றது, காம்புகள் மற்றும் பெண் மலர்கள் பெரியவை, குட்டையானவை, தடித்தவை மற்றும் அடர்த்தியான நட்சத்திர வடிவ காம்புகளில் உள்ளன. பழங்கள் காப்ஸ்யூல்.")</f>
        <v>மரங்கள், இலைகள் மாறி மாறி, அரிதாக எதிரெதிர் அல்லது சுழல்களாக இருக்கும். இலைகளின் பக்கவாட்டு விலா எலும்புகள் தெளிவாகத் தெரியும். இலைகள் சவ்வு, முட்டை வடிவம், கூரிய முனை ரம்பம் போன்றது, உரோமங்களற்றது அகலமானது மற்றும் இலைக்காம்பு போன்றது. பூக்கள் சிறியவை, ஆண் மலர்கள் மெல்லியவை, உரோமங்களற்றது, காம்புகள் மற்றும் பெண் மலர்கள் பெரியவை, குட்டையானவை, தடித்தவை மற்றும் அடர்த்தியான நட்சத்திர வடிவ காம்புகளில் உள்ளன. பழங்கள் காப்ஸ்யூல்.</v>
      </c>
      <c r="R174" s="4" t="s">
        <v>2156</v>
      </c>
      <c r="S174" s="3" t="str">
        <f ca="1">IFERROR(__xludf.DUMMYFUNCTION("GOOGLETRANSLATE(T174,""en"",""ta"")"),"#VALUE!")</f>
        <v>#VALUE!</v>
      </c>
      <c r="T174" s="3"/>
      <c r="U174" s="3" t="str">
        <f ca="1">IFERROR(__xludf.DUMMYFUNCTION("GOOGLETRANSLATE(V174,""en"",""ta"")"),"அபோப்ளெக்ஸி, வலிப்பு மற்றும் பைத்தியம்.")</f>
        <v>அபோப்ளெக்ஸி, வலிப்பு மற்றும் பைத்தியம்.</v>
      </c>
      <c r="V174" s="4" t="s">
        <v>2157</v>
      </c>
      <c r="W174" s="3" t="str">
        <f ca="1">IFERROR(__xludf.DUMMYFUNCTION("GOOGLETRANSLATE(X174,""en"",""ta"")"),"#VALUE!")</f>
        <v>#VALUE!</v>
      </c>
      <c r="X174" s="3"/>
      <c r="Y174" s="3" t="str">
        <f ca="1">IFERROR(__xludf.DUMMYFUNCTION("GOOGLETRANSLATE(Z174,""en"",""ta"")"),"#VALUE!")</f>
        <v>#VALUE!</v>
      </c>
      <c r="Z174" s="3"/>
      <c r="AA174" s="3" t="str">
        <f ca="1">IFERROR(__xludf.DUMMYFUNCTION("GOOGLETRANSLATE(AB174,""en"",""ta"")"),"#VALUE!")</f>
        <v>#VALUE!</v>
      </c>
      <c r="AB174" s="3"/>
      <c r="AC174" s="3" t="str">
        <f ca="1">IFERROR(__xludf.DUMMYFUNCTION("GOOGLETRANSLATE(AD174,""en"",""ta"")"),"#VALUE!")</f>
        <v>#VALUE!</v>
      </c>
      <c r="AD174" s="3"/>
      <c r="AE174" s="3" t="str">
        <f ca="1">IFERROR(__xludf.DUMMYFUNCTION("GOOGLETRANSLATE(AF174,""en"",""ta"")"),"#VALUE!")</f>
        <v>#VALUE!</v>
      </c>
      <c r="AF174" s="3"/>
      <c r="AG174" s="3" t="str">
        <f ca="1">IFERROR(__xludf.DUMMYFUNCTION("GOOGLETRANSLATE(AH174,""en"",""ta"")"),"#VALUE!")</f>
        <v>#VALUE!</v>
      </c>
      <c r="AH174" s="3"/>
      <c r="AI174" s="3" t="str">
        <f ca="1">IFERROR(__xludf.DUMMYFUNCTION("GOOGLETRANSLATE(AJ174,""en"",""ta"")"),"#VALUE!")</f>
        <v>#VALUE!</v>
      </c>
      <c r="AJ174" s="3"/>
      <c r="AK174" s="3" t="str">
        <f ca="1">IFERROR(__xludf.DUMMYFUNCTION("GOOGLETRANSLATE(AL174,""en"",""ta"")"),"சொட்டு மருந்து, பிடிவாதமான மலச்சிக்கல், இரத்த விஷம் மற்றும் நாள்பட்ட மூச்சுக்குழாய் அழற்சி.")</f>
        <v>சொட்டு மருந்து, பிடிவாதமான மலச்சிக்கல், இரத்த விஷம் மற்றும் நாள்பட்ட மூச்சுக்குழாய் அழற்சி.</v>
      </c>
      <c r="AL174" s="4" t="s">
        <v>2158</v>
      </c>
      <c r="AM174" s="3" t="str">
        <f ca="1">IFERROR(__xludf.DUMMYFUNCTION("GOOGLETRANSLATE(AN174,""en"",""ta"")"),"#VALUE!")</f>
        <v>#VALUE!</v>
      </c>
      <c r="AN174" s="3"/>
      <c r="AO174" s="3" t="str">
        <f ca="1">IFERROR(__xludf.DUMMYFUNCTION("GOOGLETRANSLATE(AP174,""en"",""ta"")"),"#VALUE!")</f>
        <v>#VALUE!</v>
      </c>
      <c r="AP174" s="3"/>
      <c r="AQ174" s="3"/>
      <c r="AR174" s="3" t="str">
        <f ca="1">IFERROR(__xludf.DUMMYFUNCTION("GOOGLETRANSLATE(AS174,""en"",""ta"")"),"சுத்திகரிப்பு, வெர்மிஃபியூஜ், வெசிகண்ட் &amp; மலமிளக்கி")</f>
        <v>சுத்திகரிப்பு, வெர்மிஃபியூஜ், வெசிகண்ட் &amp; மலமிளக்கி</v>
      </c>
      <c r="AS174" s="4" t="s">
        <v>2159</v>
      </c>
      <c r="AT174" s="3" t="str">
        <f ca="1">IFERROR(__xludf.DUMMYFUNCTION("GOOGLETRANSLATE(AU174,""en"",""ta"")"),"குரோட்டன் அல்புமின், குரோட்டன் குளோபுலின், டிக்லினிக் அமிலம், குரோட்டோனால், குரோட்டோனோலிக் அமிலம், பி-சிட்டோஸ்டெரால், போர்போல் எஸ்டர்கள், குரோட்டின் II மற்றும் குரோட்டோனோசைடு.")</f>
        <v>குரோட்டன் அல்புமின், குரோட்டன் குளோபுலின், டிக்லினிக் அமிலம், குரோட்டோனால், குரோட்டோனோலிக் அமிலம், பி-சிட்டோஸ்டெரால், போர்போல் எஸ்டர்கள், குரோட்டின் II மற்றும் குரோட்டோனோசைடு.</v>
      </c>
      <c r="AU174" s="4" t="s">
        <v>2160</v>
      </c>
      <c r="AV174" s="3"/>
      <c r="AW174" s="3" t="str">
        <f ca="1">IFERROR(__xludf.DUMMYFUNCTION("GOOGLETRANSLATE(AX174,""en"",""ta"")"),"i) விதைகளை எலுமிச்சை சாறுடன் தேய்த்து அலோபீசியாவுக்குப் பயன்படுத்த வேண்டும்.
ii) விதைகளை ஒரு விளக்கு அல்லது மெழுகுவர்த்தி சுடரில் வறுத்து, அதன் புகையை ஆஸ்துமாவுக்கு உள்ளிழுக்க வேண்டும்.")</f>
        <v>i) விதைகளை எலுமிச்சை சாறுடன் தேய்த்து அலோபீசியாவுக்குப் பயன்படுத்த வேண்டும்.
ii) விதைகளை ஒரு விளக்கு அல்லது மெழுகுவர்த்தி சுடரில் வறுத்து, அதன் புகையை ஆஸ்துமாவுக்கு உள்ளிழுக்க வேண்டும்.</v>
      </c>
      <c r="AX174" s="4" t="s">
        <v>2560</v>
      </c>
      <c r="AY174" s="3"/>
      <c r="AZ174" s="3"/>
      <c r="BA174" s="3"/>
      <c r="BB174" s="3"/>
      <c r="BC174" s="3"/>
      <c r="BD174" s="3"/>
      <c r="BE174" s="3"/>
      <c r="BF174" s="3"/>
    </row>
    <row r="175" spans="1:58" ht="56" x14ac:dyDescent="0.15">
      <c r="A175" s="3">
        <v>174</v>
      </c>
      <c r="B175" s="3" t="str">
        <f ca="1">IFERROR(__xludf.DUMMYFUNCTION("GOOGLETRANSLATE(C175,""en"",""ta"")"),"குக்குமிஸ் மெலோ")</f>
        <v>குக்குமிஸ் மெலோ</v>
      </c>
      <c r="C175" s="4" t="s">
        <v>2162</v>
      </c>
      <c r="D175" s="3" t="str">
        <f ca="1">IFERROR(__xludf.DUMMYFUNCTION("GOOGLETRANSLATE(E175,""en"",""ta"")"),"கலிங்கம்")</f>
        <v>கலிங்கம்</v>
      </c>
      <c r="E175" s="4" t="s">
        <v>2163</v>
      </c>
      <c r="F175" s="3" t="str">
        <f ca="1">IFERROR(__xludf.DUMMYFUNCTION("GOOGLETRANSLATE(G175,""en"",""ta"")"),"வெள்ளரி பழம்")</f>
        <v>வெள்ளரி பழம்</v>
      </c>
      <c r="G175" s="4" t="s">
        <v>2164</v>
      </c>
      <c r="H175" s="3" t="str">
        <f ca="1">IFERROR(__xludf.DUMMYFUNCTION("GOOGLETRANSLATE(I175,""en"",""ta"")"),"கஸ்தூரி முலாம்பழம்")</f>
        <v>கஸ்தூரி முலாம்பழம்</v>
      </c>
      <c r="I175" s="4" t="s">
        <v>2165</v>
      </c>
      <c r="J175" s="3" t="str">
        <f ca="1">IFERROR(__xludf.DUMMYFUNCTION("GOOGLETRANSLATE(K175,""en"",""ta"")"),"வெளிபண்டு")</f>
        <v>வெளிபண்டு</v>
      </c>
      <c r="K175" s="4" t="s">
        <v>2166</v>
      </c>
      <c r="L175" s="3" t="str">
        <f ca="1">IFERROR(__xludf.DUMMYFUNCTION("GOOGLETRANSLATE(M175,""en"",""ta"")"),"வாலுக்")</f>
        <v>வாலுக்</v>
      </c>
      <c r="M175" s="4" t="s">
        <v>2167</v>
      </c>
      <c r="N175" s="3" t="str">
        <f ca="1">IFERROR(__xludf.DUMMYFUNCTION("GOOGLETRANSLATE(O175,""en"",""ta"")"),"குர்பூஜ்")</f>
        <v>குர்பூஜ்</v>
      </c>
      <c r="O175" s="4" t="s">
        <v>2168</v>
      </c>
      <c r="P175" s="3"/>
      <c r="Q175" s="3" t="str">
        <f ca="1">IFERROR(__xludf.DUMMYFUNCTION("GOOGLETRANSLATE(R175,""en"",""ta"")"),"பின்னோக்கிச் செல்லும் கொடி, இலைக்காம்புகள் எளிமையானவை மற்றும் இலைக்கோணங்களில் அமைந்துள்ளன. இலைகள் முழுவதுமாக, உள்ளங்கை வடிவ மடல்களுடையவை, பல் போன்ற அல்லது ரம்பம் போன்றவை. மலர்கள் மஞ்சள் நிறமானது, ஒற்றைத் தோல் கொண்டவை, குட்டையான மஞ்சரித்தண்டு. ஆண் பூக்கள் "&amp;"இலைக்கோணங்களில் கொத்தாக காணப்படும், பெண் பூக்கள் தனியாக இருக்கும். பழங்கள் கோள வடிவமானது, முட்டை வடிவானது, பெரிய பெர்ரி.")</f>
        <v>பின்னோக்கிச் செல்லும் கொடி, இலைக்காம்புகள் எளிமையானவை மற்றும் இலைக்கோணங்களில் அமைந்துள்ளன. இலைகள் முழுவதுமாக, உள்ளங்கை வடிவ மடல்களுடையவை, பல் போன்ற அல்லது ரம்பம் போன்றவை. மலர்கள் மஞ்சள் நிறமானது, ஒற்றைத் தோல் கொண்டவை, குட்டையான மஞ்சரித்தண்டு. ஆண் பூக்கள் இலைக்கோணங்களில் கொத்தாக காணப்படும், பெண் பூக்கள் தனியாக இருக்கும். பழங்கள் கோள வடிவமானது, முட்டை வடிவானது, பெரிய பெர்ரி.</v>
      </c>
      <c r="R175" s="4" t="s">
        <v>2169</v>
      </c>
      <c r="S175" s="3" t="str">
        <f ca="1">IFERROR(__xludf.DUMMYFUNCTION("GOOGLETRANSLATE(T175,""en"",""ta"")"),"#VALUE!")</f>
        <v>#VALUE!</v>
      </c>
      <c r="T175" s="3"/>
      <c r="U175" s="3" t="str">
        <f ca="1">IFERROR(__xludf.DUMMYFUNCTION("GOOGLETRANSLATE(V175,""en"",""ta"")"),"வலியுடன் கூடிய சிறுநீர் கழித்தல் மற்றும் சிறுநீர் அடக்குதல்.")</f>
        <v>வலியுடன் கூடிய சிறுநீர் கழித்தல் மற்றும் சிறுநீர் அடக்குதல்.</v>
      </c>
      <c r="V175" s="4" t="s">
        <v>2170</v>
      </c>
      <c r="W175" s="3" t="str">
        <f ca="1">IFERROR(__xludf.DUMMYFUNCTION("GOOGLETRANSLATE(X175,""en"",""ta"")"),"#VALUE!")</f>
        <v>#VALUE!</v>
      </c>
      <c r="X175" s="3"/>
      <c r="Y175" s="3" t="str">
        <f ca="1">IFERROR(__xludf.DUMMYFUNCTION("GOOGLETRANSLATE(Z175,""en"",""ta"")"),"#VALUE!")</f>
        <v>#VALUE!</v>
      </c>
      <c r="Z175" s="3"/>
      <c r="AA175" s="3" t="str">
        <f ca="1">IFERROR(__xludf.DUMMYFUNCTION("GOOGLETRANSLATE(AB175,""en"",""ta"")"),"#VALUE!")</f>
        <v>#VALUE!</v>
      </c>
      <c r="AB175" s="3"/>
      <c r="AC175" s="3" t="str">
        <f ca="1">IFERROR(__xludf.DUMMYFUNCTION("GOOGLETRANSLATE(AD175,""en"",""ta"")"),"#VALUE!")</f>
        <v>#VALUE!</v>
      </c>
      <c r="AD175" s="3"/>
      <c r="AE175" s="3" t="str">
        <f ca="1">IFERROR(__xludf.DUMMYFUNCTION("GOOGLETRANSLATE(AF175,""en"",""ta"")"),"#VALUE!")</f>
        <v>#VALUE!</v>
      </c>
      <c r="AF175" s="3"/>
      <c r="AG175" s="3" t="str">
        <f ca="1">IFERROR(__xludf.DUMMYFUNCTION("GOOGLETRANSLATE(AH175,""en"",""ta"")"),"#VALUE!")</f>
        <v>#VALUE!</v>
      </c>
      <c r="AH175" s="3"/>
      <c r="AI175" s="3" t="str">
        <f ca="1">IFERROR(__xludf.DUMMYFUNCTION("GOOGLETRANSLATE(AJ175,""en"",""ta"")"),"#VALUE!")</f>
        <v>#VALUE!</v>
      </c>
      <c r="AJ175" s="3"/>
      <c r="AK175" s="3" t="str">
        <f ca="1">IFERROR(__xludf.DUMMYFUNCTION("GOOGLETRANSLATE(AL175,""en"",""ta"")"),"#VALUE!")</f>
        <v>#VALUE!</v>
      </c>
      <c r="AL175" s="3"/>
      <c r="AM175" s="3" t="str">
        <f ca="1">IFERROR(__xludf.DUMMYFUNCTION("GOOGLETRANSLATE(AN175,""en"",""ta"")"),"எக்ஸிமா, டிஸ்ஸ்பெசியா, கோலிக், எரியும் சிறுநீர் கழித்தல்.")</f>
        <v>எக்ஸிமா, டிஸ்ஸ்பெசியா, கோலிக், எரியும் சிறுநீர் கழித்தல்.</v>
      </c>
      <c r="AN175" s="4" t="s">
        <v>2171</v>
      </c>
      <c r="AO175" s="3" t="str">
        <f ca="1">IFERROR(__xludf.DUMMYFUNCTION("GOOGLETRANSLATE(AP175,""en"",""ta"")"),"#VALUE!")</f>
        <v>#VALUE!</v>
      </c>
      <c r="AP175" s="3"/>
      <c r="AQ175" s="3"/>
      <c r="AR175" s="3" t="str">
        <f ca="1">IFERROR(__xludf.DUMMYFUNCTION("GOOGLETRANSLATE(AS175,""en"",""ta"")"),"ஊட்டச்சத்து, ஈரப்பதமூட்டி, குளிர்பதனப் பொருள் மற்றும் சிறுநீர் பெருக்கி.")</f>
        <v>ஊட்டச்சத்து, ஈரப்பதமூட்டி, குளிர்பதனப் பொருள் மற்றும் சிறுநீர் பெருக்கி.</v>
      </c>
      <c r="AS175" s="4" t="s">
        <v>2172</v>
      </c>
      <c r="AT175" s="3" t="str">
        <f ca="1">IFERROR(__xludf.DUMMYFUNCTION("GOOGLETRANSLATE(AU175,""en"",""ta"")"),"மெலோசைட் ஏ, மெலோசைட் எல், கரோட்டின், ஏ-அமிரின், பி-அமிலேஸ், லூபியோல், ஐசோமல்டிஃப்ளோரெனால், சைக்ளோஆர்டெனால் மற்றும் ஹைபோக்சாந்தைன்.")</f>
        <v>மெலோசைட் ஏ, மெலோசைட் எல், கரோட்டின், ஏ-அமிரின், பி-அமிலேஸ், லூபியோல், ஐசோமல்டிஃப்ளோரெனால், சைக்ளோஆர்டெனால் மற்றும் ஹைபோக்சாந்தைன்.</v>
      </c>
      <c r="AU175" s="4" t="s">
        <v>2173</v>
      </c>
      <c r="AV175" s="3"/>
      <c r="AW175" s="3" t="str">
        <f ca="1">IFERROR(__xludf.DUMMYFUNCTION("GOOGLETRANSLATE(AX175,""en"",""ta"")"),"i) சீரகம் மற்றும் சர்க்கரை மிட்டாய்களுடன் கலந்த பழத்தின் கூழ் வெயில் காலத்தில் ஒரு சிறந்த உணவாகும். 
ii) நாள்பட்ட மற்றும் கடுமையான அரிக்கும் தோலழற்சியில் இது ஒரு லோஷனாக நன்மை பயக்கும்.")</f>
        <v>i) சீரகம் மற்றும் சர்க்கரை மிட்டாய்களுடன் கலந்த பழத்தின் கூழ் வெயில் காலத்தில் ஒரு சிறந்த உணவாகும். 
ii) நாள்பட்ட மற்றும் கடுமையான அரிக்கும் தோலழற்சியில் இது ஒரு லோஷனாக நன்மை பயக்கும்.</v>
      </c>
      <c r="AX175" s="4" t="s">
        <v>2561</v>
      </c>
      <c r="AY175" s="3"/>
      <c r="AZ175" s="3"/>
      <c r="BA175" s="3"/>
      <c r="BB175" s="3"/>
      <c r="BC175" s="3"/>
      <c r="BD175" s="3"/>
      <c r="BE175" s="3"/>
      <c r="BF175" s="3"/>
    </row>
    <row r="176" spans="1:58" ht="56" x14ac:dyDescent="0.15">
      <c r="A176" s="3">
        <v>175</v>
      </c>
      <c r="B176" s="3" t="str">
        <f ca="1">IFERROR(__xludf.DUMMYFUNCTION("GOOGLETRANSLATE(C176,""en"",""ta"")"),"குக்குமிஸ் சாடிவஸ்")</f>
        <v>குக்குமிஸ் சாடிவஸ்</v>
      </c>
      <c r="C176" s="4" t="s">
        <v>2175</v>
      </c>
      <c r="D176" s="3" t="str">
        <f ca="1">IFERROR(__xludf.DUMMYFUNCTION("GOOGLETRANSLATE(E176,""en"",""ta"")"),"சகுசா")</f>
        <v>சகுசா</v>
      </c>
      <c r="E176" s="4" t="s">
        <v>2176</v>
      </c>
      <c r="F176" s="3" t="str">
        <f ca="1">IFERROR(__xludf.DUMMYFUNCTION("GOOGLETRANSLATE(G176,""en"",""ta"")"),"முள்ளு-வெள்ளரி")</f>
        <v>முள்ளு-வெள்ளரி</v>
      </c>
      <c r="G176" s="4" t="s">
        <v>2177</v>
      </c>
      <c r="H176" s="3" t="str">
        <f ca="1">IFERROR(__xludf.DUMMYFUNCTION("GOOGLETRANSLATE(I176,""en"",""ta"")"),"பொதுவான வெள்ளரிக்காய்")</f>
        <v>பொதுவான வெள்ளரிக்காய்</v>
      </c>
      <c r="I176" s="4" t="s">
        <v>2178</v>
      </c>
      <c r="J176" s="3" t="str">
        <f ca="1">IFERROR(__xludf.DUMMYFUNCTION("GOOGLETRANSLATE(K176,""en"",""ta"")"),"டோசேகே")</f>
        <v>டோசேகே</v>
      </c>
      <c r="K176" s="4" t="s">
        <v>2179</v>
      </c>
      <c r="L176" s="3" t="str">
        <f ca="1">IFERROR(__xludf.DUMMYFUNCTION("GOOGLETRANSLATE(M176,""en"",""ta"")"),"முல்லன் வெள்ளாரி")</f>
        <v>முல்லன் வெள்ளாரி</v>
      </c>
      <c r="M176" s="4" t="s">
        <v>2180</v>
      </c>
      <c r="N176" s="3" t="str">
        <f ca="1">IFERROR(__xludf.DUMMYFUNCTION("GOOGLETRANSLATE(O176,""en"",""ta"")"),"கான்க்ரி")</f>
        <v>கான்க்ரி</v>
      </c>
      <c r="O176" s="4" t="s">
        <v>2181</v>
      </c>
      <c r="P176" s="3"/>
      <c r="Q176" s="3" t="str">
        <f ca="1">IFERROR(__xludf.DUMMYFUNCTION("GOOGLETRANSLATE(R176,""en"",""ta"")"),"ஒரு கொடி போன்ற, தண்டுகள் எளிமையானவை. இலைகள் முழுவதுமாகவோ அல்லது உள்ளங்கை வடிவ மடல்களுடையவையாகவோ, பல் போன்ற அல்லது ரம்பம் போன்றவை. மலர்கள் மஞ்சள் நிறத்தில், ஒற்றைத் தோற்றமுடையவை. பழங்கள் சில சிதறிய காசநோய் முட்கள் கொண்டவை, உருளை வடிவ மற்றும் மஞ்சள் நிற பச்"&amp;"சை நிறமுடையவை. மலர்கள் கொத்தாக இருக்கும். பழங்கள் பெரிய பெர்ரி.")</f>
        <v>ஒரு கொடி போன்ற, தண்டுகள் எளிமையானவை. இலைகள் முழுவதுமாகவோ அல்லது உள்ளங்கை வடிவ மடல்களுடையவையாகவோ, பல் போன்ற அல்லது ரம்பம் போன்றவை. மலர்கள் மஞ்சள் நிறத்தில், ஒற்றைத் தோற்றமுடையவை. பழங்கள் சில சிதறிய காசநோய் முட்கள் கொண்டவை, உருளை வடிவ மற்றும் மஞ்சள் நிற பச்சை நிறமுடையவை. மலர்கள் கொத்தாக இருக்கும். பழங்கள் பெரிய பெர்ரி.</v>
      </c>
      <c r="R176" s="4" t="s">
        <v>2182</v>
      </c>
      <c r="S176" s="3" t="str">
        <f ca="1">IFERROR(__xludf.DUMMYFUNCTION("GOOGLETRANSLATE(T176,""en"",""ta"")"),"#VALUE!")</f>
        <v>#VALUE!</v>
      </c>
      <c r="T176" s="3"/>
      <c r="U176" s="3" t="str">
        <f ca="1">IFERROR(__xludf.DUMMYFUNCTION("GOOGLETRANSLATE(V176,""en"",""ta"")"),"சிறுநீர்ப்பை மற்றும் சிறுநீர்க்குழாய் நோய்கள், விந்து பலவீனம்.")</f>
        <v>சிறுநீர்ப்பை மற்றும் சிறுநீர்க்குழாய் நோய்கள், விந்து பலவீனம்.</v>
      </c>
      <c r="V176" s="4" t="s">
        <v>2183</v>
      </c>
      <c r="W176" s="3" t="str">
        <f ca="1">IFERROR(__xludf.DUMMYFUNCTION("GOOGLETRANSLATE(X176,""en"",""ta"")"),"மூச்சுத் திணறல், இடைப்பட்ட காய்ச்சல் மற்றும் வெயிலில் ஏற்படும் பக்கவாதத்திற்கு டையூரிடிக்.")</f>
        <v>மூச்சுத் திணறல், இடைப்பட்ட காய்ச்சல் மற்றும் வெயிலில் ஏற்படும் பக்கவாதத்திற்கு டையூரிடிக்.</v>
      </c>
      <c r="X176" s="4" t="s">
        <v>2184</v>
      </c>
      <c r="Y176" s="3" t="str">
        <f ca="1">IFERROR(__xludf.DUMMYFUNCTION("GOOGLETRANSLATE(Z176,""en"",""ta"")"),"#VALUE!")</f>
        <v>#VALUE!</v>
      </c>
      <c r="Z176" s="3"/>
      <c r="AA176" s="3" t="str">
        <f ca="1">IFERROR(__xludf.DUMMYFUNCTION("GOOGLETRANSLATE(AB176,""en"",""ta"")"),"#VALUE!")</f>
        <v>#VALUE!</v>
      </c>
      <c r="AB176" s="3"/>
      <c r="AC176" s="3" t="str">
        <f ca="1">IFERROR(__xludf.DUMMYFUNCTION("GOOGLETRANSLATE(AD176,""en"",""ta"")"),"#VALUE!")</f>
        <v>#VALUE!</v>
      </c>
      <c r="AD176" s="3"/>
      <c r="AE176" s="3" t="str">
        <f ca="1">IFERROR(__xludf.DUMMYFUNCTION("GOOGLETRANSLATE(AF176,""en"",""ta"")"),"#VALUE!")</f>
        <v>#VALUE!</v>
      </c>
      <c r="AF176" s="3"/>
      <c r="AG176" s="3" t="str">
        <f ca="1">IFERROR(__xludf.DUMMYFUNCTION("GOOGLETRANSLATE(AH176,""en"",""ta"")"),"#VALUE!")</f>
        <v>#VALUE!</v>
      </c>
      <c r="AH176" s="3"/>
      <c r="AI176" s="3" t="str">
        <f ca="1">IFERROR(__xludf.DUMMYFUNCTION("GOOGLETRANSLATE(AJ176,""en"",""ta"")"),"#VALUE!")</f>
        <v>#VALUE!</v>
      </c>
      <c r="AJ176" s="3"/>
      <c r="AK176" s="3" t="str">
        <f ca="1">IFERROR(__xludf.DUMMYFUNCTION("GOOGLETRANSLATE(AL176,""en"",""ta"")"),"#VALUE!")</f>
        <v>#VALUE!</v>
      </c>
      <c r="AL176" s="3"/>
      <c r="AM176" s="3" t="str">
        <f ca="1">IFERROR(__xludf.DUMMYFUNCTION("GOOGLETRANSLATE(AN176,""en"",""ta"")"),"#VALUE!")</f>
        <v>#VALUE!</v>
      </c>
      <c r="AN176" s="3"/>
      <c r="AO176" s="3" t="str">
        <f ca="1">IFERROR(__xludf.DUMMYFUNCTION("GOOGLETRANSLATE(AP176,""en"",""ta"")"),"#VALUE!")</f>
        <v>#VALUE!</v>
      </c>
      <c r="AP176" s="3"/>
      <c r="AQ176" s="3"/>
      <c r="AR176" s="3" t="str">
        <f ca="1">IFERROR(__xludf.DUMMYFUNCTION("GOOGLETRANSLATE(AS176,""en"",""ta"")"),"ஊட்டச்சத்து, மலமிளக்கி, சிறுநீர் பெருக்கி.")</f>
        <v>ஊட்டச்சத்து, மலமிளக்கி, சிறுநீர் பெருக்கி.</v>
      </c>
      <c r="AS176" s="4" t="s">
        <v>2185</v>
      </c>
      <c r="AT176" s="3" t="str">
        <f ca="1">IFERROR(__xludf.DUMMYFUNCTION("GOOGLETRANSLATE(AU176,""en"",""ta"")"),"சைக்ளோஆர்டெனால் அசிடேட், ஸ்பைனாஸ்டெரால், பால்மிடிக், ஸ்டீரிக், ஒலிக் அமிலங்கள், சைட்டோஸ்டெரால் மற்றும் ஸ்டிக்மாஸ்டாரியன்-3-ஓல்.")</f>
        <v>சைக்ளோஆர்டெனால் அசிடேட், ஸ்பைனாஸ்டெரால், பால்மிடிக், ஸ்டீரிக், ஒலிக் அமிலங்கள், சைட்டோஸ்டெரால் மற்றும் ஸ்டிக்மாஸ்டாரியன்-3-ஓல்.</v>
      </c>
      <c r="AU176" s="4" t="s">
        <v>2186</v>
      </c>
      <c r="AV176" s="3"/>
      <c r="AW176" s="3" t="str">
        <f ca="1">IFERROR(__xludf.DUMMYFUNCTION("GOOGLETRANSLATE(AX176,""en"",""ta"")"),"i) இலைகளை வேகவைத்து, சீரகப் பொடியுடன் கலந்து தொண்டைப் பிரச்சினைகளுக்கு உள்ளுக்குக் கொடுக்கப்படுகிறது.
ii) இந்தப் பழம் உண்ணக்கூடியது மற்றும் சிறந்த டையூரிடிக் ஆகும்.")</f>
        <v>i) இலைகளை வேகவைத்து, சீரகப் பொடியுடன் கலந்து தொண்டைப் பிரச்சினைகளுக்கு உள்ளுக்குக் கொடுக்கப்படுகிறது.
ii) இந்தப் பழம் உண்ணக்கூடியது மற்றும் சிறந்த டையூரிடிக் ஆகும்.</v>
      </c>
      <c r="AX176" s="4" t="s">
        <v>2562</v>
      </c>
      <c r="AY176" s="3"/>
      <c r="AZ176" s="3"/>
      <c r="BA176" s="3"/>
      <c r="BB176" s="3"/>
      <c r="BC176" s="3"/>
      <c r="BD176" s="3"/>
      <c r="BE176" s="3"/>
      <c r="BF176" s="3"/>
    </row>
    <row r="177" spans="1:58" ht="28" x14ac:dyDescent="0.15">
      <c r="A177" s="3">
        <v>176</v>
      </c>
      <c r="B177" s="3" t="str">
        <f ca="1">IFERROR(__xludf.DUMMYFUNCTION("GOOGLETRANSLATE(C177,""en"",""ta"")"),"குக்குர்பிட்டா மாக்ஸிமா")</f>
        <v>குக்குர்பிட்டா மாக்ஸிமா</v>
      </c>
      <c r="C177" s="4" t="s">
        <v>2188</v>
      </c>
      <c r="D177" s="3" t="str">
        <f ca="1">IFERROR(__xludf.DUMMYFUNCTION("GOOGLETRANSLATE(E177,""en"",""ta"")"),"தாதி பலா")</f>
        <v>தாதி பலா</v>
      </c>
      <c r="E177" s="4" t="s">
        <v>2189</v>
      </c>
      <c r="F177" s="3" t="str">
        <f ca="1">IFERROR(__xludf.DUMMYFUNCTION("GOOGLETRANSLATE(G177,""en"",""ta"")"),": பரங்கி கை")</f>
        <v>: பரங்கி கை</v>
      </c>
      <c r="G177" s="4" t="s">
        <v>2190</v>
      </c>
      <c r="H177" s="3" t="str">
        <f ca="1">IFERROR(__xludf.DUMMYFUNCTION("GOOGLETRANSLATE(I177,""en"",""ta"")"),"பூசணிக்காய்")</f>
        <v>பூசணிக்காய்</v>
      </c>
      <c r="I177" s="4" t="s">
        <v>2191</v>
      </c>
      <c r="J177" s="3" t="str">
        <f ca="1">IFERROR(__xludf.DUMMYFUNCTION("GOOGLETRANSLATE(K177,""en"",""ta"")"),"கும்மாடி காய்")</f>
        <v>கும்மாடி காய்</v>
      </c>
      <c r="K177" s="4" t="s">
        <v>2192</v>
      </c>
      <c r="L177" s="3" t="str">
        <f ca="1">IFERROR(__xludf.DUMMYFUNCTION("GOOGLETRANSLATE(M177,""en"",""ta"")"),"சக்கர கும்பலன்")</f>
        <v>சக்கர கும்பலன்</v>
      </c>
      <c r="M177" s="4" t="s">
        <v>2193</v>
      </c>
      <c r="N177" s="3" t="str">
        <f ca="1">IFERROR(__xludf.DUMMYFUNCTION("GOOGLETRANSLATE(O177,""en"",""ta"")"),"காசி பலா")</f>
        <v>காசி பலா</v>
      </c>
      <c r="O177" s="4" t="s">
        <v>2194</v>
      </c>
      <c r="P177" s="3"/>
      <c r="Q177" s="3" t="str">
        <f ca="1">IFERROR(__xludf.DUMMYFUNCTION("GOOGLETRANSLATE(R177,""en"",""ta"")"),"இளம்பருவ தண்டு மற்றும் இலைகளைக் கொண்ட ஒரு பெரிய கொடி. இலைகள் உள்ளங்கை வடிவான, இலைக்காம்பு வடிவ மற்றும் ரோமங்களுடன் கூடியவை. பூக்கள் ஒற்றை நிறத்தில் மற்றும் மஞ்சள் நிறத்தில் இருக்கும். பழங்கள் பெரிய வரிசையான பெர்ரி மேலிருந்து கீழாக சுருக்கப்பட்டிருக்கும்.")</f>
        <v>இளம்பருவ தண்டு மற்றும் இலைகளைக் கொண்ட ஒரு பெரிய கொடி. இலைகள் உள்ளங்கை வடிவான, இலைக்காம்பு வடிவ மற்றும் ரோமங்களுடன் கூடியவை. பூக்கள் ஒற்றை நிறத்தில் மற்றும் மஞ்சள் நிறத்தில் இருக்கும். பழங்கள் பெரிய வரிசையான பெர்ரி மேலிருந்து கீழாக சுருக்கப்பட்டிருக்கும்.</v>
      </c>
      <c r="R177" s="4" t="s">
        <v>2195</v>
      </c>
      <c r="S177" s="3" t="str">
        <f ca="1">IFERROR(__xludf.DUMMYFUNCTION("GOOGLETRANSLATE(T177,""en"",""ta"")"),"#VALUE!")</f>
        <v>#VALUE!</v>
      </c>
      <c r="T177" s="3"/>
      <c r="U177" s="3" t="str">
        <f ca="1">IFERROR(__xludf.DUMMYFUNCTION("GOOGLETRANSLATE(V177,""en"",""ta"")"),"நாடாப்புழு தொல்லை.")</f>
        <v>நாடாப்புழு தொல்லை.</v>
      </c>
      <c r="V177" s="4" t="s">
        <v>2196</v>
      </c>
      <c r="W177" s="3" t="str">
        <f ca="1">IFERROR(__xludf.DUMMYFUNCTION("GOOGLETRANSLATE(X177,""en"",""ta"")"),"#VALUE!")</f>
        <v>#VALUE!</v>
      </c>
      <c r="X177" s="3"/>
      <c r="Y177" s="3" t="str">
        <f ca="1">IFERROR(__xludf.DUMMYFUNCTION("GOOGLETRANSLATE(Z177,""en"",""ta"")"),"#VALUE!")</f>
        <v>#VALUE!</v>
      </c>
      <c r="Z177" s="3"/>
      <c r="AA177" s="3" t="str">
        <f ca="1">IFERROR(__xludf.DUMMYFUNCTION("GOOGLETRANSLATE(AB177,""en"",""ta"")"),"#VALUE!")</f>
        <v>#VALUE!</v>
      </c>
      <c r="AB177" s="3"/>
      <c r="AC177" s="3" t="str">
        <f ca="1">IFERROR(__xludf.DUMMYFUNCTION("GOOGLETRANSLATE(AD177,""en"",""ta"")"),"#VALUE!")</f>
        <v>#VALUE!</v>
      </c>
      <c r="AD177" s="3"/>
      <c r="AE177" s="3" t="str">
        <f ca="1">IFERROR(__xludf.DUMMYFUNCTION("GOOGLETRANSLATE(AF177,""en"",""ta"")"),"#VALUE!")</f>
        <v>#VALUE!</v>
      </c>
      <c r="AF177" s="3"/>
      <c r="AG177" s="3" t="str">
        <f ca="1">IFERROR(__xludf.DUMMYFUNCTION("GOOGLETRANSLATE(AH177,""en"",""ta"")"),"#VALUE!")</f>
        <v>#VALUE!</v>
      </c>
      <c r="AH177" s="3"/>
      <c r="AI177" s="3" t="str">
        <f ca="1">IFERROR(__xludf.DUMMYFUNCTION("GOOGLETRANSLATE(AJ177,""en"",""ta"")"),"#VALUE!")</f>
        <v>#VALUE!</v>
      </c>
      <c r="AJ177" s="3"/>
      <c r="AK177" s="3" t="str">
        <f ca="1">IFERROR(__xludf.DUMMYFUNCTION("GOOGLETRANSLATE(AL177,""en"",""ta"")"),"#VALUE!")</f>
        <v>#VALUE!</v>
      </c>
      <c r="AL177" s="4"/>
      <c r="AM177" s="3" t="str">
        <f ca="1">IFERROR(__xludf.DUMMYFUNCTION("GOOGLETRANSLATE(AN177,""en"",""ta"")"),"#VALUE!")</f>
        <v>#VALUE!</v>
      </c>
      <c r="AN177" s="3"/>
      <c r="AO177" s="3" t="str">
        <f ca="1">IFERROR(__xludf.DUMMYFUNCTION("GOOGLETRANSLATE(AP177,""en"",""ta"")"),"#VALUE!")</f>
        <v>#VALUE!</v>
      </c>
      <c r="AP177" s="3"/>
      <c r="AQ177" s="3"/>
      <c r="AR177" s="3" t="str">
        <f ca="1">IFERROR(__xludf.DUMMYFUNCTION("GOOGLETRANSLATE(AS177,""en"",""ta"")"),"#VALUE!")</f>
        <v>#VALUE!</v>
      </c>
      <c r="AS177" s="4"/>
      <c r="AT177" s="3" t="str">
        <f ca="1">IFERROR(__xludf.DUMMYFUNCTION("GOOGLETRANSLATE(AU177,""en"",""ta"")"),"#VALUE!")</f>
        <v>#VALUE!</v>
      </c>
      <c r="AU177" s="4"/>
      <c r="AV177" s="3"/>
      <c r="AW177" s="3" t="str">
        <f ca="1">IFERROR(__xludf.DUMMYFUNCTION("GOOGLETRANSLATE(AX177,""en"",""ta"")"),"i) படுக்கை நேரத்தில் விதைப் பொடியை சர்க்கரையுடன் சேர்த்துக் கொடுக்கவும், மறுநாள் காலையில் ஒரு டோஸ் ஆமணக்கு எண்ணெய் கலந்து கொடுக்கவும், நாடாப்புழுக்கள் நீங்கும். 
ii) பழத்தின் உலர்ந்த கூழ் இரத்தப்போக்கு மற்றும் நுரையீரல் உறுப்புகளில் ஏற்படும் இரத்தக்கசிவுக"&amp;"்கு ஒரு தீர்வாகும்.
")</f>
        <v xml:space="preserve">i) படுக்கை நேரத்தில் விதைப் பொடியை சர்க்கரையுடன் சேர்த்துக் கொடுக்கவும், மறுநாள் காலையில் ஒரு டோஸ் ஆமணக்கு எண்ணெய் கலந்து கொடுக்கவும், நாடாப்புழுக்கள் நீங்கும். 
ii) பழத்தின் உலர்ந்த கூழ் இரத்தப்போக்கு மற்றும் நுரையீரல் உறுப்புகளில் ஏற்படும் இரத்தக்கசிவுக்கு ஒரு தீர்வாகும்.
</v>
      </c>
      <c r="AX177" s="4" t="s">
        <v>2563</v>
      </c>
      <c r="AY177" s="3"/>
      <c r="AZ177" s="3"/>
      <c r="BA177" s="3"/>
      <c r="BB177" s="3"/>
      <c r="BC177" s="3"/>
      <c r="BD177" s="3"/>
      <c r="BE177" s="3"/>
      <c r="BF177" s="3"/>
    </row>
    <row r="178" spans="1:58" ht="70" x14ac:dyDescent="0.15">
      <c r="A178" s="3">
        <v>177</v>
      </c>
      <c r="B178" s="3" t="str">
        <f ca="1">IFERROR(__xludf.DUMMYFUNCTION("GOOGLETRANSLATE(C178,""en"",""ta"")"),"சீரகம் சைமினம்")</f>
        <v>சீரகம் சைமினம்</v>
      </c>
      <c r="C178" s="4" t="s">
        <v>2198</v>
      </c>
      <c r="D178" s="3" t="str">
        <f ca="1">IFERROR(__xludf.DUMMYFUNCTION("GOOGLETRANSLATE(E178,""en"",""ta"")"),"ஜீரக")</f>
        <v>ஜீரக</v>
      </c>
      <c r="E178" s="4" t="s">
        <v>2199</v>
      </c>
      <c r="F178" s="3" t="str">
        <f ca="1">IFERROR(__xludf.DUMMYFUNCTION("GOOGLETRANSLATE(G178,""en"",""ta"")"),"ஜீரக")</f>
        <v>ஜீரக</v>
      </c>
      <c r="G178" s="4" t="s">
        <v>2199</v>
      </c>
      <c r="H178" s="3" t="str">
        <f ca="1">IFERROR(__xludf.DUMMYFUNCTION("GOOGLETRANSLATE(I178,""en"",""ta"")"),"சீரகம் விதைகள்")</f>
        <v>சீரகம் விதைகள்</v>
      </c>
      <c r="I178" s="4" t="s">
        <v>2200</v>
      </c>
      <c r="J178" s="3" t="str">
        <f ca="1">IFERROR(__xludf.DUMMYFUNCTION("GOOGLETRANSLATE(K178,""en"",""ta"")"),"ஜீலா-கரா")</f>
        <v>ஜீலா-கரா</v>
      </c>
      <c r="K178" s="4" t="s">
        <v>2201</v>
      </c>
      <c r="L178" s="3" t="str">
        <f ca="1">IFERROR(__xludf.DUMMYFUNCTION("GOOGLETRANSLATE(M178,""en"",""ta"")"),"ஜீரகம்")</f>
        <v>ஜீரகம்</v>
      </c>
      <c r="M178" s="4" t="s">
        <v>2202</v>
      </c>
      <c r="N178" s="3" t="str">
        <f ca="1">IFERROR(__xludf.DUMMYFUNCTION("GOOGLETRANSLATE(O178,""en"",""ta"")"),"ஜீரா")</f>
        <v>ஜீரா</v>
      </c>
      <c r="O178" s="4" t="s">
        <v>2203</v>
      </c>
      <c r="P178" s="3"/>
      <c r="Q178" s="3" t="str">
        <f ca="1">IFERROR(__xludf.DUMMYFUNCTION("GOOGLETRANSLATE(R178,""en"",""ta"")"),"ஒரு சிறிய நறுமண மூலிகை. இலைகள் சிறியதாகவும், நுண்ணியதாகவும், நேரியல் வடிவமாகவும் இருக்கும். மலர்கள் இலைக்கோணங்களில் அல்லது முனை அம்பல்களில், வெள்ளை நிறத்தில் இருக்கும். பழங்கள் உருளை வடிவமாகவும், சாம்பல் நிறமாகவும் இருக்கும்.")</f>
        <v>ஒரு சிறிய நறுமண மூலிகை. இலைகள் சிறியதாகவும், நுண்ணியதாகவும், நேரியல் வடிவமாகவும் இருக்கும். மலர்கள் இலைக்கோணங்களில் அல்லது முனை அம்பல்களில், வெள்ளை நிறத்தில் இருக்கும். பழங்கள் உருளை வடிவமாகவும், சாம்பல் நிறமாகவும் இருக்கும்.</v>
      </c>
      <c r="R178" s="4" t="s">
        <v>2204</v>
      </c>
      <c r="S178" s="3" t="str">
        <f ca="1">IFERROR(__xludf.DUMMYFUNCTION("GOOGLETRANSLATE(T178,""en"",""ta"")"),"#VALUE!")</f>
        <v>#VALUE!</v>
      </c>
      <c r="T178" s="3"/>
      <c r="U178" s="3" t="str">
        <f ca="1">IFERROR(__xludf.DUMMYFUNCTION("GOOGLETRANSLATE(V178,""en"",""ta"")"),"குரல் கரகரப்பு, வயிற்றுப்போக்கு, நாள்பட்ட வயிற்றுப்போக்கு, தேள் கொட்டுதல், கர்ப்ப காலத்தில் பித்த குமட்டல், விக்கல் மற்றும் பசியின்மை.")</f>
        <v>குரல் கரகரப்பு, வயிற்றுப்போக்கு, நாள்பட்ட வயிற்றுப்போக்கு, தேள் கொட்டுதல், கர்ப்ப காலத்தில் பித்த குமட்டல், விக்கல் மற்றும் பசியின்மை.</v>
      </c>
      <c r="V178" s="4" t="s">
        <v>2205</v>
      </c>
      <c r="W178" s="3" t="str">
        <f ca="1">IFERROR(__xludf.DUMMYFUNCTION("GOOGLETRANSLATE(X178,""en"",""ta"")"),"#VALUE!")</f>
        <v>#VALUE!</v>
      </c>
      <c r="X178" s="3"/>
      <c r="Y178" s="3" t="str">
        <f ca="1">IFERROR(__xludf.DUMMYFUNCTION("GOOGLETRANSLATE(Z178,""en"",""ta"")"),"#VALUE!")</f>
        <v>#VALUE!</v>
      </c>
      <c r="Z178" s="3"/>
      <c r="AA178" s="3" t="str">
        <f ca="1">IFERROR(__xludf.DUMMYFUNCTION("GOOGLETRANSLATE(AB178,""en"",""ta"")"),"#VALUE!")</f>
        <v>#VALUE!</v>
      </c>
      <c r="AB178" s="3"/>
      <c r="AC178" s="3" t="str">
        <f ca="1">IFERROR(__xludf.DUMMYFUNCTION("GOOGLETRANSLATE(AD178,""en"",""ta"")"),"#VALUE!")</f>
        <v>#VALUE!</v>
      </c>
      <c r="AD178" s="3"/>
      <c r="AE178" s="3" t="str">
        <f ca="1">IFERROR(__xludf.DUMMYFUNCTION("GOOGLETRANSLATE(AF178,""en"",""ta"")"),"#VALUE!")</f>
        <v>#VALUE!</v>
      </c>
      <c r="AF178" s="3"/>
      <c r="AG178" s="3" t="str">
        <f ca="1">IFERROR(__xludf.DUMMYFUNCTION("GOOGLETRANSLATE(AH178,""en"",""ta"")"),"#VALUE!")</f>
        <v>#VALUE!</v>
      </c>
      <c r="AH178" s="3"/>
      <c r="AI178" s="3" t="str">
        <f ca="1">IFERROR(__xludf.DUMMYFUNCTION("GOOGLETRANSLATE(AJ178,""en"",""ta"")"),"#VALUE!")</f>
        <v>#VALUE!</v>
      </c>
      <c r="AJ178" s="3"/>
      <c r="AK178" s="3" t="str">
        <f ca="1">IFERROR(__xludf.DUMMYFUNCTION("GOOGLETRANSLATE(AL178,""en"",""ta"")"),"கோனோரியா மற்றும் அதிக நிற சிறுநீர்.")</f>
        <v>கோனோரியா மற்றும் அதிக நிற சிறுநீர்.</v>
      </c>
      <c r="AL178" s="4" t="s">
        <v>2206</v>
      </c>
      <c r="AM178" s="3" t="str">
        <f ca="1">IFERROR(__xludf.DUMMYFUNCTION("GOOGLETRANSLATE(AN178,""en"",""ta"")"),"விஷப் பூச்சிகளின் கடி.")</f>
        <v>விஷப் பூச்சிகளின் கடி.</v>
      </c>
      <c r="AN178" s="4" t="s">
        <v>2207</v>
      </c>
      <c r="AO178" s="3" t="str">
        <f ca="1">IFERROR(__xludf.DUMMYFUNCTION("GOOGLETRANSLATE(AP178,""en"",""ta"")"),"#VALUE!")</f>
        <v>#VALUE!</v>
      </c>
      <c r="AP178" s="3"/>
      <c r="AQ178" s="3"/>
      <c r="AR178" s="3" t="str">
        <f ca="1">IFERROR(__xludf.DUMMYFUNCTION("GOOGLETRANSLATE(AS178,""en"",""ta"")"),"கார்மினேட்டிவ், நறுமணப் பொருள், வயிற்றுப் போக்கைத் தூண்டும் பொருள், குளிர்ச்சியூட்டும் பொருள் மற்றும் துவர்ப்பு மருந்து.")</f>
        <v>கார்மினேட்டிவ், நறுமணப் பொருள், வயிற்றுப் போக்கைத் தூண்டும் பொருள், குளிர்ச்சியூட்டும் பொருள் மற்றும் துவர்ப்பு மருந்து.</v>
      </c>
      <c r="AS178" s="4" t="s">
        <v>2208</v>
      </c>
      <c r="AT178" s="3" t="str">
        <f ca="1">IFERROR(__xludf.DUMMYFUNCTION("GOOGLETRANSLATE(AU178,""en"",""ta"")"),"குமினோல், சைமீன், நடுநிலை லிப்பிடுகள், அபிஜெனின் 7-ஓ-குளுக்கோசைடு, பாஸ்போலிப்பிட், லுடியோலின்-7-ஓ குளுக்கோசைடு, கிளைகோலிப்பிட் மற்றும் ட்ரைகிளிசரைடுகள்.")</f>
        <v>குமினோல், சைமீன், நடுநிலை லிப்பிடுகள், அபிஜெனின் 7-ஓ-குளுக்கோசைடு, பாஸ்போலிப்பிட், லுடியோலின்-7-ஓ குளுக்கோசைடு, கிளைகோலிப்பிட் மற்றும் ட்ரைகிளிசரைடுகள்.</v>
      </c>
      <c r="AU178" s="4" t="s">
        <v>2209</v>
      </c>
      <c r="AV178" s="3"/>
      <c r="AW178" s="3" t="str">
        <f ca="1">IFERROR(__xludf.DUMMYFUNCTION("GOOGLETRANSLATE(AX178,""en"",""ta"")"),"கர்ப்பிணிப் பெண்களுக்கு பித்த குமட்டல் ஏற்பட்டால் எலுமிச்சை சாறுடன் விதைகள் கலக்கப்படுகின்றன. விதைகளின் கஷாயம் உட்புறமாக எடுத்துக்கொள்ளப்படுகிறது 
அஜீரணம், வாந்தி மற்றும் வாய்வு.")</f>
        <v>கர்ப்பிணிப் பெண்களுக்கு பித்த குமட்டல் ஏற்பட்டால் எலுமிச்சை சாறுடன் விதைகள் கலக்கப்படுகின்றன. விதைகளின் கஷாயம் உட்புறமாக எடுத்துக்கொள்ளப்படுகிறது 
அஜீரணம், வாந்தி மற்றும் வாய்வு.</v>
      </c>
      <c r="AX178" s="3" t="s">
        <v>2210</v>
      </c>
      <c r="AY178" s="3"/>
      <c r="AZ178" s="3"/>
      <c r="BA178" s="3"/>
      <c r="BB178" s="3"/>
      <c r="BC178" s="3"/>
      <c r="BD178" s="3"/>
      <c r="BE178" s="3"/>
      <c r="BF178" s="3"/>
    </row>
    <row r="179" spans="1:58" ht="70" x14ac:dyDescent="0.15">
      <c r="A179" s="3">
        <v>178</v>
      </c>
      <c r="B179" s="3" t="str">
        <f ca="1">IFERROR(__xludf.DUMMYFUNCTION("GOOGLETRANSLATE(C179,""en"",""ta"")"),"குர்குலிகோ ஆர்க்கியாய்டுகள்")</f>
        <v>குர்குலிகோ ஆர்க்கியாய்டுகள்</v>
      </c>
      <c r="C179" s="4" t="s">
        <v>2211</v>
      </c>
      <c r="D179" s="3" t="str">
        <f ca="1">IFERROR(__xludf.DUMMYFUNCTION("GOOGLETRANSLATE(E179,""en"",""ta"")"),"முசாலி")</f>
        <v>முசாலி</v>
      </c>
      <c r="E179" s="3" t="s">
        <v>2212</v>
      </c>
      <c r="F179" s="3" t="str">
        <f ca="1">IFERROR(__xludf.DUMMYFUNCTION("GOOGLETRANSLATE(G179,""en"",""ta"")"),"நிலா பானை கிழங்கு")</f>
        <v>நிலா பானை கிழங்கு</v>
      </c>
      <c r="G179" s="4" t="s">
        <v>2213</v>
      </c>
      <c r="H179" s="3" t="str">
        <f ca="1">IFERROR(__xludf.DUMMYFUNCTION("GOOGLETRANSLATE(I179,""en"",""ta"")"),"கருப்பு முசாலி")</f>
        <v>கருப்பு முசாலி</v>
      </c>
      <c r="I179" s="4" t="s">
        <v>2214</v>
      </c>
      <c r="J179" s="3" t="str">
        <f ca="1">IFERROR(__xludf.DUMMYFUNCTION("GOOGLETRANSLATE(K179,""en"",""ta"")"),"நாலாதடி சேட்டு")</f>
        <v>நாலாதடி சேட்டு</v>
      </c>
      <c r="K179" s="4" t="s">
        <v>2215</v>
      </c>
      <c r="L179" s="3" t="str">
        <f ca="1">IFERROR(__xludf.DUMMYFUNCTION("GOOGLETRANSLATE(M179,""en"",""ta"")"),"நீல பாணன் கிழங்கு")</f>
        <v>நீல பாணன் கிழங்கு</v>
      </c>
      <c r="M179" s="4" t="s">
        <v>2216</v>
      </c>
      <c r="N179" s="3" t="str">
        <f ca="1">IFERROR(__xludf.DUMMYFUNCTION("GOOGLETRANSLATE(O179,""en"",""ta"")"),"முசாலி காண்ட்")</f>
        <v>முசாலி காண்ட்</v>
      </c>
      <c r="O179" s="4" t="s">
        <v>2217</v>
      </c>
      <c r="P179" s="3"/>
      <c r="Q179" s="3" t="str">
        <f ca="1">IFERROR(__xludf.DUMMYFUNCTION("GOOGLETRANSLATE(R179,""en"",""ta"")"),"வற்றாத மூலிகைகள், வேர் தண்டு தடித்த அல்லது நீள்வட்டமானது, உருளை மற்றும் சதைப்பற்றுள்ளவை. இலையின் அடிப்பகுதி காம்பற்றது அல்லது குறுகிய அல்லது நீண்ட இலைக்காம்புகளாக குறுகலாக, நேரியல், ஈட்டி வடிவானது, சவ்வு மற்றும் இரட்டை. மலர்கள் சிறிய ரேசீமில் பிரகாசமான மஞ"&amp;"்சள் நிறத்தில் இருக்கும். பழங்கள் காப்ஸ்யூல், நீள்வட்ட மற்றும் ரோமங்கள் கொண்டவை. விதைகள் முட்டை வடிவானது.")</f>
        <v>வற்றாத மூலிகைகள், வேர் தண்டு தடித்த அல்லது நீள்வட்டமானது, உருளை மற்றும் சதைப்பற்றுள்ளவை. இலையின் அடிப்பகுதி காம்பற்றது அல்லது குறுகிய அல்லது நீண்ட இலைக்காம்புகளாக குறுகலாக, நேரியல், ஈட்டி வடிவானது, சவ்வு மற்றும் இரட்டை. மலர்கள் சிறிய ரேசீமில் பிரகாசமான மஞ்சள் நிறத்தில் இருக்கும். பழங்கள் காப்ஸ்யூல், நீள்வட்ட மற்றும் ரோமங்கள் கொண்டவை. விதைகள் முட்டை வடிவானது.</v>
      </c>
      <c r="R179" s="4" t="s">
        <v>2218</v>
      </c>
      <c r="S179" s="3" t="str">
        <f ca="1">IFERROR(__xludf.DUMMYFUNCTION("GOOGLETRANSLATE(T179,""en"",""ta"")"),"#VALUE!")</f>
        <v>#VALUE!</v>
      </c>
      <c r="T179" s="3"/>
      <c r="U179" s="3" t="str">
        <f ca="1">IFERROR(__xludf.DUMMYFUNCTION("GOOGLETRANSLATE(V179,""en"",""ta"")"),"#VALUE!")</f>
        <v>#VALUE!</v>
      </c>
      <c r="V179" s="3"/>
      <c r="W179" s="3" t="str">
        <f ca="1">IFERROR(__xludf.DUMMYFUNCTION("GOOGLETRANSLATE(X179,""en"",""ta"")"),"#VALUE!")</f>
        <v>#VALUE!</v>
      </c>
      <c r="X179" s="3"/>
      <c r="Y179" s="3" t="str">
        <f ca="1">IFERROR(__xludf.DUMMYFUNCTION("GOOGLETRANSLATE(Z179,""en"",""ta"")"),"#VALUE!")</f>
        <v>#VALUE!</v>
      </c>
      <c r="Z179" s="3"/>
      <c r="AA179" s="3" t="str">
        <f ca="1">IFERROR(__xludf.DUMMYFUNCTION("GOOGLETRANSLATE(AB179,""en"",""ta"")"),"#VALUE!")</f>
        <v>#VALUE!</v>
      </c>
      <c r="AB179" s="3"/>
      <c r="AC179" s="3" t="str">
        <f ca="1">IFERROR(__xludf.DUMMYFUNCTION("GOOGLETRANSLATE(AD179,""en"",""ta"")"),"#VALUE!")</f>
        <v>#VALUE!</v>
      </c>
      <c r="AD179" s="3"/>
      <c r="AE179" s="3" t="str">
        <f ca="1">IFERROR(__xludf.DUMMYFUNCTION("GOOGLETRANSLATE(AF179,""en"",""ta"")"),"#VALUE!")</f>
        <v>#VALUE!</v>
      </c>
      <c r="AF179" s="3"/>
      <c r="AG179" s="3" t="str">
        <f ca="1">IFERROR(__xludf.DUMMYFUNCTION("GOOGLETRANSLATE(AH179,""en"",""ta"")"),"#VALUE!")</f>
        <v>#VALUE!</v>
      </c>
      <c r="AH179" s="3"/>
      <c r="AI179" s="3" t="str">
        <f ca="1">IFERROR(__xludf.DUMMYFUNCTION("GOOGLETRANSLATE(AJ179,""en"",""ta"")"),"#VALUE!")</f>
        <v>#VALUE!</v>
      </c>
      <c r="AJ179" s="3"/>
      <c r="AK179" s="3" t="str">
        <f ca="1">IFERROR(__xludf.DUMMYFUNCTION("GOOGLETRANSLATE(AL179,""en"",""ta"")"),"#VALUE!")</f>
        <v>#VALUE!</v>
      </c>
      <c r="AL179" s="3"/>
      <c r="AM179" s="3" t="str">
        <f ca="1">IFERROR(__xludf.DUMMYFUNCTION("GOOGLETRANSLATE(AN179,""en"",""ta"")"),"#VALUE!")</f>
        <v>#VALUE!</v>
      </c>
      <c r="AN179" s="3"/>
      <c r="AO179" s="3" t="str">
        <f ca="1">IFERROR(__xludf.DUMMYFUNCTION("GOOGLETRANSLATE(AP179,""en"",""ta"")"),"#VALUE!")</f>
        <v>#VALUE!</v>
      </c>
      <c r="AP179" s="3"/>
      <c r="AQ179" s="3"/>
      <c r="AR179" s="3" t="str">
        <f ca="1">IFERROR(__xludf.DUMMYFUNCTION("GOOGLETRANSLATE(AS179,""en"",""ta"")"),"மென்மையாக்கும் மருந்து, நீர் நீக்கும் மருந்து, சிறுநீர் பெருக்கி, பசியைத் தூண்டும் மருந்து, பாலுணர்வூக்கி, பியூரேட்டிவ், காய்ச்சலடக்கும் மருந்து மற்றும் டானிக்.")</f>
        <v>மென்மையாக்கும் மருந்து, நீர் நீக்கும் மருந்து, சிறுநீர் பெருக்கி, பசியைத் தூண்டும் மருந்து, பாலுணர்வூக்கி, பியூரேட்டிவ், காய்ச்சலடக்கும் மருந்து மற்றும் டானிக்.</v>
      </c>
      <c r="AS179" s="4" t="s">
        <v>2219</v>
      </c>
      <c r="AT179" s="3" t="str">
        <f ca="1">IFERROR(__xludf.DUMMYFUNCTION("GOOGLETRANSLATE(AU179,""en"",""ta"")"),"லைகோரின், யூக்கஜெனின், குர்குலிகோசபோனின், சபோனின், பீனாலிக் கிளைகோசைடுகள், ட்ரைடர்பீன்ஸ், ஹென்ட்ரியாகோன்டனால் மற்றும் சைக்ளோஆர்டினோல்.")</f>
        <v>லைகோரின், யூக்கஜெனின், குர்குலிகோசபோனின், சபோனின், பீனாலிக் கிளைகோசைடுகள், ட்ரைடர்பீன்ஸ், ஹென்ட்ரியாகோன்டனால் மற்றும் சைக்ளோஆர்டினோல்.</v>
      </c>
      <c r="AU179" s="4" t="s">
        <v>2220</v>
      </c>
      <c r="AV179" s="3"/>
      <c r="AW179" s="3" t="str">
        <f ca="1">IFERROR(__xludf.DUMMYFUNCTION("GOOGLETRANSLATE(AX179,""en"",""ta"")"),"கோனோரியா, மெனோராஜியா மற்றும் வெள்ளையணுக் கோளாறுகளுக்கு வேர் விழுதை சூடான பாலுடன் சேர்த்துக் கொடுக்கலாம். வேர்ப் பொடியை சர்க்கரை மற்றும் பாலுடன் சேர்த்து உட்கொண்டால் மூல நோய், ஆஸ்துமா, 
மஞ்சள் காமாலை மற்றும் வயிற்றுப்போக்கு குணமாகும்.")</f>
        <v>கோனோரியா, மெனோராஜியா மற்றும் வெள்ளையணுக் கோளாறுகளுக்கு வேர் விழுதை சூடான பாலுடன் சேர்த்துக் கொடுக்கலாம். வேர்ப் பொடியை சர்க்கரை மற்றும் பாலுடன் சேர்த்து உட்கொண்டால் மூல நோய், ஆஸ்துமா, 
மஞ்சள் காமாலை மற்றும் வயிற்றுப்போக்கு குணமாகும்.</v>
      </c>
      <c r="AX179" s="3" t="s">
        <v>2221</v>
      </c>
      <c r="AY179" s="3"/>
      <c r="AZ179" s="3"/>
      <c r="BA179" s="3"/>
      <c r="BB179" s="3"/>
      <c r="BC179" s="3"/>
      <c r="BD179" s="3"/>
      <c r="BE179" s="3"/>
      <c r="BF179" s="3"/>
    </row>
    <row r="180" spans="1:58" ht="28" x14ac:dyDescent="0.15">
      <c r="A180" s="3">
        <v>179</v>
      </c>
      <c r="B180" s="3" t="str">
        <f ca="1">IFERROR(__xludf.DUMMYFUNCTION("GOOGLETRANSLATE(C180,""en"",""ta"")"),"குர்குமா அமடா")</f>
        <v>குர்குமா அமடா</v>
      </c>
      <c r="C180" s="4" t="s">
        <v>2222</v>
      </c>
      <c r="D180" s="3" t="str">
        <f ca="1">IFERROR(__xludf.DUMMYFUNCTION("GOOGLETRANSLATE(E180,""en"",""ta"")"),"அம்ரார்த்ரகம்")</f>
        <v>அம்ரார்த்ரகம்</v>
      </c>
      <c r="E180" s="4" t="s">
        <v>2223</v>
      </c>
      <c r="F180" s="3" t="str">
        <f ca="1">IFERROR(__xludf.DUMMYFUNCTION("GOOGLETRANSLATE(G180,""en"",""ta"")"),"மாவாடு இஞ்சி")</f>
        <v>மாவாடு இஞ்சி</v>
      </c>
      <c r="G180" s="4" t="s">
        <v>2224</v>
      </c>
      <c r="H180" s="3" t="str">
        <f ca="1">IFERROR(__xludf.DUMMYFUNCTION("GOOGLETRANSLATE(I180,""en"",""ta"")"),"மாம்பழ இஞ்சி")</f>
        <v>மாம்பழ இஞ்சி</v>
      </c>
      <c r="I180" s="4" t="s">
        <v>2225</v>
      </c>
      <c r="J180" s="3" t="str">
        <f ca="1">IFERROR(__xludf.DUMMYFUNCTION("GOOGLETRANSLATE(K180,""en"",""ta"")"),"மாமிடி ஆலம்")</f>
        <v>மாமிடி ஆலம்</v>
      </c>
      <c r="K180" s="4" t="s">
        <v>2226</v>
      </c>
      <c r="L180" s="3" t="str">
        <f ca="1">IFERROR(__xludf.DUMMYFUNCTION("GOOGLETRANSLATE(M180,""en"",""ta"")"),"மங்கை இஞ்சி")</f>
        <v>மங்கை இஞ்சி</v>
      </c>
      <c r="M180" s="4" t="s">
        <v>2227</v>
      </c>
      <c r="N180" s="3" t="str">
        <f ca="1">IFERROR(__xludf.DUMMYFUNCTION("GOOGLETRANSLATE(O180,""en"",""ta"")"),"ஆம் ஹால்டி")</f>
        <v>ஆம் ஹால்டி</v>
      </c>
      <c r="O180" s="3" t="s">
        <v>2228</v>
      </c>
      <c r="P180" s="3"/>
      <c r="Q180" s="3" t="str">
        <f ca="1">IFERROR(__xludf.DUMMYFUNCTION("GOOGLETRANSLATE(R180,""en"",""ta"")"),"குமிழ் போன்ற, நறுமணமுள்ள மூலிகை, வேர் தண்டு வெளிர் மஞ்சள் நிறத்தில் இருக்கும். இலைகள் கொத்தாக, நீள்வட்ட வடிவத்திலிருந்து ஈட்டி வடிவமாகவும், இரு முனைகளிலும் குறுகலாகக் காணப்படும். பூக்கள் கூம்பு வடிவானவை. பழங்கள் கோள வடிவமானவை, 3 வால்வு கொண்ட காப்ஸ்யூல். வ"&amp;"ிதைகள் முட்டை வடிவானவை.")</f>
        <v>குமிழ் போன்ற, நறுமணமுள்ள மூலிகை, வேர் தண்டு வெளிர் மஞ்சள் நிறத்தில் இருக்கும். இலைகள் கொத்தாக, நீள்வட்ட வடிவத்திலிருந்து ஈட்டி வடிவமாகவும், இரு முனைகளிலும் குறுகலாகக் காணப்படும். பூக்கள் கூம்பு வடிவானவை. பழங்கள் கோள வடிவமானவை, 3 வால்வு கொண்ட காப்ஸ்யூல். விதைகள் முட்டை வடிவானவை.</v>
      </c>
      <c r="R180" s="4" t="s">
        <v>2229</v>
      </c>
      <c r="S180" s="3" t="str">
        <f ca="1">IFERROR(__xludf.DUMMYFUNCTION("GOOGLETRANSLATE(T180,""en"",""ta"")"),"#VALUE!")</f>
        <v>#VALUE!</v>
      </c>
      <c r="T180" s="3"/>
      <c r="U180" s="3" t="str">
        <f ca="1">IFERROR(__xludf.DUMMYFUNCTION("GOOGLETRANSLATE(V180,""en"",""ta"")"),"#VALUE!")</f>
        <v>#VALUE!</v>
      </c>
      <c r="V180" s="3"/>
      <c r="W180" s="3" t="str">
        <f ca="1">IFERROR(__xludf.DUMMYFUNCTION("GOOGLETRANSLATE(X180,""en"",""ta"")"),"#VALUE!")</f>
        <v>#VALUE!</v>
      </c>
      <c r="X180" s="3"/>
      <c r="Y180" s="3" t="str">
        <f ca="1">IFERROR(__xludf.DUMMYFUNCTION("GOOGLETRANSLATE(Z180,""en"",""ta"")"),"#VALUE!")</f>
        <v>#VALUE!</v>
      </c>
      <c r="Z180" s="3"/>
      <c r="AA180" s="3" t="str">
        <f ca="1">IFERROR(__xludf.DUMMYFUNCTION("GOOGLETRANSLATE(AB180,""en"",""ta"")"),"#VALUE!")</f>
        <v>#VALUE!</v>
      </c>
      <c r="AB180" s="3"/>
      <c r="AC180" s="3" t="str">
        <f ca="1">IFERROR(__xludf.DUMMYFUNCTION("GOOGLETRANSLATE(AD180,""en"",""ta"")"),"#VALUE!")</f>
        <v>#VALUE!</v>
      </c>
      <c r="AD180" s="3"/>
      <c r="AE180" s="3" t="str">
        <f ca="1">IFERROR(__xludf.DUMMYFUNCTION("GOOGLETRANSLATE(AF180,""en"",""ta"")"),"#VALUE!")</f>
        <v>#VALUE!</v>
      </c>
      <c r="AF180" s="3"/>
      <c r="AG180" s="3" t="str">
        <f ca="1">IFERROR(__xludf.DUMMYFUNCTION("GOOGLETRANSLATE(AH180,""en"",""ta"")"),"#VALUE!")</f>
        <v>#VALUE!</v>
      </c>
      <c r="AH180" s="3"/>
      <c r="AI180" s="3" t="str">
        <f ca="1">IFERROR(__xludf.DUMMYFUNCTION("GOOGLETRANSLATE(AJ180,""en"",""ta"")"),"#VALUE!")</f>
        <v>#VALUE!</v>
      </c>
      <c r="AJ180" s="3"/>
      <c r="AK180" s="3" t="str">
        <f ca="1">IFERROR(__xludf.DUMMYFUNCTION("GOOGLETRANSLATE(AL180,""en"",""ta"")"),"#VALUE!")</f>
        <v>#VALUE!</v>
      </c>
      <c r="AL180" s="3"/>
      <c r="AM180" s="3" t="str">
        <f ca="1">IFERROR(__xludf.DUMMYFUNCTION("GOOGLETRANSLATE(AN180,""en"",""ta"")"),"#VALUE!")</f>
        <v>#VALUE!</v>
      </c>
      <c r="AN180" s="3"/>
      <c r="AO180" s="3" t="str">
        <f ca="1">IFERROR(__xludf.DUMMYFUNCTION("GOOGLETRANSLATE(AP180,""en"",""ta"")"),"#VALUE!")</f>
        <v>#VALUE!</v>
      </c>
      <c r="AP180" s="3"/>
      <c r="AQ180" s="3"/>
      <c r="AR180" s="3" t="str">
        <f ca="1">IFERROR(__xludf.DUMMYFUNCTION("GOOGLETRANSLATE(AS180,""en"",""ta"")"),"கார்மினேட்டிவ், கூலண்ட், நறுமணப் பொருள், கசப்பு, வயிற்றுப் பதார்த்தம் மற்றும் துவர்ப்பு மருந்து.")</f>
        <v>கார்மினேட்டிவ், கூலண்ட், நறுமணப் பொருள், கசப்பு, வயிற்றுப் பதார்த்தம் மற்றும் துவர்ப்பு மருந்து.</v>
      </c>
      <c r="AS180" s="4" t="s">
        <v>2230</v>
      </c>
      <c r="AT180" s="3" t="str">
        <f ca="1">IFERROR(__xludf.DUMMYFUNCTION("GOOGLETRANSLATE(AU180,""en"",""ta"")"),"குர்குமீன், ஏ-பினீன், கற்பூரம், பைட்டோஸ்டெரால் மற்றும் 1-ஏ-குர்குமின்")</f>
        <v>குர்குமீன், ஏ-பினீன், கற்பூரம், பைட்டோஸ்டெரால் மற்றும் 1-ஏ-குர்குமின்</v>
      </c>
      <c r="AU180" s="4" t="s">
        <v>2231</v>
      </c>
      <c r="AV180" s="3"/>
      <c r="AW180" s="3" t="str">
        <f ca="1">IFERROR(__xludf.DUMMYFUNCTION("GOOGLETRANSLATE(AX180,""en"",""ta"")"),"சீசல்பினியா பாண்டக் இலைச் சாற்றுடன் கிழங்குகளைத் தேய்த்து புழுக்களுக்குக் கொடுக்கப்படுகிறது. வேர்த்தண்டுக்கிழங்கின் பசை தோல் நோய்களுக்கு வெளிப்புறமாகப் பயன்படுத்தப்படுகிறது.")</f>
        <v>சீசல்பினியா பாண்டக் இலைச் சாற்றுடன் கிழங்குகளைத் தேய்த்து புழுக்களுக்குக் கொடுக்கப்படுகிறது. வேர்த்தண்டுக்கிழங்கின் பசை தோல் நோய்களுக்கு வெளிப்புறமாகப் பயன்படுத்தப்படுகிறது.</v>
      </c>
      <c r="AX180" s="4" t="s">
        <v>2232</v>
      </c>
      <c r="AY180" s="3"/>
      <c r="AZ180" s="3"/>
      <c r="BA180" s="3"/>
      <c r="BB180" s="3"/>
      <c r="BC180" s="3"/>
      <c r="BD180" s="3"/>
      <c r="BE180" s="3"/>
      <c r="BF180" s="3"/>
    </row>
    <row r="181" spans="1:58" ht="56" x14ac:dyDescent="0.15">
      <c r="A181" s="3">
        <v>180</v>
      </c>
      <c r="B181" s="3" t="str">
        <f ca="1">IFERROR(__xludf.DUMMYFUNCTION("GOOGLETRANSLATE(C181,""en"",""ta"")"),"குர்குமா அரோமாட்டிகா")</f>
        <v>குர்குமா அரோமாட்டிகா</v>
      </c>
      <c r="C181" s="4" t="s">
        <v>2233</v>
      </c>
      <c r="D181" s="3" t="str">
        <f ca="1">IFERROR(__xludf.DUMMYFUNCTION("GOOGLETRANSLATE(E181,""en"",""ta"")"),"வனஹரித்ரா")</f>
        <v>வனஹரித்ரா</v>
      </c>
      <c r="E181" s="4" t="s">
        <v>2234</v>
      </c>
      <c r="F181" s="3" t="str">
        <f ca="1">IFERROR(__xludf.DUMMYFUNCTION("GOOGLETRANSLATE(G181,""en"",""ta"")"),"கஸ்தூரி மஞ்சள்")</f>
        <v>கஸ்தூரி மஞ்சள்</v>
      </c>
      <c r="G181" s="4" t="s">
        <v>2235</v>
      </c>
      <c r="H181" s="3" t="str">
        <f ca="1">IFERROR(__xludf.DUMMYFUNCTION("GOOGLETRANSLATE(I181,""en"",""ta"")"),"காட்டு மஞ்சள்")</f>
        <v>காட்டு மஞ்சள்</v>
      </c>
      <c r="I181" s="4" t="s">
        <v>2236</v>
      </c>
      <c r="J181" s="3" t="str">
        <f ca="1">IFERROR(__xludf.DUMMYFUNCTION("GOOGLETRANSLATE(K181,""en"",""ta"")"),"கஸ்தூரி பசுபா")</f>
        <v>கஸ்தூரி பசுபா</v>
      </c>
      <c r="K181" s="4" t="s">
        <v>2237</v>
      </c>
      <c r="L181" s="3" t="str">
        <f ca="1">IFERROR(__xludf.DUMMYFUNCTION("GOOGLETRANSLATE(M181,""en"",""ta"")"),"காட்டு மஞ்சள்")</f>
        <v>காட்டு மஞ்சள்</v>
      </c>
      <c r="M181" s="4" t="s">
        <v>2238</v>
      </c>
      <c r="N181" s="3" t="str">
        <f ca="1">IFERROR(__xludf.DUMMYFUNCTION("GOOGLETRANSLATE(O181,""en"",""ta"")"),"ஜங்லி ஹால்டி")</f>
        <v>ஜங்லி ஹால்டி</v>
      </c>
      <c r="O181" s="4" t="s">
        <v>2239</v>
      </c>
      <c r="P181" s="3"/>
      <c r="Q181" s="3" t="str">
        <f ca="1">IFERROR(__xludf.DUMMYFUNCTION("GOOGLETRANSLATE(R181,""en"",""ta"")"),"ஒரு மூலிகை, இலைகள் நீள்வட்ட அல்லது ஈட்டி வடிவ இதய வடிவானது, கூரிய முனை, இலைக்காம்புகள் நீளமாகவும் வெளிர் பச்சை நிறமாகவும் இருக்கும். மஞ்சரி ஒரு கூம்பு போன்றது. பூக்கள் அடர்த்தியானவை, ப்ராக்டீட், ஸ்ட்ரோபிலிஃபார்ம். பழங்கள் பிரியும் கோள வடிவ காப்ஸ்யூல்.")</f>
        <v>ஒரு மூலிகை, இலைகள் நீள்வட்ட அல்லது ஈட்டி வடிவ இதய வடிவானது, கூரிய முனை, இலைக்காம்புகள் நீளமாகவும் வெளிர் பச்சை நிறமாகவும் இருக்கும். மஞ்சரி ஒரு கூம்பு போன்றது. பூக்கள் அடர்த்தியானவை, ப்ராக்டீட், ஸ்ட்ரோபிலிஃபார்ம். பழங்கள் பிரியும் கோள வடிவ காப்ஸ்யூல்.</v>
      </c>
      <c r="R181" s="4" t="s">
        <v>2240</v>
      </c>
      <c r="S181" s="3" t="str">
        <f ca="1">IFERROR(__xludf.DUMMYFUNCTION("GOOGLETRANSLATE(T181,""en"",""ta"")"),"#VALUE!")</f>
        <v>#VALUE!</v>
      </c>
      <c r="T181" s="3"/>
      <c r="U181" s="3" t="str">
        <f ca="1">IFERROR(__xludf.DUMMYFUNCTION("GOOGLETRANSLATE(V181,""en"",""ta"")"),"#VALUE!")</f>
        <v>#VALUE!</v>
      </c>
      <c r="V181" s="3"/>
      <c r="W181" s="3" t="str">
        <f ca="1">IFERROR(__xludf.DUMMYFUNCTION("GOOGLETRANSLATE(X181,""en"",""ta"")"),"#VALUE!")</f>
        <v>#VALUE!</v>
      </c>
      <c r="X181" s="3"/>
      <c r="Y181" s="3" t="str">
        <f ca="1">IFERROR(__xludf.DUMMYFUNCTION("GOOGLETRANSLATE(Z181,""en"",""ta"")"),"#VALUE!")</f>
        <v>#VALUE!</v>
      </c>
      <c r="Z181" s="3"/>
      <c r="AA181" s="3" t="str">
        <f ca="1">IFERROR(__xludf.DUMMYFUNCTION("GOOGLETRANSLATE(AB181,""en"",""ta"")"),"#VALUE!")</f>
        <v>#VALUE!</v>
      </c>
      <c r="AB181" s="3"/>
      <c r="AC181" s="3" t="str">
        <f ca="1">IFERROR(__xludf.DUMMYFUNCTION("GOOGLETRANSLATE(AD181,""en"",""ta"")"),"#VALUE!")</f>
        <v>#VALUE!</v>
      </c>
      <c r="AD181" s="3"/>
      <c r="AE181" s="3" t="str">
        <f ca="1">IFERROR(__xludf.DUMMYFUNCTION("GOOGLETRANSLATE(AF181,""en"",""ta"")"),"#VALUE!")</f>
        <v>#VALUE!</v>
      </c>
      <c r="AF181" s="3"/>
      <c r="AG181" s="3" t="str">
        <f ca="1">IFERROR(__xludf.DUMMYFUNCTION("GOOGLETRANSLATE(AH181,""en"",""ta"")"),"#VALUE!")</f>
        <v>#VALUE!</v>
      </c>
      <c r="AH181" s="3"/>
      <c r="AI181" s="3" t="str">
        <f ca="1">IFERROR(__xludf.DUMMYFUNCTION("GOOGLETRANSLATE(AJ181,""en"",""ta"")"),"#VALUE!")</f>
        <v>#VALUE!</v>
      </c>
      <c r="AJ181" s="3"/>
      <c r="AK181" s="3" t="str">
        <f ca="1">IFERROR(__xludf.DUMMYFUNCTION("GOOGLETRANSLATE(AL181,""en"",""ta"")"),"#VALUE!")</f>
        <v>#VALUE!</v>
      </c>
      <c r="AL181" s="3"/>
      <c r="AM181" s="3" t="str">
        <f ca="1">IFERROR(__xludf.DUMMYFUNCTION("GOOGLETRANSLATE(AN181,""en"",""ta"")"),"#VALUE!")</f>
        <v>#VALUE!</v>
      </c>
      <c r="AN181" s="3"/>
      <c r="AO181" s="3" t="str">
        <f ca="1">IFERROR(__xludf.DUMMYFUNCTION("GOOGLETRANSLATE(AP181,""en"",""ta"")"),"#VALUE!")</f>
        <v>#VALUE!</v>
      </c>
      <c r="AP181" s="3"/>
      <c r="AQ181" s="3"/>
      <c r="AR181" s="3" t="str">
        <f ca="1">IFERROR(__xludf.DUMMYFUNCTION("GOOGLETRANSLATE(AS181,""en"",""ta"")"),"டானிக், தூண்டுதல் மற்றும் இரைப்பை குடல் வலி நிவாரணி.")</f>
        <v>டானிக், தூண்டுதல் மற்றும் இரைப்பை குடல் வலி நிவாரணி.</v>
      </c>
      <c r="AS181" s="4" t="s">
        <v>2241</v>
      </c>
      <c r="AT181" s="3" t="str">
        <f ca="1">IFERROR(__xludf.DUMMYFUNCTION("GOOGLETRANSLATE(AU181,""en"",""ta"")"),"கரோட்டினாய்டுகள், ஃபிளாவோக்சாந்தின், வைட்டமின்-சி, பி-ஸ்பினாஸ்டெரால், லினோலிக் அமிலம், பி-டோகோபெரோல் மற்றும் கிரிப்டோக்சாந்தின்.")</f>
        <v>கரோட்டினாய்டுகள், ஃபிளாவோக்சாந்தின், வைட்டமின்-சி, பி-ஸ்பினாஸ்டெரால், லினோலிக் அமிலம், பி-டோகோபெரோல் மற்றும் கிரிப்டோக்சாந்தின்.</v>
      </c>
      <c r="AU181" s="4" t="s">
        <v>2242</v>
      </c>
      <c r="AV181" s="3"/>
      <c r="AW181" s="3" t="str">
        <f ca="1">IFERROR(__xludf.DUMMYFUNCTION("GOOGLETRANSLATE(AX181,""en"",""ta"")"),"படுக்கை நேரத்தில் விதைப் பொடியை சர்க்கரையுடன் கலந்து கொடுத்து, மறுநாள் காலையில் ஒரு டோஸ் ஆமணக்கு எண்ணெயை கலந்து குடித்தால், நாடாப்புழுக்கள் நீங்கும். பழத்தின் உலர்ந்த கூழ், இரத்தப்போக்கு மற்றும் நுரையீரல் உறுப்புகளில் ஏற்படும் இரத்தக்கசிவுக்கு ஒரு தீர்வாக"&amp;"ும்.")</f>
        <v>படுக்கை நேரத்தில் விதைப் பொடியை சர்க்கரையுடன் கலந்து கொடுத்து, மறுநாள் காலையில் ஒரு டோஸ் ஆமணக்கு எண்ணெயை கலந்து குடித்தால், நாடாப்புழுக்கள் நீங்கும். பழத்தின் உலர்ந்த கூழ், இரத்தப்போக்கு மற்றும் நுரையீரல் உறுப்புகளில் ஏற்படும் இரத்தக்கசிவுக்கு ஒரு தீர்வாகும்.</v>
      </c>
      <c r="AX181" s="4" t="s">
        <v>2243</v>
      </c>
      <c r="AY181" s="3"/>
      <c r="AZ181" s="3"/>
      <c r="BA181" s="3"/>
      <c r="BB181" s="3"/>
      <c r="BC181" s="3"/>
      <c r="BD181" s="3"/>
      <c r="BE181" s="3"/>
      <c r="BF181" s="3"/>
    </row>
    <row r="182" spans="1:58" ht="56" x14ac:dyDescent="0.15">
      <c r="A182" s="3">
        <v>181</v>
      </c>
      <c r="B182" s="3" t="str">
        <f ca="1">IFERROR(__xludf.DUMMYFUNCTION("GOOGLETRANSLATE(C182,""en"",""ta"")"),"குர்குமா லாங்கா")</f>
        <v>குர்குமா லாங்கா</v>
      </c>
      <c r="C182" s="4" t="s">
        <v>2244</v>
      </c>
      <c r="D182" s="3" t="str">
        <f ca="1">IFERROR(__xludf.DUMMYFUNCTION("GOOGLETRANSLATE(E182,""en"",""ta"")"),"ஹரித்ரா")</f>
        <v>ஹரித்ரா</v>
      </c>
      <c r="E182" s="4" t="s">
        <v>2245</v>
      </c>
      <c r="F182" s="3" t="str">
        <f ca="1">IFERROR(__xludf.DUMMYFUNCTION("GOOGLETRANSLATE(G182,""en"",""ta"")"),"மஞ்சள்")</f>
        <v>மஞ்சள்</v>
      </c>
      <c r="G182" s="4" t="s">
        <v>2246</v>
      </c>
      <c r="H182" s="3" t="str">
        <f ca="1">IFERROR(__xludf.DUMMYFUNCTION("GOOGLETRANSLATE(I182,""en"",""ta"")"),"மஞ்சள்")</f>
        <v>மஞ்சள்</v>
      </c>
      <c r="I182" s="4" t="s">
        <v>2247</v>
      </c>
      <c r="J182" s="3" t="str">
        <f ca="1">IFERROR(__xludf.DUMMYFUNCTION("GOOGLETRANSLATE(K182,""en"",""ta"")"),"பசுபு")</f>
        <v>பசுபு</v>
      </c>
      <c r="K182" s="4" t="s">
        <v>2248</v>
      </c>
      <c r="L182" s="3" t="str">
        <f ca="1">IFERROR(__xludf.DUMMYFUNCTION("GOOGLETRANSLATE(M182,""en"",""ta"")"),"மஞ்சள்")</f>
        <v>மஞ்சள்</v>
      </c>
      <c r="M182" s="4" t="s">
        <v>2246</v>
      </c>
      <c r="N182" s="3" t="str">
        <f ca="1">IFERROR(__xludf.DUMMYFUNCTION("GOOGLETRANSLATE(O182,""en"",""ta"")"),"ஹால்டி")</f>
        <v>ஹால்டி</v>
      </c>
      <c r="O182" s="4" t="s">
        <v>2249</v>
      </c>
      <c r="P182" s="3"/>
      <c r="Q182" s="3" t="str">
        <f ca="1">IFERROR(__xludf.DUMMYFUNCTION("GOOGLETRANSLATE(R182,""en"",""ta"")"),"நிமிர்ந்த, உயரமான, முட்டை வடிவ வேர், கிழங்குகள் உருளை வடிவ, கிளைத்த வேர்த்தண்டுக்கிழங்குகள், பழுப்பு நிற வெள்ளை. இலைகள் எளிமையானவை, இலைக்காம்பு வடிவானது, நீள்வட்டமானது, ஈட்டி வடிவானது, நுனி அதிக்கூரியது, மேலே கரும் பச்சை, கீழே புள்ளியிடப்பட்டது, அடிப்பகுத"&amp;"ி குறுகலாக இருக்கும். மஞ்சரி ஒரு நீண்ட ஸ்பைக், பூக்கள் வெளிர் மஞ்சள். பழங்கள் அரிதானவை.")</f>
        <v>நிமிர்ந்த, உயரமான, முட்டை வடிவ வேர், கிழங்குகள் உருளை வடிவ, கிளைத்த வேர்த்தண்டுக்கிழங்குகள், பழுப்பு நிற வெள்ளை. இலைகள் எளிமையானவை, இலைக்காம்பு வடிவானது, நீள்வட்டமானது, ஈட்டி வடிவானது, நுனி அதிக்கூரியது, மேலே கரும் பச்சை, கீழே புள்ளியிடப்பட்டது, அடிப்பகுதி குறுகலாக இருக்கும். மஞ்சரி ஒரு நீண்ட ஸ்பைக், பூக்கள் வெளிர் மஞ்சள். பழங்கள் அரிதானவை.</v>
      </c>
      <c r="R182" s="4" t="s">
        <v>2250</v>
      </c>
      <c r="S182" s="3" t="str">
        <f ca="1">IFERROR(__xludf.DUMMYFUNCTION("GOOGLETRANSLATE(T182,""en"",""ta"")"),"#VALUE!")</f>
        <v>#VALUE!</v>
      </c>
      <c r="T182" s="3"/>
      <c r="U182" s="3" t="str">
        <f ca="1">IFERROR(__xludf.DUMMYFUNCTION("GOOGLETRANSLATE(V182,""en"",""ta"")"),"#VALUE!")</f>
        <v>#VALUE!</v>
      </c>
      <c r="V182" s="3"/>
      <c r="W182" s="3" t="str">
        <f ca="1">IFERROR(__xludf.DUMMYFUNCTION("GOOGLETRANSLATE(X182,""en"",""ta"")"),"#VALUE!")</f>
        <v>#VALUE!</v>
      </c>
      <c r="X182" s="3"/>
      <c r="Y182" s="3" t="str">
        <f ca="1">IFERROR(__xludf.DUMMYFUNCTION("GOOGLETRANSLATE(Z182,""en"",""ta"")"),"#VALUE!")</f>
        <v>#VALUE!</v>
      </c>
      <c r="Z182" s="3"/>
      <c r="AA182" s="3" t="str">
        <f ca="1">IFERROR(__xludf.DUMMYFUNCTION("GOOGLETRANSLATE(AB182,""en"",""ta"")"),"#VALUE!")</f>
        <v>#VALUE!</v>
      </c>
      <c r="AB182" s="3"/>
      <c r="AC182" s="3" t="str">
        <f ca="1">IFERROR(__xludf.DUMMYFUNCTION("GOOGLETRANSLATE(AD182,""en"",""ta"")"),"#VALUE!")</f>
        <v>#VALUE!</v>
      </c>
      <c r="AD182" s="3"/>
      <c r="AE182" s="3" t="str">
        <f ca="1">IFERROR(__xludf.DUMMYFUNCTION("GOOGLETRANSLATE(AF182,""en"",""ta"")"),"#VALUE!")</f>
        <v>#VALUE!</v>
      </c>
      <c r="AF182" s="3"/>
      <c r="AG182" s="3" t="str">
        <f ca="1">IFERROR(__xludf.DUMMYFUNCTION("GOOGLETRANSLATE(AH182,""en"",""ta"")"),"#VALUE!")</f>
        <v>#VALUE!</v>
      </c>
      <c r="AH182" s="3"/>
      <c r="AI182" s="3" t="str">
        <f ca="1">IFERROR(__xludf.DUMMYFUNCTION("GOOGLETRANSLATE(AJ182,""en"",""ta"")"),"#VALUE!")</f>
        <v>#VALUE!</v>
      </c>
      <c r="AJ182" s="3"/>
      <c r="AK182" s="3" t="str">
        <f ca="1">IFERROR(__xludf.DUMMYFUNCTION("GOOGLETRANSLATE(AL182,""en"",""ta"")"),"#VALUE!")</f>
        <v>#VALUE!</v>
      </c>
      <c r="AL182" s="3"/>
      <c r="AM182" s="3" t="str">
        <f ca="1">IFERROR(__xludf.DUMMYFUNCTION("GOOGLETRANSLATE(AN182,""en"",""ta"")"),"#VALUE!")</f>
        <v>#VALUE!</v>
      </c>
      <c r="AN182" s="3"/>
      <c r="AO182" s="3" t="str">
        <f ca="1">IFERROR(__xludf.DUMMYFUNCTION("GOOGLETRANSLATE(AP182,""en"",""ta"")"),"#VALUE!")</f>
        <v>#VALUE!</v>
      </c>
      <c r="AP182" s="3"/>
      <c r="AQ182" s="3"/>
      <c r="AR182" s="3" t="str">
        <f ca="1">IFERROR(__xludf.DUMMYFUNCTION("GOOGLETRANSLATE(AS182,""en"",""ta"")"),"கல்லீரல் டானிக், கிருமி நாசினி, தெர்மோஜெனிக், பசியைத் தூண்டும், பியூரியேட்டிவ், ஃபெப்ரிஃபியூஜ், கண் மருத்துவம், வயிற்று வலி நிவாரணி மற்றும் கார்மினேட்டிவ்.")</f>
        <v>கல்லீரல் டானிக், கிருமி நாசினி, தெர்மோஜெனிக், பசியைத் தூண்டும், பியூரியேட்டிவ், ஃபெப்ரிஃபியூஜ், கண் மருத்துவம், வயிற்று வலி நிவாரணி மற்றும் கார்மினேட்டிவ்.</v>
      </c>
      <c r="AS182" s="4" t="s">
        <v>2251</v>
      </c>
      <c r="AT182" s="3" t="str">
        <f ca="1">IFERROR(__xludf.DUMMYFUNCTION("GOOGLETRANSLATE(AU182,""en"",""ta"")"),"குர்குமின், கேம்பீன், ஐசோஃபுரானோஜெர்மக்ரோன், ஜெர்மக்ரோன், ஐசோபோர்னியோல், 1,8-சினியோல், போர்னியோல் மற்றும் பினீன்கள்.")</f>
        <v>குர்குமின், கேம்பீன், ஐசோஃபுரானோஜெர்மக்ரோன், ஜெர்மக்ரோன், ஐசோபோர்னியோல், 1,8-சினியோல், போர்னியோல் மற்றும் பினீன்கள்.</v>
      </c>
      <c r="AU182" s="4" t="s">
        <v>2252</v>
      </c>
      <c r="AV182" s="3"/>
      <c r="AW182" s="3" t="str">
        <f ca="1">IFERROR(__xludf.DUMMYFUNCTION("GOOGLETRANSLATE(AX182,""en"",""ta"")"),"தோல் நோய்களுக்கு உலர்ந்த வேர்த்தண்டுக்கிழங்கு பொடியை தண்ணீருடன் சேர்த்து வெளிப்புறமாகப் பயன்படுத்தப்படுகிறது. வேர்த்தண்டுக்கிழங்கை எண்ணெயில் கொதிக்க வைத்து சுளுக்கு மற்றும் காயங்களுக்குப் பயன்படுத்தப்படுகிறது.")</f>
        <v>தோல் நோய்களுக்கு உலர்ந்த வேர்த்தண்டுக்கிழங்கு பொடியை தண்ணீருடன் சேர்த்து வெளிப்புறமாகப் பயன்படுத்தப்படுகிறது. வேர்த்தண்டுக்கிழங்கை எண்ணெயில் கொதிக்க வைத்து சுளுக்கு மற்றும் காயங்களுக்குப் பயன்படுத்தப்படுகிறது.</v>
      </c>
      <c r="AX182" s="4" t="s">
        <v>2253</v>
      </c>
      <c r="AY182" s="3"/>
      <c r="AZ182" s="3"/>
      <c r="BA182" s="3"/>
      <c r="BB182" s="3"/>
      <c r="BC182" s="3"/>
      <c r="BD182" s="3"/>
      <c r="BE182" s="3"/>
      <c r="BF182" s="3"/>
    </row>
    <row r="183" spans="1:58" ht="56" x14ac:dyDescent="0.15">
      <c r="A183" s="3">
        <v>182</v>
      </c>
      <c r="B183" s="3" t="str">
        <f ca="1">IFERROR(__xludf.DUMMYFUNCTION("GOOGLETRANSLATE(C183,""en"",""ta"")"),"குர்குமா ஜெடோரியா")</f>
        <v>குர்குமா ஜெடோரியா</v>
      </c>
      <c r="C183" s="4" t="s">
        <v>2254</v>
      </c>
      <c r="D183" s="3" t="str">
        <f ca="1">IFERROR(__xludf.DUMMYFUNCTION("GOOGLETRANSLATE(E183,""en"",""ta"")"),"கச்சுரா")</f>
        <v>கச்சுரா</v>
      </c>
      <c r="E183" s="4" t="s">
        <v>2255</v>
      </c>
      <c r="F183" s="3" t="str">
        <f ca="1">IFERROR(__xludf.DUMMYFUNCTION("GOOGLETRANSLATE(G183,""en"",""ta"")"),"கிச்சிலி கிழங்கு")</f>
        <v>கிச்சிலி கிழங்கு</v>
      </c>
      <c r="G183" s="4" t="s">
        <v>2256</v>
      </c>
      <c r="H183" s="3" t="str">
        <f ca="1">IFERROR(__xludf.DUMMYFUNCTION("GOOGLETRANSLATE(I183,""en"",""ta"")"),"வட்டமான வெள்ளை நிற செடோரி")</f>
        <v>வட்டமான வெள்ளை நிற செடோரி</v>
      </c>
      <c r="I183" s="4" t="s">
        <v>2257</v>
      </c>
      <c r="J183" s="3" t="str">
        <f ca="1">IFERROR(__xludf.DUMMYFUNCTION("GOOGLETRANSLATE(K183,""en"",""ta"")"),"கிச்சிலி-கட்டலு")</f>
        <v>கிச்சிலி-கட்டலு</v>
      </c>
      <c r="K183" s="4" t="s">
        <v>2258</v>
      </c>
      <c r="L183" s="3" t="str">
        <f ca="1">IFERROR(__xludf.DUMMYFUNCTION("GOOGLETRANSLATE(M183,""en"",""ta"")"),"புலா-கிழங்கு")</f>
        <v>புலா-கிழங்கு</v>
      </c>
      <c r="M183" s="4" t="s">
        <v>2259</v>
      </c>
      <c r="N183" s="3" t="str">
        <f ca="1">IFERROR(__xludf.DUMMYFUNCTION("GOOGLETRANSLATE(O183,""en"",""ta"")"),"கச்சுரா")</f>
        <v>கச்சுரா</v>
      </c>
      <c r="O183" s="4" t="s">
        <v>2255</v>
      </c>
      <c r="P183" s="3"/>
      <c r="Q183" s="3" t="str">
        <f ca="1">IFERROR(__xludf.DUMMYFUNCTION("GOOGLETRANSLATE(R183,""en"",""ta"")"),"பொய்யான தண்டு, பெரிய வேர் தண்டு, முட்டை வடிவானது, பல கிழங்குகளுடன் கூடிய கிழங்கு போன்ற நிமிர்ந்த வருடாந்திர மூலிகை. இலைகள் எளிமையானவை, நேரியல், நீள்வட்டம் முதல் ஈட்டி வடிவானது, உறை போன்ற இலை அடிப்பகுதியுடன் உரோமங்களற்றவை. மலர்கள் கூர்முனை மஞ்சரியில் வெளிர"&amp;"் மஞ்சள் நிறத்தில், சிவப்பு நிறத் துண்டுகளால் ஒன்றுடன் ஒன்று இணைந்திருக்கும். பழங்கள் காப்ஸ்யூல், முட்டை வடிவானது, முக்கோணமானது. விதைகள் அரிலேட்.")</f>
        <v>பொய்யான தண்டு, பெரிய வேர் தண்டு, முட்டை வடிவானது, பல கிழங்குகளுடன் கூடிய கிழங்கு போன்ற நிமிர்ந்த வருடாந்திர மூலிகை. இலைகள் எளிமையானவை, நேரியல், நீள்வட்டம் முதல் ஈட்டி வடிவானது, உறை போன்ற இலை அடிப்பகுதியுடன் உரோமங்களற்றவை. மலர்கள் கூர்முனை மஞ்சரியில் வெளிர் மஞ்சள் நிறத்தில், சிவப்பு நிறத் துண்டுகளால் ஒன்றுடன் ஒன்று இணைந்திருக்கும். பழங்கள் காப்ஸ்யூல், முட்டை வடிவானது, முக்கோணமானது. விதைகள் அரிலேட்.</v>
      </c>
      <c r="R183" s="4" t="s">
        <v>2260</v>
      </c>
      <c r="S183" s="3" t="str">
        <f ca="1">IFERROR(__xludf.DUMMYFUNCTION("GOOGLETRANSLATE(T183,""en"",""ta"")"),"#VALUE!")</f>
        <v>#VALUE!</v>
      </c>
      <c r="T183" s="3"/>
      <c r="U183" s="3" t="str">
        <f ca="1">IFERROR(__xludf.DUMMYFUNCTION("GOOGLETRANSLATE(V183,""en"",""ta"")"),"#VALUE!")</f>
        <v>#VALUE!</v>
      </c>
      <c r="V183" s="3"/>
      <c r="W183" s="3" t="str">
        <f ca="1">IFERROR(__xludf.DUMMYFUNCTION("GOOGLETRANSLATE(X183,""en"",""ta"")"),"#VALUE!")</f>
        <v>#VALUE!</v>
      </c>
      <c r="X183" s="3"/>
      <c r="Y183" s="3" t="str">
        <f ca="1">IFERROR(__xludf.DUMMYFUNCTION("GOOGLETRANSLATE(Z183,""en"",""ta"")"),"#VALUE!")</f>
        <v>#VALUE!</v>
      </c>
      <c r="Z183" s="3"/>
      <c r="AA183" s="3" t="str">
        <f ca="1">IFERROR(__xludf.DUMMYFUNCTION("GOOGLETRANSLATE(AB183,""en"",""ta"")"),"#VALUE!")</f>
        <v>#VALUE!</v>
      </c>
      <c r="AB183" s="3"/>
      <c r="AC183" s="3" t="str">
        <f ca="1">IFERROR(__xludf.DUMMYFUNCTION("GOOGLETRANSLATE(AD183,""en"",""ta"")"),"#VALUE!")</f>
        <v>#VALUE!</v>
      </c>
      <c r="AD183" s="3"/>
      <c r="AE183" s="3" t="str">
        <f ca="1">IFERROR(__xludf.DUMMYFUNCTION("GOOGLETRANSLATE(AF183,""en"",""ta"")"),"#VALUE!")</f>
        <v>#VALUE!</v>
      </c>
      <c r="AF183" s="3"/>
      <c r="AG183" s="3" t="str">
        <f ca="1">IFERROR(__xludf.DUMMYFUNCTION("GOOGLETRANSLATE(AH183,""en"",""ta"")"),"#VALUE!")</f>
        <v>#VALUE!</v>
      </c>
      <c r="AH183" s="3"/>
      <c r="AI183" s="3" t="str">
        <f ca="1">IFERROR(__xludf.DUMMYFUNCTION("GOOGLETRANSLATE(AJ183,""en"",""ta"")"),"#VALUE!")</f>
        <v>#VALUE!</v>
      </c>
      <c r="AJ183" s="3"/>
      <c r="AK183" s="3" t="str">
        <f ca="1">IFERROR(__xludf.DUMMYFUNCTION("GOOGLETRANSLATE(AL183,""en"",""ta"")"),"#VALUE!")</f>
        <v>#VALUE!</v>
      </c>
      <c r="AL183" s="3"/>
      <c r="AM183" s="3" t="str">
        <f ca="1">IFERROR(__xludf.DUMMYFUNCTION("GOOGLETRANSLATE(AN183,""en"",""ta"")"),"#VALUE!")</f>
        <v>#VALUE!</v>
      </c>
      <c r="AN183" s="3"/>
      <c r="AO183" s="3" t="str">
        <f ca="1">IFERROR(__xludf.DUMMYFUNCTION("GOOGLETRANSLATE(AP183,""en"",""ta"")"),"#VALUE!")</f>
        <v>#VALUE!</v>
      </c>
      <c r="AP183" s="3"/>
      <c r="AQ183" s="3"/>
      <c r="AR183" s="3" t="str">
        <f ca="1">IFERROR(__xludf.DUMMYFUNCTION("GOOGLETRANSLATE(AS183,""en"",""ta"")"),"தூண்டுதல், சளி நீக்கி, சிறுநீர் பெருக்கி மற்றும் நறுமணப் பொருள்.")</f>
        <v>தூண்டுதல், சளி நீக்கி, சிறுநீர் பெருக்கி மற்றும் நறுமணப் பொருள்.</v>
      </c>
      <c r="AS183" s="4" t="s">
        <v>2261</v>
      </c>
      <c r="AT183" s="3" t="str">
        <f ca="1">IFERROR(__xludf.DUMMYFUNCTION("GOOGLETRANSLATE(AU183,""en"",""ta"")"),"குர்குமின், டர்மரோன், டெர்பீன்ஸ், கர்லோன், காரியோஃபிலீன், யூஜினோல், டைஹைட்ரோ குர்குமின், லிமோனீன், டைஃபெருலாய்ல் மீத்தேன், கேம்பீன் மற்றும் பினீன்")</f>
        <v>குர்குமின், டர்மரோன், டெர்பீன்ஸ், கர்லோன், காரியோஃபிலீன், யூஜினோல், டைஹைட்ரோ குர்குமின், லிமோனீன், டைஃபெருலாய்ல் மீத்தேன், கேம்பீன் மற்றும் பினீன்</v>
      </c>
      <c r="AU183" s="4" t="s">
        <v>2262</v>
      </c>
      <c r="AV183" s="3"/>
      <c r="AW183" s="3" t="str">
        <f ca="1">IFERROR(__xludf.DUMMYFUNCTION("GOOGLETRANSLATE(AX183,""en"",""ta"")"),"புதிய வேர்த்தண்டுக்கிழங்கின் சாறு சமீபத்திய காயங்கள் மற்றும் அட்டைப்பூச்சி கடிக்கு தடவப்படுகிறது.")</f>
        <v>புதிய வேர்த்தண்டுக்கிழங்கின் சாறு சமீபத்திய காயங்கள் மற்றும் அட்டைப்பூச்சி கடிக்கு தடவப்படுகிறது.</v>
      </c>
      <c r="AX183" s="4" t="s">
        <v>2263</v>
      </c>
      <c r="AY183" s="3"/>
      <c r="AZ183" s="3"/>
      <c r="BA183" s="3"/>
      <c r="BB183" s="3"/>
      <c r="BC183" s="3"/>
      <c r="BD183" s="3"/>
      <c r="BE183" s="3"/>
      <c r="BF183" s="3"/>
    </row>
    <row r="184" spans="1:58" ht="42" x14ac:dyDescent="0.15">
      <c r="A184" s="3">
        <v>183</v>
      </c>
      <c r="B184" s="3" t="str">
        <f ca="1">IFERROR(__xludf.DUMMYFUNCTION("GOOGLETRANSLATE(C184,""en"",""ta"")"),"சைகாஸ் சர்கினாலிஸ்")</f>
        <v>சைகாஸ் சர்கினாலிஸ்</v>
      </c>
      <c r="C184" s="4" t="s">
        <v>2264</v>
      </c>
      <c r="D184" s="3" t="str">
        <f ca="1">IFERROR(__xludf.DUMMYFUNCTION("GOOGLETRANSLATE(E184,""en"",""ta"")"),"வரகுணா")</f>
        <v>வரகுணா</v>
      </c>
      <c r="E184" s="4" t="s">
        <v>2265</v>
      </c>
      <c r="F184" s="3" t="str">
        <f ca="1">IFERROR(__xludf.DUMMYFUNCTION("GOOGLETRANSLATE(G184,""en"",""ta"")"),"மதன காம பூ")</f>
        <v>மதன காம பூ</v>
      </c>
      <c r="G184" s="4" t="s">
        <v>2266</v>
      </c>
      <c r="H184" s="3" t="str">
        <f ca="1">IFERROR(__xludf.DUMMYFUNCTION("GOOGLETRANSLATE(I184,""en"",""ta"")"),"தவறான சாகோ பனை")</f>
        <v>தவறான சாகோ பனை</v>
      </c>
      <c r="I184" s="4" t="s">
        <v>2267</v>
      </c>
      <c r="J184" s="3" t="str">
        <f ca="1">IFERROR(__xludf.DUMMYFUNCTION("GOOGLETRANSLATE(K184,""en"",""ta"")"),"ரணகுவ்வா")</f>
        <v>ரணகுவ்வா</v>
      </c>
      <c r="K184" s="4" t="s">
        <v>2268</v>
      </c>
      <c r="L184" s="3" t="str">
        <f ca="1">IFERROR(__xludf.DUMMYFUNCTION("GOOGLETRANSLATE(M184,""en"",""ta"")"),"ரின்பாதம்")</f>
        <v>ரின்பாதம்</v>
      </c>
      <c r="M184" s="4" t="s">
        <v>2269</v>
      </c>
      <c r="N184" s="3" t="str">
        <f ca="1">IFERROR(__xludf.DUMMYFUNCTION("GOOGLETRANSLATE(O184,""en"",""ta"")"),"ஜங்லி-மதன் மஸ்ட்-கா-புல்")</f>
        <v>ஜங்லி-மதன் மஸ்ட்-கா-புல்</v>
      </c>
      <c r="O184" s="4" t="s">
        <v>2270</v>
      </c>
      <c r="P184" s="3"/>
      <c r="Q184" s="3" t="str">
        <f ca="1">IFERROR(__xludf.DUMMYFUNCTION("GOOGLETRANSLATE(R184,""en"",""ta"")"),"ஒரு சிறிய பசுமையான பனை மரம் போன்ற மரம். இலைகள் நீளமானவை, இலைக்காம்பு வடிவானவை, இலைக்காம்புகளுக்கு செங்கோணத்தில் குறுகிய தூர முதுகெலும்புகளுடன் அல்லது சற்று வளைந்திருக்கும். பட்டை பழுப்பு நிறமானது, கீழே மென்மையானது, விழுந்த இலைகளின் சிறிய வைர வடிவ வடுக்களா"&amp;"ல் மேலே டெஸ்ஸெல் செய்யப்பட்டுள்ளது. கூம்புகள் வெளிப்படையாக முனையத்தில், மஞ்சரித்தண்டு போன்றது, செதில்கள் ஆப்பு வடிவமானது, நெருக்கமாகப் படிந்திருக்கும். கார்போஃபில்கள் ஏராளமானவை, தண்டின் நுனியைச் சுற்றி கூட்டமாக இருக்கும்.")</f>
        <v>ஒரு சிறிய பசுமையான பனை மரம் போன்ற மரம். இலைகள் நீளமானவை, இலைக்காம்பு வடிவானவை, இலைக்காம்புகளுக்கு செங்கோணத்தில் குறுகிய தூர முதுகெலும்புகளுடன் அல்லது சற்று வளைந்திருக்கும். பட்டை பழுப்பு நிறமானது, கீழே மென்மையானது, விழுந்த இலைகளின் சிறிய வைர வடிவ வடுக்களால் மேலே டெஸ்ஸெல் செய்யப்பட்டுள்ளது. கூம்புகள் வெளிப்படையாக முனையத்தில், மஞ்சரித்தண்டு போன்றது, செதில்கள் ஆப்பு வடிவமானது, நெருக்கமாகப் படிந்திருக்கும். கார்போஃபில்கள் ஏராளமானவை, தண்டின் நுனியைச் சுற்றி கூட்டமாக இருக்கும்.</v>
      </c>
      <c r="R184" s="4" t="s">
        <v>2271</v>
      </c>
      <c r="S184" s="3" t="str">
        <f ca="1">IFERROR(__xludf.DUMMYFUNCTION("GOOGLETRANSLATE(T184,""en"",""ta"")"),"#VALUE!")</f>
        <v>#VALUE!</v>
      </c>
      <c r="T184" s="3"/>
      <c r="U184" s="3" t="str">
        <f ca="1">IFERROR(__xludf.DUMMYFUNCTION("GOOGLETRANSLATE(V184,""en"",""ta"")"),"#VALUE!")</f>
        <v>#VALUE!</v>
      </c>
      <c r="V184" s="3"/>
      <c r="W184" s="3" t="str">
        <f ca="1">IFERROR(__xludf.DUMMYFUNCTION("GOOGLETRANSLATE(X184,""en"",""ta"")"),"#VALUE!")</f>
        <v>#VALUE!</v>
      </c>
      <c r="X184" s="3"/>
      <c r="Y184" s="3" t="str">
        <f ca="1">IFERROR(__xludf.DUMMYFUNCTION("GOOGLETRANSLATE(Z184,""en"",""ta"")"),"#VALUE!")</f>
        <v>#VALUE!</v>
      </c>
      <c r="Z184" s="3"/>
      <c r="AA184" s="3" t="str">
        <f ca="1">IFERROR(__xludf.DUMMYFUNCTION("GOOGLETRANSLATE(AB184,""en"",""ta"")"),"#VALUE!")</f>
        <v>#VALUE!</v>
      </c>
      <c r="AB184" s="3"/>
      <c r="AC184" s="3" t="str">
        <f ca="1">IFERROR(__xludf.DUMMYFUNCTION("GOOGLETRANSLATE(AD184,""en"",""ta"")"),"#VALUE!")</f>
        <v>#VALUE!</v>
      </c>
      <c r="AD184" s="3"/>
      <c r="AE184" s="3" t="str">
        <f ca="1">IFERROR(__xludf.DUMMYFUNCTION("GOOGLETRANSLATE(AF184,""en"",""ta"")"),"#VALUE!")</f>
        <v>#VALUE!</v>
      </c>
      <c r="AF184" s="3"/>
      <c r="AG184" s="3" t="str">
        <f ca="1">IFERROR(__xludf.DUMMYFUNCTION("GOOGLETRANSLATE(AH184,""en"",""ta"")"),"#VALUE!")</f>
        <v>#VALUE!</v>
      </c>
      <c r="AH184" s="3"/>
      <c r="AI184" s="3" t="str">
        <f ca="1">IFERROR(__xludf.DUMMYFUNCTION("GOOGLETRANSLATE(AJ184,""en"",""ta"")"),"#VALUE!")</f>
        <v>#VALUE!</v>
      </c>
      <c r="AJ184" s="3"/>
      <c r="AK184" s="3" t="str">
        <f ca="1">IFERROR(__xludf.DUMMYFUNCTION("GOOGLETRANSLATE(AL184,""en"",""ta"")"),"#VALUE!")</f>
        <v>#VALUE!</v>
      </c>
      <c r="AL184" s="3"/>
      <c r="AM184" s="3" t="str">
        <f ca="1">IFERROR(__xludf.DUMMYFUNCTION("GOOGLETRANSLATE(AN184,""en"",""ta"")"),"#VALUE!")</f>
        <v>#VALUE!</v>
      </c>
      <c r="AN184" s="3"/>
      <c r="AO184" s="3" t="str">
        <f ca="1">IFERROR(__xludf.DUMMYFUNCTION("GOOGLETRANSLATE(AP184,""en"",""ta"")"),"#VALUE!")</f>
        <v>#VALUE!</v>
      </c>
      <c r="AP184" s="3"/>
      <c r="AQ184" s="3"/>
      <c r="AR184" s="3" t="str">
        <f ca="1">IFERROR(__xludf.DUMMYFUNCTION("GOOGLETRANSLATE(AS184,""en"",""ta"")"),"போதைப்பொருள், தூண்டுதல் மற்றும் பாலுணர்வூக்கி")</f>
        <v>போதைப்பொருள், தூண்டுதல் மற்றும் பாலுணர்வூக்கி</v>
      </c>
      <c r="AS184" s="4" t="s">
        <v>2272</v>
      </c>
      <c r="AT184" s="3" t="str">
        <f ca="1">IFERROR(__xludf.DUMMYFUNCTION("GOOGLETRANSLATE(AU184,""en"",""ta"")"),"பக்கோசின், சைகாசின், டானின், புரதம், பீனாலிக் சேர்மங்கள்.")</f>
        <v>பக்கோசின், சைகாசின், டானின், புரதம், பீனாலிக் சேர்மங்கள்.</v>
      </c>
      <c r="AU184" s="4" t="s">
        <v>2273</v>
      </c>
      <c r="AV184" s="3"/>
      <c r="AW184" s="3" t="str">
        <f ca="1">IFERROR(__xludf.DUMMYFUNCTION("GOOGLETRANSLATE(AX184,""en"",""ta"")"),"கூம்புகளை பேஸ்டாக உருவாக்கி, இடுப்புப் பகுதியில் தடவினால், சிறுநீரக வலி நீங்கும். சிறு துண்டுகளைப் பொடி செய்து, மிட்டாய் தயாரிக்கும்போது, ​​விதை பலவீனத்தில் பயனுள்ளதாக இருக்கும்.")</f>
        <v>கூம்புகளை பேஸ்டாக உருவாக்கி, இடுப்புப் பகுதியில் தடவினால், சிறுநீரக வலி நீங்கும். சிறு துண்டுகளைப் பொடி செய்து, மிட்டாய் தயாரிக்கும்போது, ​​விதை பலவீனத்தில் பயனுள்ளதாக இருக்கும்.</v>
      </c>
      <c r="AX184" s="4" t="s">
        <v>2274</v>
      </c>
      <c r="AY184" s="3"/>
      <c r="AZ184" s="3"/>
      <c r="BA184" s="3"/>
      <c r="BB184" s="3"/>
      <c r="BC184" s="3"/>
      <c r="BD184" s="3"/>
      <c r="BE184" s="3"/>
      <c r="BF184" s="3"/>
    </row>
    <row r="185" spans="1:58" ht="42" x14ac:dyDescent="0.15">
      <c r="A185" s="3">
        <v>184</v>
      </c>
      <c r="B185" s="3" t="str">
        <f ca="1">IFERROR(__xludf.DUMMYFUNCTION("GOOGLETRANSLATE(C185,""en"",""ta"")"),"சைக்லியா பெல்டாட்டா")</f>
        <v>சைக்லியா பெல்டாட்டா</v>
      </c>
      <c r="C185" s="4" t="s">
        <v>2275</v>
      </c>
      <c r="D185" s="3" t="str">
        <f ca="1">IFERROR(__xludf.DUMMYFUNCTION("GOOGLETRANSLATE(E185,""en"",""ta"")"),"பாதா")</f>
        <v>பாதா</v>
      </c>
      <c r="E185" s="4" t="s">
        <v>2276</v>
      </c>
      <c r="F185" s="3" t="str">
        <f ca="1">IFERROR(__xludf.DUMMYFUNCTION("GOOGLETRANSLATE(G185,""en"",""ta"")"),"படை கிழங்கு")</f>
        <v>படை கிழங்கு</v>
      </c>
      <c r="G185" s="4" t="s">
        <v>2277</v>
      </c>
      <c r="H185" s="3" t="str">
        <f ca="1">IFERROR(__xludf.DUMMYFUNCTION("GOOGLETRANSLATE(I185,""en"",""ta"")"),"படா வேர்")</f>
        <v>படா வேர்</v>
      </c>
      <c r="I185" s="4" t="s">
        <v>2278</v>
      </c>
      <c r="J185" s="3" t="str">
        <f ca="1">IFERROR(__xludf.DUMMYFUNCTION("GOOGLETRANSLATE(K185,""en"",""ta"")"),"பாதா")</f>
        <v>பாதா</v>
      </c>
      <c r="K185" s="4" t="s">
        <v>2276</v>
      </c>
      <c r="L185" s="3" t="str">
        <f ca="1">IFERROR(__xludf.DUMMYFUNCTION("GOOGLETRANSLATE(M185,""en"",""ta"")"),"படாய் கிழங்கா")</f>
        <v>படாய் கிழங்கா</v>
      </c>
      <c r="M185" s="4" t="s">
        <v>2279</v>
      </c>
      <c r="N185" s="3" t="str">
        <f ca="1">IFERROR(__xludf.DUMMYFUNCTION("GOOGLETRANSLATE(O185,""en"",""ta"")"),"திண்டு")</f>
        <v>திண்டு</v>
      </c>
      <c r="O185" s="3" t="s">
        <v>2280</v>
      </c>
      <c r="P185" s="3"/>
      <c r="Q185" s="3" t="str">
        <f ca="1">IFERROR(__xludf.DUMMYFUNCTION("GOOGLETRANSLATE(R185,""en"",""ta"")"),"அதிகமாக கிளைத்த ஏறும் புதர், இலைகள் பொதுவாக உரோமங்களுடையவை. பூக்கள் சிறியவை, பச்சை மஞ்சள் நிறத்தில் இலைக்கோணங்களில் காணப்படும். பழங்கள் உள்ளோட்டு, முட்டை வடிவானது. விதைகள் வளைந்திருக்கும்.")</f>
        <v>அதிகமாக கிளைத்த ஏறும் புதர், இலைகள் பொதுவாக உரோமங்களுடையவை. பூக்கள் சிறியவை, பச்சை மஞ்சள் நிறத்தில் இலைக்கோணங்களில் காணப்படும். பழங்கள் உள்ளோட்டு, முட்டை வடிவானது. விதைகள் வளைந்திருக்கும்.</v>
      </c>
      <c r="R185" s="4" t="s">
        <v>2281</v>
      </c>
      <c r="S185" s="3" t="str">
        <f ca="1">IFERROR(__xludf.DUMMYFUNCTION("GOOGLETRANSLATE(T185,""en"",""ta"")"),"#VALUE!")</f>
        <v>#VALUE!</v>
      </c>
      <c r="T185" s="3"/>
      <c r="U185" s="3" t="str">
        <f ca="1">IFERROR(__xludf.DUMMYFUNCTION("GOOGLETRANSLATE(V185,""en"",""ta"")"),"#VALUE!")</f>
        <v>#VALUE!</v>
      </c>
      <c r="V185" s="3"/>
      <c r="W185" s="3" t="str">
        <f ca="1">IFERROR(__xludf.DUMMYFUNCTION("GOOGLETRANSLATE(X185,""en"",""ta"")"),"#VALUE!")</f>
        <v>#VALUE!</v>
      </c>
      <c r="X185" s="3"/>
      <c r="Y185" s="3" t="str">
        <f ca="1">IFERROR(__xludf.DUMMYFUNCTION("GOOGLETRANSLATE(Z185,""en"",""ta"")"),"#VALUE!")</f>
        <v>#VALUE!</v>
      </c>
      <c r="Z185" s="3"/>
      <c r="AA185" s="3" t="str">
        <f ca="1">IFERROR(__xludf.DUMMYFUNCTION("GOOGLETRANSLATE(AB185,""en"",""ta"")"),"#VALUE!")</f>
        <v>#VALUE!</v>
      </c>
      <c r="AB185" s="3"/>
      <c r="AC185" s="3" t="str">
        <f ca="1">IFERROR(__xludf.DUMMYFUNCTION("GOOGLETRANSLATE(AD185,""en"",""ta"")"),"#VALUE!")</f>
        <v>#VALUE!</v>
      </c>
      <c r="AD185" s="3"/>
      <c r="AE185" s="3" t="str">
        <f ca="1">IFERROR(__xludf.DUMMYFUNCTION("GOOGLETRANSLATE(AF185,""en"",""ta"")"),"#VALUE!")</f>
        <v>#VALUE!</v>
      </c>
      <c r="AF185" s="3"/>
      <c r="AG185" s="3" t="str">
        <f ca="1">IFERROR(__xludf.DUMMYFUNCTION("GOOGLETRANSLATE(AH185,""en"",""ta"")"),"#VALUE!")</f>
        <v>#VALUE!</v>
      </c>
      <c r="AH185" s="3"/>
      <c r="AI185" s="3" t="str">
        <f ca="1">IFERROR(__xludf.DUMMYFUNCTION("GOOGLETRANSLATE(AJ185,""en"",""ta"")"),"#VALUE!")</f>
        <v>#VALUE!</v>
      </c>
      <c r="AJ185" s="3"/>
      <c r="AK185" s="3" t="str">
        <f ca="1">IFERROR(__xludf.DUMMYFUNCTION("GOOGLETRANSLATE(AL185,""en"",""ta"")"),"#VALUE!")</f>
        <v>#VALUE!</v>
      </c>
      <c r="AL185" s="3"/>
      <c r="AM185" s="3" t="str">
        <f ca="1">IFERROR(__xludf.DUMMYFUNCTION("GOOGLETRANSLATE(AN185,""en"",""ta"")"),"#VALUE!")</f>
        <v>#VALUE!</v>
      </c>
      <c r="AN185" s="3"/>
      <c r="AO185" s="3" t="str">
        <f ca="1">IFERROR(__xludf.DUMMYFUNCTION("GOOGLETRANSLATE(AP185,""en"",""ta"")"),"#VALUE!")</f>
        <v>#VALUE!</v>
      </c>
      <c r="AP185" s="3"/>
      <c r="AQ185" s="3"/>
      <c r="AR185" s="3" t="str">
        <f ca="1">IFERROR(__xludf.DUMMYFUNCTION("GOOGLETRANSLATE(AS185,""en"",""ta"")"),"நரம்பு மண்டல டானிக், மாற்று மருந்து மற்றும் அனோடைன்")</f>
        <v>நரம்பு மண்டல டானிக், மாற்று மருந்து மற்றும் அனோடைன்</v>
      </c>
      <c r="AS185" s="4" t="s">
        <v>2282</v>
      </c>
      <c r="AT185" s="3" t="str">
        <f ca="1">IFERROR(__xludf.DUMMYFUNCTION("GOOGLETRANSLATE(AU185,""en"",""ta"")"),"சைக்ளியாபெல்டைன், சைக்ளியாட்ரின், சைக்ளியாக்குரின், டெட்ராண்ட்ரின் மற்றும் சைக்ளியாஹோமைன்")</f>
        <v>சைக்ளியாபெல்டைன், சைக்ளியாட்ரின், சைக்ளியாக்குரின், டெட்ராண்ட்ரின் மற்றும் சைக்ளியாஹோமைன்</v>
      </c>
      <c r="AU185" s="4" t="s">
        <v>2283</v>
      </c>
      <c r="AV185" s="3"/>
      <c r="AW185" s="3" t="str">
        <f ca="1">IFERROR(__xludf.DUMMYFUNCTION("GOOGLETRANSLATE(AX185,""en"",""ta"")"),"சிறுநீர் நோய்கள் மற்றும் வயிற்றுப்போக்குக்கு வேர்ப் பொடியை உள்ளே கொடுக்கலாம். காய்ச்சல், ஆஸ்துமா மற்றும் மஞ்சள் காமாலை ஆகியவற்றைக் குறைக்க வேர் கஷாயம் உள்ளே கொடுக்கலாம்.")</f>
        <v>சிறுநீர் நோய்கள் மற்றும் வயிற்றுப்போக்குக்கு வேர்ப் பொடியை உள்ளே கொடுக்கலாம். காய்ச்சல், ஆஸ்துமா மற்றும் மஞ்சள் காமாலை ஆகியவற்றைக் குறைக்க வேர் கஷாயம் உள்ளே கொடுக்கலாம்.</v>
      </c>
      <c r="AX185" s="4" t="s">
        <v>2284</v>
      </c>
      <c r="AY185" s="3"/>
      <c r="AZ185" s="3"/>
      <c r="BA185" s="3"/>
      <c r="BB185" s="3"/>
      <c r="BC185" s="3"/>
      <c r="BD185" s="3"/>
      <c r="BE185" s="3"/>
      <c r="BF185" s="3"/>
    </row>
    <row r="186" spans="1:58" ht="42" x14ac:dyDescent="0.15">
      <c r="A186" s="3">
        <v>185</v>
      </c>
      <c r="B186" s="3" t="str">
        <f ca="1">IFERROR(__xludf.DUMMYFUNCTION("GOOGLETRANSLATE(C186,""en"",""ta"")"),"சிம்போபோகன் சிட்ராடஸ்")</f>
        <v>சிம்போபோகன் சிட்ராடஸ்</v>
      </c>
      <c r="C186" s="4" t="s">
        <v>2285</v>
      </c>
      <c r="D186" s="3" t="str">
        <f ca="1">IFERROR(__xludf.DUMMYFUNCTION("GOOGLETRANSLATE(E186,""en"",""ta"")"),"புஷ்ட்ரினா")</f>
        <v>புஷ்ட்ரினா</v>
      </c>
      <c r="E186" s="4" t="s">
        <v>2286</v>
      </c>
      <c r="F186" s="3" t="str">
        <f ca="1">IFERROR(__xludf.DUMMYFUNCTION("GOOGLETRANSLATE(G186,""en"",""ta"")"),"எலுமிச்சை புல்")</f>
        <v>எலுமிச்சை புல்</v>
      </c>
      <c r="G186" s="4" t="s">
        <v>2287</v>
      </c>
      <c r="H186" s="3" t="str">
        <f ca="1">IFERROR(__xludf.DUMMYFUNCTION("GOOGLETRANSLATE(I186,""en"",""ta"")"),"எலுமிச்சை புல்")</f>
        <v>எலுமிச்சை புல்</v>
      </c>
      <c r="I186" s="4" t="s">
        <v>2288</v>
      </c>
      <c r="J186" s="3" t="str">
        <f ca="1">IFERROR(__xludf.DUMMYFUNCTION("GOOGLETRANSLATE(K186,""en"",""ta"")"),"நிம்மகாதி")</f>
        <v>நிம்மகாதி</v>
      </c>
      <c r="K186" s="4" t="s">
        <v>2289</v>
      </c>
      <c r="L186" s="3" t="str">
        <f ca="1">IFERROR(__xludf.DUMMYFUNCTION("GOOGLETRANSLATE(M186,""en"",""ta"")"),"சாயாபுல்")</f>
        <v>சாயாபுல்</v>
      </c>
      <c r="M186" s="4" t="s">
        <v>2290</v>
      </c>
      <c r="N186" s="3" t="str">
        <f ca="1">IFERROR(__xludf.DUMMYFUNCTION("GOOGLETRANSLATE(O186,""en"",""ta"")"),"கந்தாத்ரானா")</f>
        <v>கந்தாத்ரானா</v>
      </c>
      <c r="O186" s="4" t="s">
        <v>2291</v>
      </c>
      <c r="P186" s="3"/>
      <c r="Q186" s="3" t="str">
        <f ca="1">IFERROR(__xludf.DUMMYFUNCTION("GOOGLETRANSLATE(R186,""en"",""ta"")"),"வற்றாத, நிமிர்ந்த மூலிகை, இலைகள் தட்டையானவை மற்றும் நேரியல். மஞ்சரி ஜோடியாக, அரிதாக தனித்த ஸ்பைக்லெட்டாக இருக்கும். காம்பற்றது மற்றும் சுருக்கப்பட்டது. பழங்கள் மெல்லியவை அல்லது நீள்வட்டமானது.")</f>
        <v>வற்றாத, நிமிர்ந்த மூலிகை, இலைகள் தட்டையானவை மற்றும் நேரியல். மஞ்சரி ஜோடியாக, அரிதாக தனித்த ஸ்பைக்லெட்டாக இருக்கும். காம்பற்றது மற்றும் சுருக்கப்பட்டது. பழங்கள் மெல்லியவை அல்லது நீள்வட்டமானது.</v>
      </c>
      <c r="R186" s="4" t="s">
        <v>2292</v>
      </c>
      <c r="S186" s="3" t="str">
        <f ca="1">IFERROR(__xludf.DUMMYFUNCTION("GOOGLETRANSLATE(T186,""en"",""ta"")"),"#VALUE!")</f>
        <v>#VALUE!</v>
      </c>
      <c r="T186" s="3"/>
      <c r="U186" s="3" t="str">
        <f ca="1">IFERROR(__xludf.DUMMYFUNCTION("GOOGLETRANSLATE(V186,""en"",""ta"")"),"#VALUE!")</f>
        <v>#VALUE!</v>
      </c>
      <c r="V186" s="3"/>
      <c r="W186" s="3" t="str">
        <f ca="1">IFERROR(__xludf.DUMMYFUNCTION("GOOGLETRANSLATE(X186,""en"",""ta"")"),"#VALUE!")</f>
        <v>#VALUE!</v>
      </c>
      <c r="X186" s="3"/>
      <c r="Y186" s="3" t="str">
        <f ca="1">IFERROR(__xludf.DUMMYFUNCTION("GOOGLETRANSLATE(Z186,""en"",""ta"")"),"#VALUE!")</f>
        <v>#VALUE!</v>
      </c>
      <c r="Z186" s="3"/>
      <c r="AA186" s="3" t="str">
        <f ca="1">IFERROR(__xludf.DUMMYFUNCTION("GOOGLETRANSLATE(AB186,""en"",""ta"")"),"#VALUE!")</f>
        <v>#VALUE!</v>
      </c>
      <c r="AB186" s="3"/>
      <c r="AC186" s="3" t="str">
        <f ca="1">IFERROR(__xludf.DUMMYFUNCTION("GOOGLETRANSLATE(AD186,""en"",""ta"")"),"#VALUE!")</f>
        <v>#VALUE!</v>
      </c>
      <c r="AD186" s="3"/>
      <c r="AE186" s="3" t="str">
        <f ca="1">IFERROR(__xludf.DUMMYFUNCTION("GOOGLETRANSLATE(AF186,""en"",""ta"")"),"#VALUE!")</f>
        <v>#VALUE!</v>
      </c>
      <c r="AF186" s="3"/>
      <c r="AG186" s="3" t="str">
        <f ca="1">IFERROR(__xludf.DUMMYFUNCTION("GOOGLETRANSLATE(AH186,""en"",""ta"")"),"#VALUE!")</f>
        <v>#VALUE!</v>
      </c>
      <c r="AH186" s="3"/>
      <c r="AI186" s="3" t="str">
        <f ca="1">IFERROR(__xludf.DUMMYFUNCTION("GOOGLETRANSLATE(AJ186,""en"",""ta"")"),"#VALUE!")</f>
        <v>#VALUE!</v>
      </c>
      <c r="AJ186" s="3"/>
      <c r="AK186" s="3" t="str">
        <f ca="1">IFERROR(__xludf.DUMMYFUNCTION("GOOGLETRANSLATE(AL186,""en"",""ta"")"),"கீல்வாதம், குடல் கோளாறுகள் மற்றும் காலரா.")</f>
        <v>கீல்வாதம், குடல் கோளாறுகள் மற்றும் காலரா.</v>
      </c>
      <c r="AL186" s="4" t="s">
        <v>2293</v>
      </c>
      <c r="AM186" s="3" t="str">
        <f ca="1">IFERROR(__xludf.DUMMYFUNCTION("GOOGLETRANSLATE(AN186,""en"",""ta"")"),"#VALUE!")</f>
        <v>#VALUE!</v>
      </c>
      <c r="AN186" s="3"/>
      <c r="AO186" s="3" t="str">
        <f ca="1">IFERROR(__xludf.DUMMYFUNCTION("GOOGLETRANSLATE(AP186,""en"",""ta"")"),"#VALUE!")</f>
        <v>#VALUE!</v>
      </c>
      <c r="AP186" s="3"/>
      <c r="AQ186" s="3"/>
      <c r="AR186" s="3" t="str">
        <f ca="1">IFERROR(__xludf.DUMMYFUNCTION("GOOGLETRANSLATE(AS186,""en"",""ta"")"),"சிம்போபோகோன், ட்ரைடர்பெனாய்டு, சிம்போபோகோனால், டி-லிமோனீன் மற்றும் சிட்ரோல்.")</f>
        <v>சிம்போபோகோன், ட்ரைடர்பெனாய்டு, சிம்போபோகோனால், டி-லிமோனீன் மற்றும் சிட்ரோல்.</v>
      </c>
      <c r="AS186" s="4" t="s">
        <v>2294</v>
      </c>
      <c r="AT186" s="3" t="str">
        <f ca="1">IFERROR(__xludf.DUMMYFUNCTION("GOOGLETRANSLATE(AU186,""en"",""ta"")"),"சிம்போபோகோன், ட்ரைடர்பெனாய்டு, சிம்போபோகோனால், டி-லிமோனீன் மற்றும் சிட்ரோல்.")</f>
        <v>சிம்போபோகோன், ட்ரைடர்பெனாய்டு, சிம்போபோகோனால், டி-லிமோனீன் மற்றும் சிட்ரோல்.</v>
      </c>
      <c r="AU186" s="4" t="s">
        <v>2294</v>
      </c>
      <c r="AV186" s="3"/>
      <c r="AW186" s="3" t="str">
        <f ca="1">IFERROR(__xludf.DUMMYFUNCTION("GOOGLETRANSLATE(AX186,""en"",""ta"")"),"இலைக் கஷாயம் குழந்தைகளுக்கு நல்ல பசியைத் தூண்டும். மூட்டுவலி மற்றும் சுளுக்குகளுக்கு எண்ணெய் வெளிப்புறமாகப் பயன்படுத்தப்படுகிறது.")</f>
        <v>இலைக் கஷாயம் குழந்தைகளுக்கு நல்ல பசியைத் தூண்டும். மூட்டுவலி மற்றும் சுளுக்குகளுக்கு எண்ணெய் வெளிப்புறமாகப் பயன்படுத்தப்படுகிறது.</v>
      </c>
      <c r="AX186" s="4" t="s">
        <v>2295</v>
      </c>
      <c r="AY186" s="3"/>
      <c r="AZ186" s="3"/>
      <c r="BA186" s="3"/>
      <c r="BB186" s="3"/>
      <c r="BC186" s="3"/>
      <c r="BD186" s="3"/>
      <c r="BE186" s="3"/>
      <c r="BF186" s="3"/>
    </row>
    <row r="187" spans="1:58" ht="70" x14ac:dyDescent="0.15">
      <c r="A187" s="3">
        <v>186</v>
      </c>
      <c r="B187" s="3" t="str">
        <f ca="1">IFERROR(__xludf.DUMMYFUNCTION("GOOGLETRANSLATE(C187,""en"",""ta"")"),"சிம்போபோகன் முரிகேட்டஸ்")</f>
        <v>சிம்போபோகன் முரிகேட்டஸ்</v>
      </c>
      <c r="C187" s="4" t="s">
        <v>2296</v>
      </c>
      <c r="D187" s="3" t="str">
        <f ca="1">IFERROR(__xludf.DUMMYFUNCTION("GOOGLETRANSLATE(E187,""en"",""ta"")"),"உஷீரா")</f>
        <v>உஷீரா</v>
      </c>
      <c r="E187" s="4" t="s">
        <v>2297</v>
      </c>
      <c r="F187" s="3" t="str">
        <f ca="1">IFERROR(__xludf.DUMMYFUNCTION("GOOGLETRANSLATE(G187,""en"",""ta"")"),"வெட்டிவர்")</f>
        <v>வெட்டிவர்</v>
      </c>
      <c r="G187" s="4" t="s">
        <v>2298</v>
      </c>
      <c r="H187" s="3" t="str">
        <f ca="1">IFERROR(__xludf.DUMMYFUNCTION("GOOGLETRANSLATE(I187,""en"",""ta"")"),"குஸ்-குஸ் புல்")</f>
        <v>குஸ்-குஸ் புல்</v>
      </c>
      <c r="I187" s="4" t="s">
        <v>2299</v>
      </c>
      <c r="J187" s="3" t="str">
        <f ca="1">IFERROR(__xludf.DUMMYFUNCTION("GOOGLETRANSLATE(K187,""en"",""ta"")"),"வேட்டி வெல்லு")</f>
        <v>வேட்டி வெல்லு</v>
      </c>
      <c r="K187" s="4" t="s">
        <v>2300</v>
      </c>
      <c r="L187" s="3" t="str">
        <f ca="1">IFERROR(__xludf.DUMMYFUNCTION("GOOGLETRANSLATE(M187,""en"",""ta"")"),"ராமச்சம்")</f>
        <v>ராமச்சம்</v>
      </c>
      <c r="M187" s="4" t="s">
        <v>2301</v>
      </c>
      <c r="N187" s="3" t="str">
        <f ca="1">IFERROR(__xludf.DUMMYFUNCTION("GOOGLETRANSLATE(O187,""en"",""ta"")"),"காஸ்-காஸ்")</f>
        <v>காஸ்-காஸ்</v>
      </c>
      <c r="O187" s="4" t="s">
        <v>2302</v>
      </c>
      <c r="P187" s="3"/>
      <c r="Q187" s="3" t="str">
        <f ca="1">IFERROR(__xludf.DUMMYFUNCTION("GOOGLETRANSLATE(R187,""en"",""ta"")"),"அடர்த்தியான குட்டையான புல், நறுமணமுள்ள வேர்த்தண்டுக்கிழங்கிலிருந்து எழும் தண்டுகள். இலைகள் எளிமையானவை, நேரியல், குறுகியவை, நிமிர்ந்தவை, சிரங்கு விளிம்புகளுடன் உரோமங்களற்றவை. மஞ்சரி ஸ்பைக்லெட். மலர்கள் 2, கீழ் பூ ஒரு லெம்மாவாகக் குறைக்கப்பட்டது, மேல் இருபா"&amp;"ல் மற்றும் காம்பற்றது. கனி காரியோப்சிஸ். விதைகள் சிறியவை, சுருக்கப்பட்டவை மற்றும் வெளிர் நிறத்தில் இருக்கும்.")</f>
        <v>அடர்த்தியான குட்டையான புல், நறுமணமுள்ள வேர்த்தண்டுக்கிழங்கிலிருந்து எழும் தண்டுகள். இலைகள் எளிமையானவை, நேரியல், குறுகியவை, நிமிர்ந்தவை, சிரங்கு விளிம்புகளுடன் உரோமங்களற்றவை. மஞ்சரி ஸ்பைக்லெட். மலர்கள் 2, கீழ் பூ ஒரு லெம்மாவாகக் குறைக்கப்பட்டது, மேல் இருபால் மற்றும் காம்பற்றது. கனி காரியோப்சிஸ். விதைகள் சிறியவை, சுருக்கப்பட்டவை மற்றும் வெளிர் நிறத்தில் இருக்கும்.</v>
      </c>
      <c r="R187" s="4" t="s">
        <v>2303</v>
      </c>
      <c r="S187" s="3" t="str">
        <f ca="1">IFERROR(__xludf.DUMMYFUNCTION("GOOGLETRANSLATE(T187,""en"",""ta"")"),"#VALUE!")</f>
        <v>#VALUE!</v>
      </c>
      <c r="T187" s="3"/>
      <c r="U187" s="3" t="str">
        <f ca="1">IFERROR(__xludf.DUMMYFUNCTION("GOOGLETRANSLATE(V187,""en"",""ta"")"),"#VALUE!")</f>
        <v>#VALUE!</v>
      </c>
      <c r="V187" s="3"/>
      <c r="W187" s="3" t="str">
        <f ca="1">IFERROR(__xludf.DUMMYFUNCTION("GOOGLETRANSLATE(X187,""en"",""ta"")"),"#VALUE!")</f>
        <v>#VALUE!</v>
      </c>
      <c r="X187" s="3"/>
      <c r="Y187" s="3" t="str">
        <f ca="1">IFERROR(__xludf.DUMMYFUNCTION("GOOGLETRANSLATE(Z187,""en"",""ta"")"),"#VALUE!")</f>
        <v>#VALUE!</v>
      </c>
      <c r="Z187" s="3"/>
      <c r="AA187" s="3" t="str">
        <f ca="1">IFERROR(__xludf.DUMMYFUNCTION("GOOGLETRANSLATE(AB187,""en"",""ta"")"),"#VALUE!")</f>
        <v>#VALUE!</v>
      </c>
      <c r="AB187" s="3"/>
      <c r="AC187" s="3" t="str">
        <f ca="1">IFERROR(__xludf.DUMMYFUNCTION("GOOGLETRANSLATE(AD187,""en"",""ta"")"),"#VALUE!")</f>
        <v>#VALUE!</v>
      </c>
      <c r="AD187" s="3"/>
      <c r="AE187" s="3" t="str">
        <f ca="1">IFERROR(__xludf.DUMMYFUNCTION("GOOGLETRANSLATE(AF187,""en"",""ta"")"),"#VALUE!")</f>
        <v>#VALUE!</v>
      </c>
      <c r="AF187" s="3"/>
      <c r="AG187" s="3" t="str">
        <f ca="1">IFERROR(__xludf.DUMMYFUNCTION("GOOGLETRANSLATE(AH187,""en"",""ta"")"),"#VALUE!")</f>
        <v>#VALUE!</v>
      </c>
      <c r="AH187" s="3"/>
      <c r="AI187" s="3" t="str">
        <f ca="1">IFERROR(__xludf.DUMMYFUNCTION("GOOGLETRANSLATE(AJ187,""en"",""ta"")"),"#VALUE!")</f>
        <v>#VALUE!</v>
      </c>
      <c r="AJ187" s="3"/>
      <c r="AK187" s="3" t="str">
        <f ca="1">IFERROR(__xludf.DUMMYFUNCTION("GOOGLETRANSLATE(AL187,""en"",""ta"")"),"#VALUE!")</f>
        <v>#VALUE!</v>
      </c>
      <c r="AL187" s="3"/>
      <c r="AM187" s="3" t="str">
        <f ca="1">IFERROR(__xludf.DUMMYFUNCTION("GOOGLETRANSLATE(AN187,""en"",""ta"")"),"#VALUE!")</f>
        <v>#VALUE!</v>
      </c>
      <c r="AN187" s="3"/>
      <c r="AO187" s="3" t="str">
        <f ca="1">IFERROR(__xludf.DUMMYFUNCTION("GOOGLETRANSLATE(AP187,""en"",""ta"")"),"#VALUE!")</f>
        <v>#VALUE!</v>
      </c>
      <c r="AP187" s="3"/>
      <c r="AQ187" s="3"/>
      <c r="AR187" s="3" t="str">
        <f ca="1">IFERROR(__xludf.DUMMYFUNCTION("GOOGLETRANSLATE(AS187,""en"",""ta"")"),"டானிக், குளிர்பதனப் பொருள், வயிற்றுப் போக்கி, சிறுநீர்ப் பெருக்கி மற்றும் எம்மெனாகோக்.")</f>
        <v>டானிக், குளிர்பதனப் பொருள், வயிற்றுப் போக்கி, சிறுநீர்ப் பெருக்கி மற்றும் எம்மெனாகோக்.</v>
      </c>
      <c r="AS187" s="4" t="s">
        <v>2304</v>
      </c>
      <c r="AT187" s="3" t="str">
        <f ca="1">IFERROR(__xludf.DUMMYFUNCTION("GOOGLETRANSLATE(AU187,""en"",""ta"")"),"ஜிசானீன், செஸ்குவிடர்பீன்ஸ், சைக்ளோகோபகாம்பீனால், ஜிசானால், வெட்டிசெலினெனால், லெவோஜுனெனால், ஆவியாகும் அத்தியாவசிய எண்ணெய் மற்றும் ரெசின்")</f>
        <v>ஜிசானீன், செஸ்குவிடர்பீன்ஸ், சைக்ளோகோபகாம்பீனால், ஜிசானால், வெட்டிசெலினெனால், லெவோஜுனெனால், ஆவியாகும் அத்தியாவசிய எண்ணெய் மற்றும் ரெசின்</v>
      </c>
      <c r="AU187" s="4" t="s">
        <v>2305</v>
      </c>
      <c r="AV187" s="3"/>
      <c r="AW187" s="3" t="str">
        <f ca="1">IFERROR(__xludf.DUMMYFUNCTION("GOOGLETRANSLATE(AX187,""en"",""ta"")"),"வேர்களை வெதுவெதுப்பான நீரில் நனைத்து காய்ச்சலுக்கு கொடுக்க வேண்டும். வேர் பேஸ்டை உடலில் ஏற்படும் எரியும் உணர்வுக்கு வெளிப்புறமாகப் பயன்படுத்த வேண்டும்.")</f>
        <v>வேர்களை வெதுவெதுப்பான நீரில் நனைத்து காய்ச்சலுக்கு கொடுக்க வேண்டும். வேர் பேஸ்டை உடலில் ஏற்படும் எரியும் உணர்வுக்கு வெளிப்புறமாகப் பயன்படுத்த வேண்டும்.</v>
      </c>
      <c r="AX187" s="4" t="s">
        <v>2306</v>
      </c>
      <c r="AY187" s="3"/>
      <c r="AZ187" s="3"/>
      <c r="BA187" s="3"/>
      <c r="BB187" s="3"/>
      <c r="BC187" s="3"/>
      <c r="BD187" s="3"/>
      <c r="BE187" s="3"/>
      <c r="BF187" s="3"/>
    </row>
    <row r="188" spans="1:58" ht="70" x14ac:dyDescent="0.15">
      <c r="A188" s="3">
        <v>187</v>
      </c>
      <c r="B188" s="3" t="str">
        <f ca="1">IFERROR(__xludf.DUMMYFUNCTION("GOOGLETRANSLATE(C188,""en"",""ta"")"),"சிம்போபோகன் நார்டஸ்")</f>
        <v>சிம்போபோகன் நார்டஸ்</v>
      </c>
      <c r="C188" s="4" t="s">
        <v>2307</v>
      </c>
      <c r="D188" s="3" t="str">
        <f ca="1">IFERROR(__xludf.DUMMYFUNCTION("GOOGLETRANSLATE(E188,""en"",""ta"")"),"குச்சா")</f>
        <v>குச்சா</v>
      </c>
      <c r="E188" s="4" t="s">
        <v>2308</v>
      </c>
      <c r="F188" s="3" t="str">
        <f ca="1">IFERROR(__xludf.DUMMYFUNCTION("GOOGLETRANSLATE(G188,""en"",""ta"")"),"காமாக்ஷி புல்")</f>
        <v>காமாக்ஷி புல்</v>
      </c>
      <c r="G188" s="4" t="s">
        <v>2309</v>
      </c>
      <c r="H188" s="3" t="str">
        <f ca="1">IFERROR(__xludf.DUMMYFUNCTION("GOOGLETRANSLATE(I188,""en"",""ta"")"),"சிட்ரோனெல்லா புல்")</f>
        <v>சிட்ரோனெல்லா புல்</v>
      </c>
      <c r="I188" s="4" t="s">
        <v>2310</v>
      </c>
      <c r="J188" s="3" t="str">
        <f ca="1">IFERROR(__xludf.DUMMYFUNCTION("GOOGLETRANSLATE(K188,""en"",""ta"")"),"அல்லுப்பு")</f>
        <v>அல்லுப்பு</v>
      </c>
      <c r="K188" s="4" t="s">
        <v>2311</v>
      </c>
      <c r="L188" s="3" t="str">
        <f ca="1">IFERROR(__xludf.DUMMYFUNCTION("GOOGLETRANSLATE(M188,""en"",""ta"")"),"ஊஷாதனா")</f>
        <v>ஊஷாதனா</v>
      </c>
      <c r="M188" s="4" t="s">
        <v>2312</v>
      </c>
      <c r="N188" s="3" t="str">
        <f ca="1">IFERROR(__xludf.DUMMYFUNCTION("GOOGLETRANSLATE(O188,""en"",""ta"")"),"கஞ்சினி")</f>
        <v>கஞ்சினி</v>
      </c>
      <c r="O188" s="4" t="s">
        <v>2313</v>
      </c>
      <c r="P188" s="3"/>
      <c r="Q188" s="3" t="str">
        <f ca="1">IFERROR(__xludf.DUMMYFUNCTION("GOOGLETRANSLATE(R188,""en"",""ta"")"),"வருடாந்திர அல்லது வற்றாத உயரமான, அதிக கிளைகளைக் கொண்ட புல். இலைகள் எளிமையானவை, நேரியல், கூரிய முனை, நுனி இழை வடிவமானது மற்றும் குறுகியது, வெள்ளை மைய நரம்புடன் கூடியது. மஞ்சரி ஸ்பைக்லெட்டுகள், காம்பற்றது, மூட்டுகள் மற்றும் மலர்காம்புகள் கிளேவேட். பழங்கள் க"&amp;"்ரீமோகார்ப்.")</f>
        <v>வருடாந்திர அல்லது வற்றாத உயரமான, அதிக கிளைகளைக் கொண்ட புல். இலைகள் எளிமையானவை, நேரியல், கூரிய முனை, நுனி இழை வடிவமானது மற்றும் குறுகியது, வெள்ளை மைய நரம்புடன் கூடியது. மஞ்சரி ஸ்பைக்லெட்டுகள், காம்பற்றது, மூட்டுகள் மற்றும் மலர்காம்புகள் கிளேவேட். பழங்கள் க்ரீமோகார்ப்.</v>
      </c>
      <c r="R188" s="4" t="s">
        <v>2314</v>
      </c>
      <c r="S188" s="3" t="str">
        <f ca="1">IFERROR(__xludf.DUMMYFUNCTION("GOOGLETRANSLATE(T188,""en"",""ta"")"),"#VALUE!")</f>
        <v>#VALUE!</v>
      </c>
      <c r="T188" s="3"/>
      <c r="U188" s="3" t="str">
        <f ca="1">IFERROR(__xludf.DUMMYFUNCTION("GOOGLETRANSLATE(V188,""en"",""ta"")"),"#VALUE!")</f>
        <v>#VALUE!</v>
      </c>
      <c r="V188" s="3"/>
      <c r="W188" s="3" t="str">
        <f ca="1">IFERROR(__xludf.DUMMYFUNCTION("GOOGLETRANSLATE(X188,""en"",""ta"")"),"#VALUE!")</f>
        <v>#VALUE!</v>
      </c>
      <c r="X188" s="3"/>
      <c r="Y188" s="3" t="str">
        <f ca="1">IFERROR(__xludf.DUMMYFUNCTION("GOOGLETRANSLATE(Z188,""en"",""ta"")"),"#VALUE!")</f>
        <v>#VALUE!</v>
      </c>
      <c r="Z188" s="3"/>
      <c r="AA188" s="3" t="str">
        <f ca="1">IFERROR(__xludf.DUMMYFUNCTION("GOOGLETRANSLATE(AB188,""en"",""ta"")"),"#VALUE!")</f>
        <v>#VALUE!</v>
      </c>
      <c r="AB188" s="3"/>
      <c r="AC188" s="3" t="str">
        <f ca="1">IFERROR(__xludf.DUMMYFUNCTION("GOOGLETRANSLATE(AD188,""en"",""ta"")"),"#VALUE!")</f>
        <v>#VALUE!</v>
      </c>
      <c r="AD188" s="3"/>
      <c r="AE188" s="3" t="str">
        <f ca="1">IFERROR(__xludf.DUMMYFUNCTION("GOOGLETRANSLATE(AF188,""en"",""ta"")"),"#VALUE!")</f>
        <v>#VALUE!</v>
      </c>
      <c r="AF188" s="3"/>
      <c r="AG188" s="3" t="str">
        <f ca="1">IFERROR(__xludf.DUMMYFUNCTION("GOOGLETRANSLATE(AH188,""en"",""ta"")"),"#VALUE!")</f>
        <v>#VALUE!</v>
      </c>
      <c r="AH188" s="3"/>
      <c r="AI188" s="3" t="str">
        <f ca="1">IFERROR(__xludf.DUMMYFUNCTION("GOOGLETRANSLATE(AJ188,""en"",""ta"")"),"#VALUE!")</f>
        <v>#VALUE!</v>
      </c>
      <c r="AJ188" s="3"/>
      <c r="AK188" s="3" t="str">
        <f ca="1">IFERROR(__xludf.DUMMYFUNCTION("GOOGLETRANSLATE(AL188,""en"",""ta"")"),"#VALUE!")</f>
        <v>#VALUE!</v>
      </c>
      <c r="AL188" s="3"/>
      <c r="AM188" s="3" t="str">
        <f ca="1">IFERROR(__xludf.DUMMYFUNCTION("GOOGLETRANSLATE(AN188,""en"",""ta"")"),"#VALUE!")</f>
        <v>#VALUE!</v>
      </c>
      <c r="AN188" s="3"/>
      <c r="AO188" s="3" t="str">
        <f ca="1">IFERROR(__xludf.DUMMYFUNCTION("GOOGLETRANSLATE(AP188,""en"",""ta"")"),"#VALUE!")</f>
        <v>#VALUE!</v>
      </c>
      <c r="AP188" s="3"/>
      <c r="AQ188" s="3"/>
      <c r="AR188" s="3" t="str">
        <f ca="1">IFERROR(__xludf.DUMMYFUNCTION("GOOGLETRANSLATE(AS188,""en"",""ta"")"),"மலமிளக்கி, பசியைத் தூண்டும் மற்றும் புழுக்களால் ஏற்படும் அழற்சி எதிர்ப்பு மருந்து.")</f>
        <v>மலமிளக்கி, பசியைத் தூண்டும் மற்றும் புழுக்களால் ஏற்படும் அழற்சி எதிர்ப்பு மருந்து.</v>
      </c>
      <c r="AS188" s="4" t="s">
        <v>2315</v>
      </c>
      <c r="AT188" s="3" t="str">
        <f ca="1">IFERROR(__xludf.DUMMYFUNCTION("GOOGLETRANSLATE(AU188,""en"",""ta"")"),"ஐசோகாப்ரோயிக் அமிலம், ஐசோவலெரிக் அமிலம், பியூட்ரிக் அமிலம், புரோபியோனிக் அமிலம், பி- பினீன், ஏ- பெல்லாண்ட்ரீன், லிமோனீன், செல்லுலோஸ், நைட்ரேட் மற்றும் சல்பேட்")</f>
        <v>ஐசோகாப்ரோயிக் அமிலம், ஐசோவலெரிக் அமிலம், பியூட்ரிக் அமிலம், புரோபியோனிக் அமிலம், பி- பினீன், ஏ- பெல்லாண்ட்ரீன், லிமோனீன், செல்லுலோஸ், நைட்ரேட் மற்றும் சல்பேட்</v>
      </c>
      <c r="AU188" s="4" t="s">
        <v>2316</v>
      </c>
      <c r="AV188" s="3"/>
      <c r="AW188" s="3" t="str">
        <f ca="1">IFERROR(__xludf.DUMMYFUNCTION("GOOGLETRANSLATE(AX188,""en"",""ta"")"),"குழந்தைகளின் குடல் பிரச்சனைகளுக்கு இலைகளின் கஷாயம் பயன்படுத்தப்படுகிறது. காய்ச்சலைக் குறைக்க உலர்ந்த பூப் பொடியை உள்ளே கொடுக்கப்படுகிறது.")</f>
        <v>குழந்தைகளின் குடல் பிரச்சனைகளுக்கு இலைகளின் கஷாயம் பயன்படுத்தப்படுகிறது. காய்ச்சலைக் குறைக்க உலர்ந்த பூப் பொடியை உள்ளே கொடுக்கப்படுகிறது.</v>
      </c>
      <c r="AX188" s="4" t="s">
        <v>2317</v>
      </c>
      <c r="AY188" s="3"/>
      <c r="AZ188" s="3"/>
      <c r="BA188" s="3"/>
      <c r="BB188" s="3"/>
      <c r="BC188" s="3"/>
      <c r="BD188" s="3"/>
      <c r="BE188" s="3"/>
      <c r="BF188" s="3"/>
    </row>
    <row r="189" spans="1:58" ht="28" x14ac:dyDescent="0.15">
      <c r="A189" s="3">
        <v>188</v>
      </c>
      <c r="B189" s="3" t="str">
        <f ca="1">IFERROR(__xludf.DUMMYFUNCTION("GOOGLETRANSLATE(C189,""en"",""ta"")"),"சிம்போபோகன் ஸ்கோனந்தஸ்")</f>
        <v>சிம்போபோகன் ஸ்கோனந்தஸ்</v>
      </c>
      <c r="C189" s="4" t="s">
        <v>2318</v>
      </c>
      <c r="D189" s="3" t="str">
        <f ca="1">IFERROR(__xludf.DUMMYFUNCTION("GOOGLETRANSLATE(E189,""en"",""ta"")"),"புத்ரினா")</f>
        <v>புத்ரினா</v>
      </c>
      <c r="E189" s="4" t="s">
        <v>2319</v>
      </c>
      <c r="F189" s="3" t="str">
        <f ca="1">IFERROR(__xludf.DUMMYFUNCTION("GOOGLETRANSLATE(G189,""en"",""ta"")"),"சுக்குனாரி புல்லு")</f>
        <v>சுக்குனாரி புல்லு</v>
      </c>
      <c r="G189" s="4" t="s">
        <v>2320</v>
      </c>
      <c r="H189" s="3" t="str">
        <f ca="1">IFERROR(__xludf.DUMMYFUNCTION("GOOGLETRANSLATE(I189,""en"",""ta"")"),"ஜெரனியம் புல்")</f>
        <v>ஜெரனியம் புல்</v>
      </c>
      <c r="I189" s="4" t="s">
        <v>2321</v>
      </c>
      <c r="J189" s="3" t="str">
        <f ca="1">IFERROR(__xludf.DUMMYFUNCTION("GOOGLETRANSLATE(K189,""en"",""ta"")"),"கமஞ்சி - காடி")</f>
        <v>கமஞ்சி - காடி</v>
      </c>
      <c r="K189" s="4" t="s">
        <v>2322</v>
      </c>
      <c r="L189" s="3" t="str">
        <f ca="1">IFERROR(__xludf.DUMMYFUNCTION("GOOGLETRANSLATE(M189,""en"",""ta"")"),"இஞ்சிபுல்")</f>
        <v>இஞ்சிபுல்</v>
      </c>
      <c r="M189" s="4" t="s">
        <v>2323</v>
      </c>
      <c r="N189" s="3" t="str">
        <f ca="1">IFERROR(__xludf.DUMMYFUNCTION("GOOGLETRANSLATE(O189,""en"",""ta"")"),"காந்தபேனா")</f>
        <v>காந்தபேனா</v>
      </c>
      <c r="O189" s="4" t="s">
        <v>2324</v>
      </c>
      <c r="P189" s="3"/>
      <c r="Q189" s="3" t="str">
        <f ca="1">IFERROR(__xludf.DUMMYFUNCTION("GOOGLETRANSLATE(R189,""en"",""ta"")"),"ஒரு வற்றாத பெரிய புல். இலைகள் கம்பி போன்ற, நெகிழ்வான, மிகவும் உறுதியான மற்றும் பெரும்பாலும் வட்ட வடிவானவை. மஞ்சரி ஸ்பைக்லெட்டுகள், காம்பற்றது, வளமான ஸ்பைக்லெட் நேரியல் முதல் ஈட்டி வடிவானது. பழங்கள் க்ரீமோகார்ப்.")</f>
        <v>ஒரு வற்றாத பெரிய புல். இலைகள் கம்பி போன்ற, நெகிழ்வான, மிகவும் உறுதியான மற்றும் பெரும்பாலும் வட்ட வடிவானவை. மஞ்சரி ஸ்பைக்லெட்டுகள், காம்பற்றது, வளமான ஸ்பைக்லெட் நேரியல் முதல் ஈட்டி வடிவானது. பழங்கள் க்ரீமோகார்ப்.</v>
      </c>
      <c r="R189" s="4" t="s">
        <v>2325</v>
      </c>
      <c r="S189" s="3" t="str">
        <f ca="1">IFERROR(__xludf.DUMMYFUNCTION("GOOGLETRANSLATE(T189,""en"",""ta"")"),"#VALUE!")</f>
        <v>#VALUE!</v>
      </c>
      <c r="T189" s="3"/>
      <c r="U189" s="3" t="str">
        <f ca="1">IFERROR(__xludf.DUMMYFUNCTION("GOOGLETRANSLATE(V189,""en"",""ta"")"),"#VALUE!")</f>
        <v>#VALUE!</v>
      </c>
      <c r="V189" s="3"/>
      <c r="W189" s="3" t="str">
        <f ca="1">IFERROR(__xludf.DUMMYFUNCTION("GOOGLETRANSLATE(X189,""en"",""ta"")"),"#VALUE!")</f>
        <v>#VALUE!</v>
      </c>
      <c r="X189" s="3"/>
      <c r="Y189" s="3" t="str">
        <f ca="1">IFERROR(__xludf.DUMMYFUNCTION("GOOGLETRANSLATE(Z189,""en"",""ta"")"),"#VALUE!")</f>
        <v>#VALUE!</v>
      </c>
      <c r="Z189" s="3"/>
      <c r="AA189" s="3" t="str">
        <f ca="1">IFERROR(__xludf.DUMMYFUNCTION("GOOGLETRANSLATE(AB189,""en"",""ta"")"),"#VALUE!")</f>
        <v>#VALUE!</v>
      </c>
      <c r="AB189" s="3"/>
      <c r="AC189" s="3" t="str">
        <f ca="1">IFERROR(__xludf.DUMMYFUNCTION("GOOGLETRANSLATE(AD189,""en"",""ta"")"),"#VALUE!")</f>
        <v>#VALUE!</v>
      </c>
      <c r="AD189" s="3"/>
      <c r="AE189" s="3" t="str">
        <f ca="1">IFERROR(__xludf.DUMMYFUNCTION("GOOGLETRANSLATE(AF189,""en"",""ta"")"),"#VALUE!")</f>
        <v>#VALUE!</v>
      </c>
      <c r="AF189" s="3"/>
      <c r="AG189" s="3" t="str">
        <f ca="1">IFERROR(__xludf.DUMMYFUNCTION("GOOGLETRANSLATE(AH189,""en"",""ta"")"),"#VALUE!")</f>
        <v>#VALUE!</v>
      </c>
      <c r="AH189" s="3"/>
      <c r="AI189" s="3" t="str">
        <f ca="1">IFERROR(__xludf.DUMMYFUNCTION("GOOGLETRANSLATE(AJ189,""en"",""ta"")"),"#VALUE!")</f>
        <v>#VALUE!</v>
      </c>
      <c r="AJ189" s="3"/>
      <c r="AK189" s="3" t="str">
        <f ca="1">IFERROR(__xludf.DUMMYFUNCTION("GOOGLETRANSLATE(AL189,""en"",""ta"")"),"#VALUE!")</f>
        <v>#VALUE!</v>
      </c>
      <c r="AL189" s="3"/>
      <c r="AM189" s="3" t="str">
        <f ca="1">IFERROR(__xludf.DUMMYFUNCTION("GOOGLETRANSLATE(AN189,""en"",""ta"")"),"#VALUE!")</f>
        <v>#VALUE!</v>
      </c>
      <c r="AN189" s="3"/>
      <c r="AO189" s="3" t="str">
        <f ca="1">IFERROR(__xludf.DUMMYFUNCTION("GOOGLETRANSLATE(AP189,""en"",""ta"")"),"#VALUE!")</f>
        <v>#VALUE!</v>
      </c>
      <c r="AP189" s="3"/>
      <c r="AQ189" s="3"/>
      <c r="AR189" s="3" t="str">
        <f ca="1">IFERROR(__xludf.DUMMYFUNCTION("GOOGLETRANSLATE(AS189,""en"",""ta"")"),"தூண்டுதல், இரைப்பை குடல் வலி நிவாரணி, ஆண்டிஸ்பாஸ்மோடிக் மற்றும் டயாபோரெடிக்.")</f>
        <v>தூண்டுதல், இரைப்பை குடல் வலி நிவாரணி, ஆண்டிஸ்பாஸ்மோடிக் மற்றும் டயாபோரெடிக்.</v>
      </c>
      <c r="AS189" s="4" t="s">
        <v>2326</v>
      </c>
      <c r="AT189" s="3" t="str">
        <f ca="1">IFERROR(__xludf.DUMMYFUNCTION("GOOGLETRANSLATE(AU189,""en"",""ta"")"),"அத்தியாவசிய எண்ணெய், பெரில்லால்டிஹைடு, கார்வாக்ரோல் மற்றும் டி-நெரோலிடால்.")</f>
        <v>அத்தியாவசிய எண்ணெய், பெரில்லால்டிஹைடு, கார்வாக்ரோல் மற்றும் டி-நெரோலிடால்.</v>
      </c>
      <c r="AU189" s="4" t="s">
        <v>2327</v>
      </c>
      <c r="AV189" s="3"/>
      <c r="AW189" s="3" t="str">
        <f ca="1">IFERROR(__xludf.DUMMYFUNCTION("GOOGLETRANSLATE(AX189,""en"",""ta"")"),"இந்த எண்ணெய் ஸ்பாஸ்மோடிக் நோய்களைக் குணப்படுத்த வெளிப்புறமாகப் பயன்படுத்தப்படுகிறது. இந்த அத்தியாவசிய எண்ணெய் எஸ்கெரிச்சியா கோலி என்ற பாக்டீரியாவுக்கு எதிராக செயல்படுகிறது.")</f>
        <v>இந்த எண்ணெய் ஸ்பாஸ்மோடிக் நோய்களைக் குணப்படுத்த வெளிப்புறமாகப் பயன்படுத்தப்படுகிறது. இந்த அத்தியாவசிய எண்ணெய் எஸ்கெரிச்சியா கோலி என்ற பாக்டீரியாவுக்கு எதிராக செயல்படுகிறது.</v>
      </c>
      <c r="AX189" s="4" t="s">
        <v>2328</v>
      </c>
      <c r="AY189" s="3"/>
      <c r="AZ189" s="3"/>
      <c r="BA189" s="3"/>
      <c r="BB189" s="3"/>
      <c r="BC189" s="3"/>
      <c r="BD189" s="3"/>
      <c r="BE189" s="3"/>
      <c r="BF189" s="3"/>
    </row>
    <row r="190" spans="1:58" ht="70" x14ac:dyDescent="0.15">
      <c r="A190" s="3">
        <v>189</v>
      </c>
      <c r="B190" s="3" t="str">
        <f ca="1">IFERROR(__xludf.DUMMYFUNCTION("GOOGLETRANSLATE(C190,""en"",""ta"")"),"சைனோடன் டாக்டைலான்")</f>
        <v>சைனோடன் டாக்டைலான்</v>
      </c>
      <c r="C190" s="4" t="s">
        <v>2329</v>
      </c>
      <c r="D190" s="3" t="str">
        <f ca="1">IFERROR(__xludf.DUMMYFUNCTION("GOOGLETRANSLATE(E190,""en"",""ta"")"),"தூர்வா")</f>
        <v>தூர்வா</v>
      </c>
      <c r="E190" s="4" t="s">
        <v>2330</v>
      </c>
      <c r="F190" s="3" t="str">
        <f ca="1">IFERROR(__xludf.DUMMYFUNCTION("GOOGLETRANSLATE(G190,""en"",""ta"")"),"அருகம்புல்")</f>
        <v>அருகம்புல்</v>
      </c>
      <c r="G190" s="4" t="s">
        <v>2331</v>
      </c>
      <c r="H190" s="3" t="str">
        <f ca="1">IFERROR(__xludf.DUMMYFUNCTION("GOOGLETRANSLATE(I190,""en"",""ta"")"),"பெர்முடா புல்")</f>
        <v>பெர்முடா புல்</v>
      </c>
      <c r="I190" s="4" t="s">
        <v>2332</v>
      </c>
      <c r="J190" s="3" t="str">
        <f ca="1">IFERROR(__xludf.DUMMYFUNCTION("GOOGLETRANSLATE(K190,""en"",""ta"")"),"கரிகா காடி")</f>
        <v>கரிகா காடி</v>
      </c>
      <c r="K190" s="4" t="s">
        <v>2333</v>
      </c>
      <c r="L190" s="3" t="str">
        <f ca="1">IFERROR(__xludf.DUMMYFUNCTION("GOOGLETRANSLATE(M190,""en"",""ta"")"),"கருகா-புல்லு")</f>
        <v>கருகா-புல்லு</v>
      </c>
      <c r="M190" s="4" t="s">
        <v>2334</v>
      </c>
      <c r="N190" s="3" t="str">
        <f ca="1">IFERROR(__xludf.DUMMYFUNCTION("GOOGLETRANSLATE(O190,""en"",""ta"")"),"தூர்வா")</f>
        <v>தூர்வா</v>
      </c>
      <c r="O190" s="4" t="s">
        <v>2335</v>
      </c>
      <c r="P190" s="3"/>
      <c r="Q190" s="3" t="str">
        <f ca="1">IFERROR(__xludf.DUMMYFUNCTION("GOOGLETRANSLATE(R190,""en"",""ta"")"),"ஒரு கொடியின் தண்டு ஏராளமான முடிச்சுகளைக் கொண்டுள்ளது, அதிலிருந்து வேர்கள் தோன்றி அது பரவ உதவுகிறது. இலைகள் எளிமையானவை, குறுகியவை, ஈட்டி வடிவானது, உறை போன்ற இலை அடித்தளத்துடன் இருக்கும். மஞ்சரி ஒரு கூர்முனை, பூக்கள் பச்சை அல்லது ஊதா. விதைகள் மிக நுண்ணிய அச"&amp;"்சீன்.")</f>
        <v>ஒரு கொடியின் தண்டு ஏராளமான முடிச்சுகளைக் கொண்டுள்ளது, அதிலிருந்து வேர்கள் தோன்றி அது பரவ உதவுகிறது. இலைகள் எளிமையானவை, குறுகியவை, ஈட்டி வடிவானது, உறை போன்ற இலை அடித்தளத்துடன் இருக்கும். மஞ்சரி ஒரு கூர்முனை, பூக்கள் பச்சை அல்லது ஊதா. விதைகள் மிக நுண்ணிய அச்சீன்.</v>
      </c>
      <c r="R190" s="4" t="s">
        <v>2336</v>
      </c>
      <c r="S190" s="3" t="str">
        <f ca="1">IFERROR(__xludf.DUMMYFUNCTION("GOOGLETRANSLATE(T190,""en"",""ta"")"),"#VALUE!")</f>
        <v>#VALUE!</v>
      </c>
      <c r="T190" s="3"/>
      <c r="U190" s="3" t="str">
        <f ca="1">IFERROR(__xludf.DUMMYFUNCTION("GOOGLETRANSLATE(V190,""en"",""ta"")"),"#VALUE!")</f>
        <v>#VALUE!</v>
      </c>
      <c r="V190" s="3"/>
      <c r="W190" s="3" t="str">
        <f ca="1">IFERROR(__xludf.DUMMYFUNCTION("GOOGLETRANSLATE(X190,""en"",""ta"")"),"#VALUE!")</f>
        <v>#VALUE!</v>
      </c>
      <c r="X190" s="3"/>
      <c r="Y190" s="3" t="str">
        <f ca="1">IFERROR(__xludf.DUMMYFUNCTION("GOOGLETRANSLATE(Z190,""en"",""ta"")"),"#VALUE!")</f>
        <v>#VALUE!</v>
      </c>
      <c r="Z190" s="3"/>
      <c r="AA190" s="3" t="str">
        <f ca="1">IFERROR(__xludf.DUMMYFUNCTION("GOOGLETRANSLATE(AB190,""en"",""ta"")"),"#VALUE!")</f>
        <v>#VALUE!</v>
      </c>
      <c r="AB190" s="3"/>
      <c r="AC190" s="3" t="str">
        <f ca="1">IFERROR(__xludf.DUMMYFUNCTION("GOOGLETRANSLATE(AD190,""en"",""ta"")"),"#VALUE!")</f>
        <v>#VALUE!</v>
      </c>
      <c r="AD190" s="3"/>
      <c r="AE190" s="3" t="str">
        <f ca="1">IFERROR(__xludf.DUMMYFUNCTION("GOOGLETRANSLATE(AF190,""en"",""ta"")"),"#VALUE!")</f>
        <v>#VALUE!</v>
      </c>
      <c r="AF190" s="3"/>
      <c r="AG190" s="3" t="str">
        <f ca="1">IFERROR(__xludf.DUMMYFUNCTION("GOOGLETRANSLATE(AH190,""en"",""ta"")"),"#VALUE!")</f>
        <v>#VALUE!</v>
      </c>
      <c r="AH190" s="3"/>
      <c r="AI190" s="3" t="str">
        <f ca="1">IFERROR(__xludf.DUMMYFUNCTION("GOOGLETRANSLATE(AJ190,""en"",""ta"")"),"#VALUE!")</f>
        <v>#VALUE!</v>
      </c>
      <c r="AJ190" s="3"/>
      <c r="AK190" s="3" t="str">
        <f ca="1">IFERROR(__xludf.DUMMYFUNCTION("GOOGLETRANSLATE(AL190,""en"",""ta"")"),"#VALUE!")</f>
        <v>#VALUE!</v>
      </c>
      <c r="AL190" s="3"/>
      <c r="AM190" s="3" t="str">
        <f ca="1">IFERROR(__xludf.DUMMYFUNCTION("GOOGLETRANSLATE(AN190,""en"",""ta"")"),"#VALUE!")</f>
        <v>#VALUE!</v>
      </c>
      <c r="AN190" s="3"/>
      <c r="AO190" s="3" t="str">
        <f ca="1">IFERROR(__xludf.DUMMYFUNCTION("GOOGLETRANSLATE(AP190,""en"",""ta"")"),"#VALUE!")</f>
        <v>#VALUE!</v>
      </c>
      <c r="AP190" s="3"/>
      <c r="AQ190" s="3"/>
      <c r="AR190" s="3" t="str">
        <f ca="1">IFERROR(__xludf.DUMMYFUNCTION("GOOGLETRANSLATE(AS190,""en"",""ta"")"),"டீமல்சென்ட், டையூரிடிக், ஆஸ்ட்ரிஜென்ட், ஹீமோஸ்டேடிக், ஆன்டிடோட் மற்றும் மலமிளக்கி.")</f>
        <v>டீமல்சென்ட், டையூரிடிக், ஆஸ்ட்ரிஜென்ட், ஹீமோஸ்டேடிக், ஆன்டிடோட் மற்றும் மலமிளக்கி.</v>
      </c>
      <c r="AS190" s="4" t="s">
        <v>2337</v>
      </c>
      <c r="AT190" s="3" t="str">
        <f ca="1">IFERROR(__xludf.DUMMYFUNCTION("GOOGLETRANSLATE(AU190,""en"",""ta"")"),"அருண்டோயின், ஃபர்ஃபுரல், ஃபர்ஃபுரல் ஆல்கஹால், லுடியோலின், ஐகோசனோயிக் அமிலம், வைடெக்சின், செலினியம், பி-சிட்டோஸ்டெரால், பி-கரோட்டின் மற்றும் வைட்டமின்-சி.")</f>
        <v>அருண்டோயின், ஃபர்ஃபுரல், ஃபர்ஃபுரல் ஆல்கஹால், லுடியோலின், ஐகோசனோயிக் அமிலம், வைடெக்சின், செலினியம், பி-சிட்டோஸ்டெரால், பி-கரோட்டின் மற்றும் வைட்டமின்-சி.</v>
      </c>
      <c r="AU190" s="4" t="s">
        <v>2338</v>
      </c>
      <c r="AV190" s="3"/>
      <c r="AW190" s="3" t="str">
        <f ca="1">IFERROR(__xludf.DUMMYFUNCTION("GOOGLETRANSLATE(AX190,""en"",""ta"")"),"தோல் நோய்களுக்கு மஞ்சள் தூள் சேர்த்து இலை பேஸ்ட் வெளிப்புறமாகப் பயன்படுத்தப்படுகிறது. செயற்கை மருந்துகளால் ஏற்படும் ஒவ்வாமைக்கு மிளகு சேர்த்து இலைச்சாறு உள்ளே எடுத்துக்கொள்ளப்படுகிறது.")</f>
        <v>தோல் நோய்களுக்கு மஞ்சள் தூள் சேர்த்து இலை பேஸ்ட் வெளிப்புறமாகப் பயன்படுத்தப்படுகிறது. செயற்கை மருந்துகளால் ஏற்படும் ஒவ்வாமைக்கு மிளகு சேர்த்து இலைச்சாறு உள்ளே எடுத்துக்கொள்ளப்படுகிறது.</v>
      </c>
      <c r="AX190" s="4" t="s">
        <v>2339</v>
      </c>
      <c r="AY190" s="3"/>
      <c r="AZ190" s="3"/>
      <c r="BA190" s="3"/>
      <c r="BB190" s="3"/>
      <c r="BC190" s="3"/>
      <c r="BD190" s="3"/>
      <c r="BE190" s="3"/>
      <c r="BF190" s="3"/>
    </row>
    <row r="191" spans="1:58" ht="70" x14ac:dyDescent="0.15">
      <c r="A191" s="3">
        <v>190</v>
      </c>
      <c r="B191" s="3" t="str">
        <f ca="1">IFERROR(__xludf.DUMMYFUNCTION("GOOGLETRANSLATE(C191,""en"",""ta"")"),"சைபரஸ் ரோட்டண்டஸ்")</f>
        <v>சைபரஸ் ரோட்டண்டஸ்</v>
      </c>
      <c r="C191" s="4" t="s">
        <v>2340</v>
      </c>
      <c r="D191" s="3" t="str">
        <f ca="1">IFERROR(__xludf.DUMMYFUNCTION("GOOGLETRANSLATE(E191,""en"",""ta"")"),"முஸ்தா")</f>
        <v>முஸ்தா</v>
      </c>
      <c r="E191" s="4" t="s">
        <v>2341</v>
      </c>
      <c r="F191" s="3" t="str">
        <f ca="1">IFERROR(__xludf.DUMMYFUNCTION("GOOGLETRANSLATE(G191,""en"",""ta"")"),"கோரை கிழங்கு")</f>
        <v>கோரை கிழங்கு</v>
      </c>
      <c r="G191" s="4" t="s">
        <v>2342</v>
      </c>
      <c r="H191" s="3" t="str">
        <f ca="1">IFERROR(__xludf.DUMMYFUNCTION("GOOGLETRANSLATE(I191,""en"",""ta"")"),"நட்கிராஸ்")</f>
        <v>நட்கிராஸ்</v>
      </c>
      <c r="I191" s="4" t="s">
        <v>2343</v>
      </c>
      <c r="J191" s="3" t="str">
        <f ca="1">IFERROR(__xludf.DUMMYFUNCTION("GOOGLETRANSLATE(K191,""en"",""ta"")"),"துங்கமுஸ்தி")</f>
        <v>துங்கமுஸ்தி</v>
      </c>
      <c r="K191" s="4" t="s">
        <v>2344</v>
      </c>
      <c r="L191" s="3" t="str">
        <f ca="1">IFERROR(__xludf.DUMMYFUNCTION("GOOGLETRANSLATE(M191,""en"",""ta"")"),"கரிமுத்தன்")</f>
        <v>கரிமுத்தன்</v>
      </c>
      <c r="M191" s="4" t="s">
        <v>2345</v>
      </c>
      <c r="N191" s="3" t="str">
        <f ca="1">IFERROR(__xludf.DUMMYFUNCTION("GOOGLETRANSLATE(O191,""en"",""ta"")"),"கோரேஹி-ஜா")</f>
        <v>கோரேஹி-ஜா</v>
      </c>
      <c r="O191" s="4" t="s">
        <v>2346</v>
      </c>
      <c r="P191" s="3"/>
      <c r="Q191" s="3" t="str">
        <f ca="1">IFERROR(__xludf.DUMMYFUNCTION("GOOGLETRANSLATE(R191,""en"",""ta"")"),"புல் வகையைச் சேர்ந்த ஒரு வகை மூலிகை. இலைகள் நீளமாகவும் மெல்லியதாகவும் இருக்கும். பூக்கள் நுனியிலிருந்து உருவாகி கொத்தாக காணப்படும். பழங்கள் நீளமாக இருக்கும். வேர்கள் கருப்பு நிறமாகவும் நறுமணத்துடனும் இருக்கும்.")</f>
        <v>புல் வகையைச் சேர்ந்த ஒரு வகை மூலிகை. இலைகள் நீளமாகவும் மெல்லியதாகவும் இருக்கும். பூக்கள் நுனியிலிருந்து உருவாகி கொத்தாக காணப்படும். பழங்கள் நீளமாக இருக்கும். வேர்கள் கருப்பு நிறமாகவும் நறுமணத்துடனும் இருக்கும்.</v>
      </c>
      <c r="R191" s="4" t="s">
        <v>2347</v>
      </c>
      <c r="S191" s="3" t="str">
        <f ca="1">IFERROR(__xludf.DUMMYFUNCTION("GOOGLETRANSLATE(T191,""en"",""ta"")"),"#VALUE!")</f>
        <v>#VALUE!</v>
      </c>
      <c r="T191" s="3"/>
      <c r="U191" s="3" t="str">
        <f ca="1">IFERROR(__xludf.DUMMYFUNCTION("GOOGLETRANSLATE(V191,""en"",""ta"")"),"#VALUE!")</f>
        <v>#VALUE!</v>
      </c>
      <c r="V191" s="3"/>
      <c r="W191" s="3" t="str">
        <f ca="1">IFERROR(__xludf.DUMMYFUNCTION("GOOGLETRANSLATE(X191,""en"",""ta"")"),"#VALUE!")</f>
        <v>#VALUE!</v>
      </c>
      <c r="X191" s="3"/>
      <c r="Y191" s="3" t="str">
        <f ca="1">IFERROR(__xludf.DUMMYFUNCTION("GOOGLETRANSLATE(Z191,""en"",""ta"")"),"#VALUE!")</f>
        <v>#VALUE!</v>
      </c>
      <c r="Z191" s="3"/>
      <c r="AA191" s="3" t="str">
        <f ca="1">IFERROR(__xludf.DUMMYFUNCTION("GOOGLETRANSLATE(AB191,""en"",""ta"")"),"#VALUE!")</f>
        <v>#VALUE!</v>
      </c>
      <c r="AB191" s="3"/>
      <c r="AC191" s="3" t="str">
        <f ca="1">IFERROR(__xludf.DUMMYFUNCTION("GOOGLETRANSLATE(AD191,""en"",""ta"")"),"#VALUE!")</f>
        <v>#VALUE!</v>
      </c>
      <c r="AD191" s="3"/>
      <c r="AE191" s="3" t="str">
        <f ca="1">IFERROR(__xludf.DUMMYFUNCTION("GOOGLETRANSLATE(AF191,""en"",""ta"")"),"#VALUE!")</f>
        <v>#VALUE!</v>
      </c>
      <c r="AF191" s="3"/>
      <c r="AG191" s="3" t="str">
        <f ca="1">IFERROR(__xludf.DUMMYFUNCTION("GOOGLETRANSLATE(AH191,""en"",""ta"")"),"#VALUE!")</f>
        <v>#VALUE!</v>
      </c>
      <c r="AH191" s="3"/>
      <c r="AI191" s="3" t="str">
        <f ca="1">IFERROR(__xludf.DUMMYFUNCTION("GOOGLETRANSLATE(AJ191,""en"",""ta"")"),"#VALUE!")</f>
        <v>#VALUE!</v>
      </c>
      <c r="AJ191" s="3"/>
      <c r="AK191" s="3" t="str">
        <f ca="1">IFERROR(__xludf.DUMMYFUNCTION("GOOGLETRANSLATE(AL191,""en"",""ta"")"),"#VALUE!")</f>
        <v>#VALUE!</v>
      </c>
      <c r="AL191" s="3"/>
      <c r="AM191" s="3" t="str">
        <f ca="1">IFERROR(__xludf.DUMMYFUNCTION("GOOGLETRANSLATE(AN191,""en"",""ta"")"),"#VALUE!")</f>
        <v>#VALUE!</v>
      </c>
      <c r="AN191" s="3"/>
      <c r="AO191" s="3" t="str">
        <f ca="1">IFERROR(__xludf.DUMMYFUNCTION("GOOGLETRANSLATE(AP191,""en"",""ta"")"),"#VALUE!")</f>
        <v>#VALUE!</v>
      </c>
      <c r="AP191" s="3"/>
      <c r="AQ191" s="3"/>
      <c r="AR191" s="3" t="str">
        <f ca="1">IFERROR(__xludf.DUMMYFUNCTION("GOOGLETRANSLATE(AS191,""en"",""ta"")"),"அழற்சி எதிர்ப்பு, தூண்டுதல், டிமல்சென்ட், டானிக், டையூரிடிக், வெர்மிஃபியூஜ், ஆன்டெல்மிண்டிக், எம்மெனாகோக் மற்றும் கார்மினேடிவ்.")</f>
        <v>அழற்சி எதிர்ப்பு, தூண்டுதல், டிமல்சென்ட், டானிக், டையூரிடிக், வெர்மிஃபியூஜ், ஆன்டெல்மிண்டிக், எம்மெனாகோக் மற்றும் கார்மினேடிவ்.</v>
      </c>
      <c r="AS191" s="4" t="s">
        <v>2348</v>
      </c>
      <c r="AT191" s="3" t="str">
        <f ca="1">IFERROR(__xludf.DUMMYFUNCTION("GOOGLETRANSLATE(AU191,""en"",""ta"")"),"சைபரீன், ஏ-சைபரோன், ஐசோசைபரோல், செலினீன், குளுதாதயோன், பி-சிட்டோஸ்டெரால், லினோலெனிக் அமிலம், நியோஹெஸ்பெரிடோஸ், ஹுமுலீன், ஃபிளாவனால் கிளைகோசைடுகள்.")</f>
        <v>சைபரீன், ஏ-சைபரோன், ஐசோசைபரோல், செலினீன், குளுதாதயோன், பி-சிட்டோஸ்டெரால், லினோலெனிக் அமிலம், நியோஹெஸ்பெரிடோஸ், ஹுமுலீன், ஃபிளாவனால் கிளைகோசைடுகள்.</v>
      </c>
      <c r="AU191" s="4" t="s">
        <v>2349</v>
      </c>
      <c r="AV191" s="3"/>
      <c r="AW191" s="3" t="str">
        <f ca="1">IFERROR(__xludf.DUMMYFUNCTION("GOOGLETRANSLATE(AX191,""en"",""ta"")"),"புதிய கிழங்குகளை பேஸ்டாக உருவாக்கி, மார்பகத்தில் வெளிப்புறமாகப் பூசினால் பால் சுரக்கும். ii) கிழங்கு மற்றும் இஞ்சியை பேஸ்டாக செய்து, தேனுடன் கலந்து வயிற்றுப்போக்கு, இரைப்பை மற்றும் குடல் கோளாறுகளுக்கு வாய்வழியாக எடுத்துக் கொள்ளப்படுகிறது.")</f>
        <v>புதிய கிழங்குகளை பேஸ்டாக உருவாக்கி, மார்பகத்தில் வெளிப்புறமாகப் பூசினால் பால் சுரக்கும். ii) கிழங்கு மற்றும் இஞ்சியை பேஸ்டாக செய்து, தேனுடன் கலந்து வயிற்றுப்போக்கு, இரைப்பை மற்றும் குடல் கோளாறுகளுக்கு வாய்வழியாக எடுத்துக் கொள்ளப்படுகிறது.</v>
      </c>
      <c r="AX191" s="4" t="s">
        <v>2564</v>
      </c>
      <c r="AY191" s="3"/>
      <c r="AZ191" s="3"/>
      <c r="BA191" s="3"/>
      <c r="BB191" s="3"/>
      <c r="BC191" s="3"/>
      <c r="BD191" s="3"/>
      <c r="BE191" s="3"/>
      <c r="BF191" s="3"/>
    </row>
    <row r="192" spans="1:58" ht="56" x14ac:dyDescent="0.15">
      <c r="A192" s="3">
        <v>191</v>
      </c>
      <c r="B192" s="3" t="str">
        <f ca="1">IFERROR(__xludf.DUMMYFUNCTION("GOOGLETRANSLATE(C192,""en"",""ta"")"),"டால்பெர்கியா சிசூ")</f>
        <v>டால்பெர்கியா சிசூ</v>
      </c>
      <c r="C192" s="4" t="s">
        <v>2351</v>
      </c>
      <c r="D192" s="3" t="str">
        <f ca="1">IFERROR(__xludf.DUMMYFUNCTION("GOOGLETRANSLATE(E192,""en"",""ta"")"),"ஷிங்ஷுபா")</f>
        <v>ஷிங்ஷுபா</v>
      </c>
      <c r="E192" s="4" t="s">
        <v>2352</v>
      </c>
      <c r="F192" s="3" t="str">
        <f ca="1">IFERROR(__xludf.DUMMYFUNCTION("GOOGLETRANSLATE(G192,""en"",""ta"")"),"நுக்கு-கட்டாய்")</f>
        <v>நுக்கு-கட்டாய்</v>
      </c>
      <c r="G192" s="4" t="s">
        <v>2353</v>
      </c>
      <c r="H192" s="3" t="str">
        <f ca="1">IFERROR(__xludf.DUMMYFUNCTION("GOOGLETRANSLATE(I192,""en"",""ta"")"),"ரோஜா மரம்")</f>
        <v>ரோஜா மரம்</v>
      </c>
      <c r="I192" s="4" t="s">
        <v>2354</v>
      </c>
      <c r="J192" s="3" t="str">
        <f ca="1">IFERROR(__xludf.DUMMYFUNCTION("GOOGLETRANSLATE(K192,""en"",""ta"")"),"எர்ராசிசு")</f>
        <v>எர்ராசிசு</v>
      </c>
      <c r="K192" s="4" t="s">
        <v>2355</v>
      </c>
      <c r="L192" s="3" t="str">
        <f ca="1">IFERROR(__xludf.DUMMYFUNCTION("GOOGLETRANSLATE(M192,""en"",""ta"")"),"இருவில்")</f>
        <v>இருவில்</v>
      </c>
      <c r="M192" s="4" t="s">
        <v>2356</v>
      </c>
      <c r="N192" s="3" t="str">
        <f ca="1">IFERROR(__xludf.DUMMYFUNCTION("GOOGLETRANSLATE(O192,""en"",""ta"")"),"சிசம்")</f>
        <v>சிசம்</v>
      </c>
      <c r="O192" s="4" t="s">
        <v>2357</v>
      </c>
      <c r="P192" s="3"/>
      <c r="Q192" s="3" t="str">
        <f ca="1">IFERROR(__xludf.DUMMYFUNCTION("GOOGLETRANSLATE(R192,""en"",""ta"")"),"ஒரு பெரிய பசுமையான மரம், கிளைகள் துளையிடும். இலைகள் வெளிர் பச்சை, ஒற்றை-சிறகு வடிவானது, 3-5 இலை வடிவானது, சிற்றிலைகள் மாறி மாறி அகன்ற முட்டை வடிவானது, ஆப்பு வடிவமானது, கூரிய முனை மற்றும் முழுமையானது. மலர்கள் காம்பற்றவை அல்லது துணை காம்பற்றவை, குறுகிய இலைக"&amp;"்கோணங்களில் மஞ்சள் அல்லது வெள்ளை நிறத்தில் இருக்கும். பழங்கள் காய்கள், நீண்ட தண்டுகள் கொண்ட மெல்லிய, உரோமங்களற்ற மற்றும் பட்டா வடிவமானது.")</f>
        <v>ஒரு பெரிய பசுமையான மரம், கிளைகள் துளையிடும். இலைகள் வெளிர் பச்சை, ஒற்றை-சிறகு வடிவானது, 3-5 இலை வடிவானது, சிற்றிலைகள் மாறி மாறி அகன்ற முட்டை வடிவானது, ஆப்பு வடிவமானது, கூரிய முனை மற்றும் முழுமையானது. மலர்கள் காம்பற்றவை அல்லது துணை காம்பற்றவை, குறுகிய இலைக்கோணங்களில் மஞ்சள் அல்லது வெள்ளை நிறத்தில் இருக்கும். பழங்கள் காய்கள், நீண்ட தண்டுகள் கொண்ட மெல்லிய, உரோமங்களற்ற மற்றும் பட்டா வடிவமானது.</v>
      </c>
      <c r="R192" s="4" t="s">
        <v>2358</v>
      </c>
      <c r="S192" s="3" t="str">
        <f ca="1">IFERROR(__xludf.DUMMYFUNCTION("GOOGLETRANSLATE(T192,""en"",""ta"")"),"வயிற்றுப்போக்கு, வயிற்றுப்போக்கு.")</f>
        <v>வயிற்றுப்போக்கு, வயிற்றுப்போக்கு.</v>
      </c>
      <c r="T192" s="4" t="s">
        <v>716</v>
      </c>
      <c r="U192" s="3" t="str">
        <f ca="1">IFERROR(__xludf.DUMMYFUNCTION("GOOGLETRANSLATE(V192,""en"",""ta"")"),"#VALUE!")</f>
        <v>#VALUE!</v>
      </c>
      <c r="V192" s="3"/>
      <c r="W192" s="3" t="str">
        <f ca="1">IFERROR(__xludf.DUMMYFUNCTION("GOOGLETRANSLATE(X192,""en"",""ta"")"),"கோனோரியா, மாதவிடாய் நிறுத்தம், மூல நோய் மற்றும் வாந்தி.")</f>
        <v>கோனோரியா, மாதவிடாய் நிறுத்தம், மூல நோய் மற்றும் வாந்தி.</v>
      </c>
      <c r="X192" s="4" t="s">
        <v>2359</v>
      </c>
      <c r="Y192" s="3" t="str">
        <f ca="1">IFERROR(__xludf.DUMMYFUNCTION("GOOGLETRANSLATE(Z192,""en"",""ta"")"),"#VALUE!")</f>
        <v>#VALUE!</v>
      </c>
      <c r="Z192" s="3"/>
      <c r="AA192" s="3" t="str">
        <f ca="1">IFERROR(__xludf.DUMMYFUNCTION("GOOGLETRANSLATE(AB192,""en"",""ta"")"),"ஹைப்பர்டிப்சியா, எரியும் உணர்வு, தொழுநோய், சிரங்கு, புண்கள் மற்றும் இடைப்பட்ட காய்ச்சல்.")</f>
        <v>ஹைப்பர்டிப்சியா, எரியும் உணர்வு, தொழுநோய், சிரங்கு, புண்கள் மற்றும் இடைப்பட்ட காய்ச்சல்.</v>
      </c>
      <c r="AB192" s="4" t="s">
        <v>2360</v>
      </c>
      <c r="AC192" s="3" t="str">
        <f ca="1">IFERROR(__xludf.DUMMYFUNCTION("GOOGLETRANSLATE(AD192,""en"",""ta"")"),"#VALUE!")</f>
        <v>#VALUE!</v>
      </c>
      <c r="AD192" s="3"/>
      <c r="AE192" s="3" t="str">
        <f ca="1">IFERROR(__xludf.DUMMYFUNCTION("GOOGLETRANSLATE(AF192,""en"",""ta"")"),"#VALUE!")</f>
        <v>#VALUE!</v>
      </c>
      <c r="AF192" s="3"/>
      <c r="AG192" s="3" t="str">
        <f ca="1">IFERROR(__xludf.DUMMYFUNCTION("GOOGLETRANSLATE(AH192,""en"",""ta"")"),"#VALUE!")</f>
        <v>#VALUE!</v>
      </c>
      <c r="AH192" s="3"/>
      <c r="AI192" s="3" t="str">
        <f ca="1">IFERROR(__xludf.DUMMYFUNCTION("GOOGLETRANSLATE(AJ192,""en"",""ta"")"),"#VALUE!")</f>
        <v>#VALUE!</v>
      </c>
      <c r="AJ192" s="3"/>
      <c r="AK192" s="3" t="str">
        <f ca="1">IFERROR(__xludf.DUMMYFUNCTION("GOOGLETRANSLATE(AL192,""en"",""ta"")"),"#VALUE!")</f>
        <v>#VALUE!</v>
      </c>
      <c r="AL192" s="3"/>
      <c r="AM192" s="3" t="str">
        <f ca="1">IFERROR(__xludf.DUMMYFUNCTION("GOOGLETRANSLATE(AN192,""en"",""ta"")"),"#VALUE!")</f>
        <v>#VALUE!</v>
      </c>
      <c r="AN192" s="3"/>
      <c r="AO192" s="3" t="str">
        <f ca="1">IFERROR(__xludf.DUMMYFUNCTION("GOOGLETRANSLATE(AP192,""en"",""ta"")"),"#VALUE!")</f>
        <v>#VALUE!</v>
      </c>
      <c r="AP192" s="3"/>
      <c r="AQ192" s="3"/>
      <c r="AR192" s="3" t="str">
        <f ca="1">IFERROR(__xludf.DUMMYFUNCTION("GOOGLETRANSLATE(AS192,""en"",""ta"")"),"துவர்ப்பு மருந்து, மலச்சிக்கல், செரிமான மருந்து, புழு எதிர்ப்பு மருந்து, ஊக்கி, சிறுநீர்ப் பெருக்கி, சிறுநீர் கழிக்கும் மருந்து, சிறுநீர்க்குழாய் நீக்கி, காய்ச்சல் எதிர்ப்பு மருந்து மற்றும் பசியைத் தூண்டும் மருந்து.")</f>
        <v>துவர்ப்பு மருந்து, மலச்சிக்கல், செரிமான மருந்து, புழு எதிர்ப்பு மருந்து, ஊக்கி, சிறுநீர்ப் பெருக்கி, சிறுநீர் கழிக்கும் மருந்து, சிறுநீர்க்குழாய் நீக்கி, காய்ச்சல் எதிர்ப்பு மருந்து மற்றும் பசியைத் தூண்டும் மருந்து.</v>
      </c>
      <c r="AS192" s="4" t="s">
        <v>2361</v>
      </c>
      <c r="AT192" s="3" t="str">
        <f ca="1">IFERROR(__xludf.DUMMYFUNCTION("GOOGLETRANSLATE(AU192,""en"",""ta"")"),"ஐசோஃப்ளேவோன், குளுக்கோசைடு, டால்பெர்கெனோன், சிசோர்டின், மெத்தில் டால்பர்கின், ஐசோஃப்ளேவோன்-ஓ-கிளைகோசைடு மற்றும் டெக்டோரிஜெனின்.")</f>
        <v>ஐசோஃப்ளேவோன், குளுக்கோசைடு, டால்பெர்கெனோன், சிசோர்டின், மெத்தில் டால்பர்கின், ஐசோஃப்ளேவோன்-ஓ-கிளைகோசைடு மற்றும் டெக்டோரிஜெனின்.</v>
      </c>
      <c r="AU192" s="4" t="s">
        <v>2362</v>
      </c>
      <c r="AV192" s="3"/>
      <c r="AW192" s="3" t="str">
        <f ca="1">IFERROR(__xludf.DUMMYFUNCTION("GOOGLETRANSLATE(AX192,""en"",""ta"")"),"பட்டை மற்றும் இலைப் பொடியை எபிஸ்டாக்ஸிஸ், ரத்தக்கசிவு மற்றும் இரத்தப்போக்கு குவியல்களுக்கு உட்புறமாக கொடுக்கப்படுகிறது.")</f>
        <v>பட்டை மற்றும் இலைப் பொடியை எபிஸ்டாக்ஸிஸ், ரத்தக்கசிவு மற்றும் இரத்தப்போக்கு குவியல்களுக்கு உட்புறமாக கொடுக்கப்படுகிறது.</v>
      </c>
      <c r="AX192" s="4" t="s">
        <v>2363</v>
      </c>
      <c r="AY192" s="3"/>
      <c r="AZ192" s="3"/>
      <c r="BA192" s="3"/>
      <c r="BB192" s="3"/>
      <c r="BC192" s="3"/>
      <c r="BD192" s="3"/>
      <c r="BE192" s="3"/>
      <c r="BF192" s="3"/>
    </row>
    <row r="193" spans="1:58" ht="56" x14ac:dyDescent="0.15">
      <c r="A193" s="3">
        <v>192</v>
      </c>
      <c r="B193" s="3" t="str">
        <f ca="1">IFERROR(__xludf.DUMMYFUNCTION("GOOGLETRANSLATE(C193,""en"",""ta"")"),"டதுரா இன்னாக்ஸியா")</f>
        <v>டதுரா இன்னாக்ஸியா</v>
      </c>
      <c r="C193" s="4" t="s">
        <v>2364</v>
      </c>
      <c r="D193" s="3" t="str">
        <f ca="1">IFERROR(__xludf.DUMMYFUNCTION("GOOGLETRANSLATE(E193,""en"",""ta"")"),"கிருஷ்ணா தாதுரா")</f>
        <v>கிருஷ்ணா தாதுரா</v>
      </c>
      <c r="E193" s="4" t="s">
        <v>2365</v>
      </c>
      <c r="F193" s="3" t="str">
        <f ca="1">IFERROR(__xludf.DUMMYFUNCTION("GOOGLETRANSLATE(G193,""en"",""ta"")"),"கரு ஊமத்தாய்")</f>
        <v>கரு ஊமத்தாய்</v>
      </c>
      <c r="G193" s="4" t="s">
        <v>2366</v>
      </c>
      <c r="H193" s="3" t="str">
        <f ca="1">IFERROR(__xludf.DUMMYFUNCTION("GOOGLETRANSLATE(I193,""en"",""ta"")"),"இந்திய முள் ஆப்பிள்")</f>
        <v>இந்திய முள் ஆப்பிள்</v>
      </c>
      <c r="I193" s="4" t="s">
        <v>2367</v>
      </c>
      <c r="J193" s="3" t="str">
        <f ca="1">IFERROR(__xludf.DUMMYFUNCTION("GOOGLETRANSLATE(K193,""en"",""ta"")"),"நல்லா உம்மத்தா")</f>
        <v>நல்லா உம்மத்தா</v>
      </c>
      <c r="K193" s="4" t="s">
        <v>2368</v>
      </c>
      <c r="L193" s="3" t="str">
        <f ca="1">IFERROR(__xludf.DUMMYFUNCTION("GOOGLETRANSLATE(M193,""en"",""ta"")"),"கரு ஊமத்தாய்")</f>
        <v>கரு ஊமத்தாய்</v>
      </c>
      <c r="M193" s="4" t="s">
        <v>2366</v>
      </c>
      <c r="N193" s="3" t="str">
        <f ca="1">IFERROR(__xludf.DUMMYFUNCTION("GOOGLETRANSLATE(O193,""en"",""ta"")"),"கால-தாதுரா")</f>
        <v>கால-தாதுரா</v>
      </c>
      <c r="O193" s="4" t="s">
        <v>2369</v>
      </c>
      <c r="P193" s="3"/>
      <c r="Q193" s="3" t="str">
        <f ca="1">IFERROR(__xludf.DUMMYFUNCTION("GOOGLETRANSLATE(R193,""en"",""ta"")"),"வருடாந்திரம் பூக்கும், ஓரளவு சதைப்பற்றுள்ள மூலிகை, பெரும்பாலும் ஜிக்-ஜாக் தண்டு கொண்டது. இலைகள் பெரியவை, முழுதாக, அடர் பச்சை நிறத்தில், முட்டை வடிவிலான, சைனுவேட் அல்லது ஆழமான பற்களைக் கொண்டவை. மலர்கள் பெரிய வெள்ளை நிறத்தில் 10-பல் கொண்ட கொரோலாவுடன், ஆனால்"&amp;" ஊதா நிற வெளிப்புறத்தில் மற்றும் அடிக்கடி இரட்டையாக இருக்கும். நீண்ட பலவீனமான முதுகெலும்புகளுடன் கூடிய பழ காப்ஸ்யூல். விதைகள் ஏராளமாக, சுருக்கப்பட்ட, சுருக்கமானவை.")</f>
        <v>வருடாந்திரம் பூக்கும், ஓரளவு சதைப்பற்றுள்ள மூலிகை, பெரும்பாலும் ஜிக்-ஜாக் தண்டு கொண்டது. இலைகள் பெரியவை, முழுதாக, அடர் பச்சை நிறத்தில், முட்டை வடிவிலான, சைனுவேட் அல்லது ஆழமான பற்களைக் கொண்டவை. மலர்கள் பெரிய வெள்ளை நிறத்தில் 10-பல் கொண்ட கொரோலாவுடன், ஆனால் ஊதா நிற வெளிப்புறத்தில் மற்றும் அடிக்கடி இரட்டையாக இருக்கும். நீண்ட பலவீனமான முதுகெலும்புகளுடன் கூடிய பழ காப்ஸ்யூல். விதைகள் ஏராளமாக, சுருக்கப்பட்ட, சுருக்கமானவை.</v>
      </c>
      <c r="R193" s="4" t="s">
        <v>2370</v>
      </c>
      <c r="S193" s="3" t="str">
        <f ca="1">IFERROR(__xludf.DUMMYFUNCTION("GOOGLETRANSLATE(T193,""en"",""ta"")"),"#VALUE!")</f>
        <v>#VALUE!</v>
      </c>
      <c r="T193" s="3"/>
      <c r="U193" s="3" t="str">
        <f ca="1">IFERROR(__xludf.DUMMYFUNCTION("GOOGLETRANSLATE(V193,""en"",""ta"")"),"#VALUE!")</f>
        <v>#VALUE!</v>
      </c>
      <c r="V193" s="3"/>
      <c r="W193" s="3" t="str">
        <f ca="1">IFERROR(__xludf.DUMMYFUNCTION("GOOGLETRANSLATE(X193,""en"",""ta"")"),"#VALUE!")</f>
        <v>#VALUE!</v>
      </c>
      <c r="X193" s="3"/>
      <c r="Y193" s="3" t="str">
        <f ca="1">IFERROR(__xludf.DUMMYFUNCTION("GOOGLETRANSLATE(Z193,""en"",""ta"")"),"#VALUE!")</f>
        <v>#VALUE!</v>
      </c>
      <c r="Z193" s="3"/>
      <c r="AA193" s="3" t="str">
        <f ca="1">IFERROR(__xludf.DUMMYFUNCTION("GOOGLETRANSLATE(AB193,""en"",""ta"")"),"#VALUE!")</f>
        <v>#VALUE!</v>
      </c>
      <c r="AB193" s="3"/>
      <c r="AC193" s="3" t="str">
        <f ca="1">IFERROR(__xludf.DUMMYFUNCTION("GOOGLETRANSLATE(AD193,""en"",""ta"")"),"#VALUE!")</f>
        <v>#VALUE!</v>
      </c>
      <c r="AD193" s="3"/>
      <c r="AE193" s="3" t="str">
        <f ca="1">IFERROR(__xludf.DUMMYFUNCTION("GOOGLETRANSLATE(AF193,""en"",""ta"")"),"#VALUE!")</f>
        <v>#VALUE!</v>
      </c>
      <c r="AF193" s="3"/>
      <c r="AG193" s="3" t="str">
        <f ca="1">IFERROR(__xludf.DUMMYFUNCTION("GOOGLETRANSLATE(AH193,""en"",""ta"")"),"#VALUE!")</f>
        <v>#VALUE!</v>
      </c>
      <c r="AH193" s="3"/>
      <c r="AI193" s="3" t="str">
        <f ca="1">IFERROR(__xludf.DUMMYFUNCTION("GOOGLETRANSLATE(AJ193,""en"",""ta"")"),"#VALUE!")</f>
        <v>#VALUE!</v>
      </c>
      <c r="AJ193" s="3"/>
      <c r="AK193" s="3" t="str">
        <f ca="1">IFERROR(__xludf.DUMMYFUNCTION("GOOGLETRANSLATE(AL193,""en"",""ta"")"),"#VALUE!")</f>
        <v>#VALUE!</v>
      </c>
      <c r="AL193" s="3"/>
      <c r="AM193" s="3" t="str">
        <f ca="1">IFERROR(__xludf.DUMMYFUNCTION("GOOGLETRANSLATE(AN193,""en"",""ta"")"),"#VALUE!")</f>
        <v>#VALUE!</v>
      </c>
      <c r="AN193" s="3"/>
      <c r="AO193" s="3" t="str">
        <f ca="1">IFERROR(__xludf.DUMMYFUNCTION("GOOGLETRANSLATE(AP193,""en"",""ta"")"),"#VALUE!")</f>
        <v>#VALUE!</v>
      </c>
      <c r="AP193" s="3"/>
      <c r="AQ193" s="3"/>
      <c r="AR193" s="3" t="str">
        <f ca="1">IFERROR(__xludf.DUMMYFUNCTION("GOOGLETRANSLATE(AS193,""en"",""ta"")"),"போதை மருந்து, ஆண்டிஸ்பாஸ்மோடிக் மற்றும் அனோடைன்.")</f>
        <v>போதை மருந்து, ஆண்டிஸ்பாஸ்மோடிக் மற்றும் அனோடைன்.</v>
      </c>
      <c r="AS193" s="4" t="s">
        <v>2371</v>
      </c>
      <c r="AT193" s="3" t="str">
        <f ca="1">IFERROR(__xludf.DUMMYFUNCTION("GOOGLETRANSLATE(AU193,""en"",""ta"")"),"ஸ்கோபொலமைன், டாட்டூரின், மெட்டலியோடின், சூடோட்ரோபின், ஃபாஸ்டுசின், ட்ரைடர்பீன், ஹையோசின் மற்றும் ஹையோசியமைன்.")</f>
        <v>ஸ்கோபொலமைன், டாட்டூரின், மெட்டலியோடின், சூடோட்ரோபின், ஃபாஸ்டுசின், ட்ரைடர்பீன், ஹையோசின் மற்றும் ஹையோசியமைன்.</v>
      </c>
      <c r="AU193" s="4" t="s">
        <v>2372</v>
      </c>
      <c r="AV193" s="3"/>
      <c r="AW193" s="3" t="str">
        <f ca="1">IFERROR(__xludf.DUMMYFUNCTION("GOOGLETRANSLATE(AX193,""en"",""ta"")"),"இலைகளின் மேற்பூச்சு பயன்பாடு வாத வீக்கம், லும்பாகோ, சியாட்டிகா மற்றும் வலிமிகுந்த கட்டிகளுக்குப் பயன்படுத்தப்படுகிறது. ஸ்பாஸ்மோடிக் ஆஸ்துமாவைப் போக்க உலர்ந்த இலைகளை குழாயில் புகைக்கிறார்கள்.")</f>
        <v>இலைகளின் மேற்பூச்சு பயன்பாடு வாத வீக்கம், லும்பாகோ, சியாட்டிகா மற்றும் வலிமிகுந்த கட்டிகளுக்குப் பயன்படுத்தப்படுகிறது. ஸ்பாஸ்மோடிக் ஆஸ்துமாவைப் போக்க உலர்ந்த இலைகளை குழாயில் புகைக்கிறார்கள்.</v>
      </c>
      <c r="AX193" s="4" t="s">
        <v>2373</v>
      </c>
      <c r="AY193" s="3"/>
      <c r="AZ193" s="3"/>
      <c r="BA193" s="3"/>
      <c r="BB193" s="3"/>
      <c r="BC193" s="3"/>
      <c r="BD193" s="3"/>
      <c r="BE193" s="3"/>
      <c r="BF193" s="3"/>
    </row>
    <row r="194" spans="1:58" ht="84" x14ac:dyDescent="0.15">
      <c r="A194" s="3">
        <v>193</v>
      </c>
      <c r="B194" s="3" t="str">
        <f ca="1">IFERROR(__xludf.DUMMYFUNCTION("GOOGLETRANSLATE(C194,""en"",""ta"")"),"டதுரா மெட்டல்")</f>
        <v>டதுரா மெட்டல்</v>
      </c>
      <c r="C194" s="4" t="s">
        <v>2374</v>
      </c>
      <c r="D194" s="3" t="str">
        <f ca="1">IFERROR(__xludf.DUMMYFUNCTION("GOOGLETRANSLATE(E194,""en"",""ta"")"),"தாதுரா")</f>
        <v>தாதுரா</v>
      </c>
      <c r="E194" s="4" t="s">
        <v>2375</v>
      </c>
      <c r="F194" s="3" t="str">
        <f ca="1">IFERROR(__xludf.DUMMYFUNCTION("GOOGLETRANSLATE(G194,""en"",""ta"")"),"ஊமத்தாய்")</f>
        <v>ஊமத்தாய்</v>
      </c>
      <c r="G194" s="4" t="s">
        <v>2376</v>
      </c>
      <c r="H194" s="3" t="str">
        <f ca="1">IFERROR(__xludf.DUMMYFUNCTION("GOOGLETRANSLATE(I194,""en"",""ta"")"),"முள் ஆப்பிள்")</f>
        <v>முள் ஆப்பிள்</v>
      </c>
      <c r="I194" s="4" t="s">
        <v>2377</v>
      </c>
      <c r="J194" s="3" t="str">
        <f ca="1">IFERROR(__xludf.DUMMYFUNCTION("GOOGLETRANSLATE(K194,""en"",""ta"")"),"உம்மெட்டா")</f>
        <v>உம்மெட்டா</v>
      </c>
      <c r="K194" s="4" t="s">
        <v>2378</v>
      </c>
      <c r="L194" s="3" t="str">
        <f ca="1">IFERROR(__xludf.DUMMYFUNCTION("GOOGLETRANSLATE(M194,""en"",""ta"")"),"ஊமத்தம்")</f>
        <v>ஊமத்தம்</v>
      </c>
      <c r="M194" s="4" t="s">
        <v>2379</v>
      </c>
      <c r="N194" s="3" t="str">
        <f ca="1">IFERROR(__xludf.DUMMYFUNCTION("GOOGLETRANSLATE(O194,""en"",""ta"")"),"டதுரா")</f>
        <v>டதுரா</v>
      </c>
      <c r="O194" s="4" t="s">
        <v>2380</v>
      </c>
      <c r="P194" s="3"/>
      <c r="Q194" s="3" t="str">
        <f ca="1">IFERROR(__xludf.DUMMYFUNCTION("GOOGLETRANSLATE(R194,""en"",""ta"")"),"ஒரு பெரிய புதர் இனம், தண்டு ஜிக்-ஜாக். இலைகள் எளிமையானவை, பெரியவை, முழு சைனுவேட் அல்லது ஆழமான பற்கள் கொண்டவை. பூக்கள் பெரியவை அழகானவை மற்றும் வெள்ளை நிறத்தில் உள்ளன. பழங்கள் காப்ஸ்யூல். விதைகள் ஏராளமாக, சுருக்கப்பட்டு, சுருக்கப்பட்டவை.")</f>
        <v>ஒரு பெரிய புதர் இனம், தண்டு ஜிக்-ஜாக். இலைகள் எளிமையானவை, பெரியவை, முழு சைனுவேட் அல்லது ஆழமான பற்கள் கொண்டவை. பூக்கள் பெரியவை அழகானவை மற்றும் வெள்ளை நிறத்தில் உள்ளன. பழங்கள் காப்ஸ்யூல். விதைகள் ஏராளமாக, சுருக்கப்பட்டு, சுருக்கப்பட்டவை.</v>
      </c>
      <c r="R194" s="4" t="s">
        <v>2381</v>
      </c>
      <c r="S194" s="3" t="str">
        <f ca="1">IFERROR(__xludf.DUMMYFUNCTION("GOOGLETRANSLATE(T194,""en"",""ta"")"),"#VALUE!")</f>
        <v>#VALUE!</v>
      </c>
      <c r="T194" s="3"/>
      <c r="U194" s="3" t="str">
        <f ca="1">IFERROR(__xludf.DUMMYFUNCTION("GOOGLETRANSLATE(V194,""en"",""ta"")"),"#VALUE!")</f>
        <v>#VALUE!</v>
      </c>
      <c r="V194" s="3"/>
      <c r="W194" s="3" t="str">
        <f ca="1">IFERROR(__xludf.DUMMYFUNCTION("GOOGLETRANSLATE(X194,""en"",""ta"")"),"#VALUE!")</f>
        <v>#VALUE!</v>
      </c>
      <c r="X194" s="3"/>
      <c r="Y194" s="3" t="str">
        <f ca="1">IFERROR(__xludf.DUMMYFUNCTION("GOOGLETRANSLATE(Z194,""en"",""ta"")"),"#VALUE!")</f>
        <v>#VALUE!</v>
      </c>
      <c r="Z194" s="3"/>
      <c r="AA194" s="3" t="str">
        <f ca="1">IFERROR(__xludf.DUMMYFUNCTION("GOOGLETRANSLATE(AB194,""en"",""ta"")"),"#VALUE!")</f>
        <v>#VALUE!</v>
      </c>
      <c r="AB194" s="3"/>
      <c r="AC194" s="3" t="str">
        <f ca="1">IFERROR(__xludf.DUMMYFUNCTION("GOOGLETRANSLATE(AD194,""en"",""ta"")"),"#VALUE!")</f>
        <v>#VALUE!</v>
      </c>
      <c r="AD194" s="3"/>
      <c r="AE194" s="3" t="str">
        <f ca="1">IFERROR(__xludf.DUMMYFUNCTION("GOOGLETRANSLATE(AF194,""en"",""ta"")"),"#VALUE!")</f>
        <v>#VALUE!</v>
      </c>
      <c r="AF194" s="3"/>
      <c r="AG194" s="3" t="str">
        <f ca="1">IFERROR(__xludf.DUMMYFUNCTION("GOOGLETRANSLATE(AH194,""en"",""ta"")"),"#VALUE!")</f>
        <v>#VALUE!</v>
      </c>
      <c r="AH194" s="3"/>
      <c r="AI194" s="3" t="str">
        <f ca="1">IFERROR(__xludf.DUMMYFUNCTION("GOOGLETRANSLATE(AJ194,""en"",""ta"")"),"#VALUE!")</f>
        <v>#VALUE!</v>
      </c>
      <c r="AJ194" s="3"/>
      <c r="AK194" s="3" t="str">
        <f ca="1">IFERROR(__xludf.DUMMYFUNCTION("GOOGLETRANSLATE(AL194,""en"",""ta"")"),"#VALUE!")</f>
        <v>#VALUE!</v>
      </c>
      <c r="AL194" s="3"/>
      <c r="AM194" s="3" t="str">
        <f ca="1">IFERROR(__xludf.DUMMYFUNCTION("GOOGLETRANSLATE(AN194,""en"",""ta"")"),"#VALUE!")</f>
        <v>#VALUE!</v>
      </c>
      <c r="AN194" s="3"/>
      <c r="AO194" s="3" t="str">
        <f ca="1">IFERROR(__xludf.DUMMYFUNCTION("GOOGLETRANSLATE(AP194,""en"",""ta"")"),"#VALUE!")</f>
        <v>#VALUE!</v>
      </c>
      <c r="AP194" s="3"/>
      <c r="AQ194" s="3"/>
      <c r="AR194" s="3" t="str">
        <f ca="1">IFERROR(__xludf.DUMMYFUNCTION("GOOGLETRANSLATE(AS194,""en"",""ta"")"),"ஆஸ்துமா, நாள்பட்ட இருமல், வாத வீக்கம், லும்பாகோ, கால்-கை வலிப்பு, காது வலி, கீல்வாதம், பைத்தியம், மார்பக வீக்கம், ஹைட்ரோபோபியா மற்றும் ஆண்மையின்மை.")</f>
        <v>ஆஸ்துமா, நாள்பட்ட இருமல், வாத வீக்கம், லும்பாகோ, கால்-கை வலிப்பு, காது வலி, கீல்வாதம், பைத்தியம், மார்பக வீக்கம், ஹைட்ரோபோபியா மற்றும் ஆண்மையின்மை.</v>
      </c>
      <c r="AS194" s="4" t="s">
        <v>2382</v>
      </c>
      <c r="AT194" s="3" t="str">
        <f ca="1">IFERROR(__xludf.DUMMYFUNCTION("GOOGLETRANSLATE(AU194,""en"",""ta"")"),"ஹையோசின், அப்போஹயோசின், கஸ்கோஹைகிரைன், ட்ரோபின், ஸ்கோபொலமைன், டதுரானோலோன், நோர்ஹயோசின், மெட்டலோயோடின், டிக்லாய்டின், 3, டிக்லாய்டாக்ஸிட்ரோபேன் மற்றும் டதுராடியோல்.")</f>
        <v>ஹையோசின், அப்போஹயோசின், கஸ்கோஹைகிரைன், ட்ரோபின், ஸ்கோபொலமைன், டதுரானோலோன், நோர்ஹயோசின், மெட்டலோயோடின், டிக்லாய்டின், 3, டிக்லாய்டாக்ஸிட்ரோபேன் மற்றும் டதுராடியோல்.</v>
      </c>
      <c r="AU194" s="4" t="s">
        <v>2383</v>
      </c>
      <c r="AV194" s="3"/>
      <c r="AW194" s="3" t="str">
        <f ca="1">IFERROR(__xludf.DUMMYFUNCTION("GOOGLETRANSLATE(AX194,""en"",""ta"")"),"புதிய இலைச்சாறு சளி, பல்வலி மற்றும் காதுவலி போன்ற வீக்கம் மற்றும் சுரப்பி வீக்கங்களுக்கு வெளிப்புறமாகப் பயன்படுத்தப்படுகிறது. எண்ணெயில் கொதிக்க வைத்த இலைகளை மூல நோய் மற்றும் பிளவுகளுக்குப் பயன்படுத்தப்படுகிறது.")</f>
        <v>புதிய இலைச்சாறு சளி, பல்வலி மற்றும் காதுவலி போன்ற வீக்கம் மற்றும் சுரப்பி வீக்கங்களுக்கு வெளிப்புறமாகப் பயன்படுத்தப்படுகிறது. எண்ணெயில் கொதிக்க வைத்த இலைகளை மூல நோய் மற்றும் பிளவுகளுக்குப் பயன்படுத்தப்படுகிறது.</v>
      </c>
      <c r="AX194" s="4" t="s">
        <v>2384</v>
      </c>
      <c r="AY194" s="3"/>
      <c r="AZ194" s="3"/>
      <c r="BA194" s="3"/>
      <c r="BB194" s="3"/>
      <c r="BC194" s="3"/>
      <c r="BD194" s="3"/>
      <c r="BE194" s="3"/>
      <c r="BF194" s="3"/>
    </row>
    <row r="195" spans="1:58" ht="70" x14ac:dyDescent="0.15">
      <c r="A195" s="3">
        <v>194</v>
      </c>
      <c r="B195" s="3" t="str">
        <f ca="1">IFERROR(__xludf.DUMMYFUNCTION("GOOGLETRANSLATE(C195,""en"",""ta"")"),"டாக்கஸ் கரோட்டா")</f>
        <v>டாக்கஸ் கரோட்டா</v>
      </c>
      <c r="C195" s="4" t="s">
        <v>2385</v>
      </c>
      <c r="D195" s="3" t="str">
        <f ca="1">IFERROR(__xludf.DUMMYFUNCTION("GOOGLETRANSLATE(E195,""en"",""ta"")"),"ஷிகா-முலா")</f>
        <v>ஷிகா-முலா</v>
      </c>
      <c r="E195" s="4" t="s">
        <v>2386</v>
      </c>
      <c r="F195" s="3" t="str">
        <f ca="1">IFERROR(__xludf.DUMMYFUNCTION("GOOGLETRANSLATE(G195,""en"",""ta"")"),"மஞ்சள் முல்லங்கி")</f>
        <v>மஞ்சள் முல்லங்கி</v>
      </c>
      <c r="G195" s="4" t="s">
        <v>2387</v>
      </c>
      <c r="H195" s="3" t="str">
        <f ca="1">IFERROR(__xludf.DUMMYFUNCTION("GOOGLETRANSLATE(I195,""en"",""ta"")"),"கேரட்")</f>
        <v>கேரட்</v>
      </c>
      <c r="I195" s="4" t="s">
        <v>2388</v>
      </c>
      <c r="J195" s="3" t="str">
        <f ca="1">IFERROR(__xludf.DUMMYFUNCTION("GOOGLETRANSLATE(K195,""en"",""ta"")"),"கஜ்ஜாரா கெடா")</f>
        <v>கஜ்ஜாரா கெடா</v>
      </c>
      <c r="K195" s="4" t="s">
        <v>2389</v>
      </c>
      <c r="L195" s="3" t="str">
        <f ca="1">IFERROR(__xludf.DUMMYFUNCTION("GOOGLETRANSLATE(M195,""en"",""ta"")"),"கஜ்ஜாரா கெடா")</f>
        <v>கஜ்ஜாரா கெடா</v>
      </c>
      <c r="M195" s="4" t="s">
        <v>2389</v>
      </c>
      <c r="N195" s="3" t="str">
        <f ca="1">IFERROR(__xludf.DUMMYFUNCTION("GOOGLETRANSLATE(O195,""en"",""ta"")"),"கஜ்ஜார்")</f>
        <v>கஜ்ஜார்</v>
      </c>
      <c r="O195" s="4" t="s">
        <v>2390</v>
      </c>
      <c r="P195" s="3"/>
      <c r="Q195" s="3" t="str">
        <f ca="1">IFERROR(__xludf.DUMMYFUNCTION("GOOGLETRANSLATE(R195,""en"",""ta"")"),"நிமிர்ந்த, அதிக கிளைத்த தண்டுகளைக் கொண்ட வருடாந்திர அல்லது இரண்டு ஆண்டுகளுக்கு ஒருமுறை வளரும் மூலிகை. இலைகள் சிலியா இலைகளைக் கொண்டுள்ளன, ஆழமாகப் பிரிக்கப்பட்டு, நீள்வட்டமாக, முட்களுடன் பின்புறமாகத் தட்டையாக இருக்கும். பூக்கள் வெள்ளை நிறத்தில் அம்பல்களில் "&amp;"காணப்படுகின்றன, ஒவ்வொன்றும் மைய சிவப்பு, பழுப்பு நிற பூவுடன் இருக்கும். பழங்கள் சிறியவை, வெள்ளை. வேர்கள் ஆரஞ்சு நிறத்தில் மற்றும் குறுகலாக இருக்கும்.")</f>
        <v>நிமிர்ந்த, அதிக கிளைத்த தண்டுகளைக் கொண்ட வருடாந்திர அல்லது இரண்டு ஆண்டுகளுக்கு ஒருமுறை வளரும் மூலிகை. இலைகள் சிலியா இலைகளைக் கொண்டுள்ளன, ஆழமாகப் பிரிக்கப்பட்டு, நீள்வட்டமாக, முட்களுடன் பின்புறமாகத் தட்டையாக இருக்கும். பூக்கள் வெள்ளை நிறத்தில் அம்பல்களில் காணப்படுகின்றன, ஒவ்வொன்றும் மைய சிவப்பு, பழுப்பு நிற பூவுடன் இருக்கும். பழங்கள் சிறியவை, வெள்ளை. வேர்கள் ஆரஞ்சு நிறத்தில் மற்றும் குறுகலாக இருக்கும்.</v>
      </c>
      <c r="R195" s="4" t="s">
        <v>2391</v>
      </c>
      <c r="S195" s="3" t="str">
        <f ca="1">IFERROR(__xludf.DUMMYFUNCTION("GOOGLETRANSLATE(T195,""en"",""ta"")"),"#VALUE!")</f>
        <v>#VALUE!</v>
      </c>
      <c r="T195" s="3"/>
      <c r="U195" s="3" t="str">
        <f ca="1">IFERROR(__xludf.DUMMYFUNCTION("GOOGLETRANSLATE(V195,""en"",""ta"")"),"#VALUE!")</f>
        <v>#VALUE!</v>
      </c>
      <c r="V195" s="3"/>
      <c r="W195" s="3" t="str">
        <f ca="1">IFERROR(__xludf.DUMMYFUNCTION("GOOGLETRANSLATE(X195,""en"",""ta"")"),"#VALUE!")</f>
        <v>#VALUE!</v>
      </c>
      <c r="X195" s="3"/>
      <c r="Y195" s="3" t="str">
        <f ca="1">IFERROR(__xludf.DUMMYFUNCTION("GOOGLETRANSLATE(Z195,""en"",""ta"")"),"#VALUE!")</f>
        <v>#VALUE!</v>
      </c>
      <c r="Z195" s="3"/>
      <c r="AA195" s="3" t="str">
        <f ca="1">IFERROR(__xludf.DUMMYFUNCTION("GOOGLETRANSLATE(AB195,""en"",""ta"")"),"#VALUE!")</f>
        <v>#VALUE!</v>
      </c>
      <c r="AB195" s="3"/>
      <c r="AC195" s="3" t="str">
        <f ca="1">IFERROR(__xludf.DUMMYFUNCTION("GOOGLETRANSLATE(AD195,""en"",""ta"")"),"#VALUE!")</f>
        <v>#VALUE!</v>
      </c>
      <c r="AD195" s="3"/>
      <c r="AE195" s="3" t="str">
        <f ca="1">IFERROR(__xludf.DUMMYFUNCTION("GOOGLETRANSLATE(AF195,""en"",""ta"")"),"#VALUE!")</f>
        <v>#VALUE!</v>
      </c>
      <c r="AF195" s="3"/>
      <c r="AG195" s="3" t="str">
        <f ca="1">IFERROR(__xludf.DUMMYFUNCTION("GOOGLETRANSLATE(AH195,""en"",""ta"")"),"#VALUE!")</f>
        <v>#VALUE!</v>
      </c>
      <c r="AH195" s="3"/>
      <c r="AI195" s="3" t="str">
        <f ca="1">IFERROR(__xludf.DUMMYFUNCTION("GOOGLETRANSLATE(AJ195,""en"",""ta"")"),"#VALUE!")</f>
        <v>#VALUE!</v>
      </c>
      <c r="AJ195" s="3"/>
      <c r="AK195" s="3" t="str">
        <f ca="1">IFERROR(__xludf.DUMMYFUNCTION("GOOGLETRANSLATE(AL195,""en"",""ta"")"),"#VALUE!")</f>
        <v>#VALUE!</v>
      </c>
      <c r="AL195" s="3"/>
      <c r="AM195" s="3" t="str">
        <f ca="1">IFERROR(__xludf.DUMMYFUNCTION("GOOGLETRANSLATE(AN195,""en"",""ta"")"),"#VALUE!")</f>
        <v>#VALUE!</v>
      </c>
      <c r="AN195" s="3"/>
      <c r="AO195" s="3" t="str">
        <f ca="1">IFERROR(__xludf.DUMMYFUNCTION("GOOGLETRANSLATE(AP195,""en"",""ta"")"),"#VALUE!")</f>
        <v>#VALUE!</v>
      </c>
      <c r="AP195" s="3"/>
      <c r="AQ195" s="3"/>
      <c r="AR195" s="3" t="str">
        <f ca="1">IFERROR(__xludf.DUMMYFUNCTION("GOOGLETRANSLATE(AS195,""en"",""ta"")"),"கிருமி நாசினி, பாலுணர்வூக்கி, நரம்பு மண்டல டானிக், தூண்டி மற்றும் இரத்த சுத்திகரிப்பான்")</f>
        <v>கிருமி நாசினி, பாலுணர்வூக்கி, நரம்பு மண்டல டானிக், தூண்டி மற்றும் இரத்த சுத்திகரிப்பான்</v>
      </c>
      <c r="AS195" s="4" t="s">
        <v>2392</v>
      </c>
      <c r="AT195" s="3" t="str">
        <f ca="1">IFERROR(__xludf.DUMMYFUNCTION("GOOGLETRANSLATE(AU195,""en"",""ta"")"),"கரோட்டின், ஹைட்ரோகரோட்டின், கரோட்டினாய்டுகள், பினீன், கேம்பீன், வைட்டமின் ஏ, மைர்சீன், கார்டோல், காரியோஃபிலீன், செலினீன், டிசபோலீன், லிமோனீன் மற்றும் டாசிக் அமிலம்")</f>
        <v>கரோட்டின், ஹைட்ரோகரோட்டின், கரோட்டினாய்டுகள், பினீன், கேம்பீன், வைட்டமின் ஏ, மைர்சீன், கார்டோல், காரியோஃபிலீன், செலினீன், டிசபோலீன், லிமோனீன் மற்றும் டாசிக் அமிலம்</v>
      </c>
      <c r="AU195" s="4" t="s">
        <v>2393</v>
      </c>
      <c r="AV195" s="3"/>
      <c r="AW195" s="3" t="str">
        <f ca="1">IFERROR(__xludf.DUMMYFUNCTION("GOOGLETRANSLATE(AX195,""en"",""ta"")"),"புதிய வேர் பூல்டிஸ், புண் புண்கள், தீக்காயங்கள் மற்றும் தீக்காயங்களுக்கு வெளிப்புறமாக பயனுள்ளதாக இருக்கும். மாற்றியமைக்கப்பட்ட வேர்கள் அதன் அதிக வைட்டமின் மற்றும் சர்க்கரை மதிப்புக்காக காய்கறியாக எடுத்துக்கொள்ளப்படுகின்றன, மேலும் நீரிழிவு நோயாளிகள் இதைத் "&amp;"தவிர்க்க வேண்டும்.")</f>
        <v>புதிய வேர் பூல்டிஸ், புண் புண்கள், தீக்காயங்கள் மற்றும் தீக்காயங்களுக்கு வெளிப்புறமாக பயனுள்ளதாக இருக்கும். மாற்றியமைக்கப்பட்ட வேர்கள் அதன் அதிக வைட்டமின் மற்றும் சர்க்கரை மதிப்புக்காக காய்கறியாக எடுத்துக்கொள்ளப்படுகின்றன, மேலும் நீரிழிவு நோயாளிகள் இதைத் தவிர்க்க வேண்டும்.</v>
      </c>
      <c r="AX195" s="4" t="s">
        <v>2394</v>
      </c>
      <c r="AY195" s="3"/>
      <c r="AZ195" s="3"/>
      <c r="BA195" s="3"/>
      <c r="BB195" s="3"/>
      <c r="BC195" s="3"/>
      <c r="BD195" s="3"/>
      <c r="BE195" s="3"/>
      <c r="BF195" s="3"/>
    </row>
    <row r="196" spans="1:58" ht="42" x14ac:dyDescent="0.15">
      <c r="A196" s="3">
        <v>195</v>
      </c>
      <c r="B196" s="3" t="str">
        <f ca="1">IFERROR(__xludf.DUMMYFUNCTION("GOOGLETRANSLATE(C196,""en"",""ta"")"),"டெலோனிக்ஸ் எலாட்டா")</f>
        <v>டெலோனிக்ஸ் எலாட்டா</v>
      </c>
      <c r="C196" s="4" t="s">
        <v>2395</v>
      </c>
      <c r="D196" s="3" t="str">
        <f ca="1">IFERROR(__xludf.DUMMYFUNCTION("GOOGLETRANSLATE(E196,""en"",""ta"")"),"ஸ்வேதா கின்சுகா")</f>
        <v>ஸ்வேதா கின்சுகா</v>
      </c>
      <c r="E196" s="4" t="s">
        <v>2396</v>
      </c>
      <c r="F196" s="3" t="str">
        <f ca="1">IFERROR(__xludf.DUMMYFUNCTION("GOOGLETRANSLATE(G196,""en"",""ta"")"),"வாத நாராயணன்")</f>
        <v>வாத நாராயணன்</v>
      </c>
      <c r="G196" s="4" t="s">
        <v>2397</v>
      </c>
      <c r="H196" s="3" t="str">
        <f ca="1">IFERROR(__xludf.DUMMYFUNCTION("GOOGLETRANSLATE(I196,""en"",""ta"")"),"வெள்ளை தங்க மொஹூர்")</f>
        <v>வெள்ளை தங்க மொஹூர்</v>
      </c>
      <c r="I196" s="4" t="s">
        <v>2398</v>
      </c>
      <c r="J196" s="3" t="str">
        <f ca="1">IFERROR(__xludf.DUMMYFUNCTION("GOOGLETRANSLATE(K196,""en"",""ta"")"),"டெல்லா சுன்கேசுலா")</f>
        <v>டெல்லா சுன்கேசுலா</v>
      </c>
      <c r="K196" s="4" t="s">
        <v>2399</v>
      </c>
      <c r="L196" s="3" t="str">
        <f ca="1">IFERROR(__xludf.DUMMYFUNCTION("GOOGLETRANSLATE(M196,""en"",""ta"")"),"வத நாராயணன்")</f>
        <v>வத நாராயணன்</v>
      </c>
      <c r="M196" s="4" t="s">
        <v>2400</v>
      </c>
      <c r="N196" s="3" t="str">
        <f ca="1">IFERROR(__xludf.DUMMYFUNCTION("GOOGLETRANSLATE(O196,""en"",""ta"")"),"கின்சுகா")</f>
        <v>கின்சுகா</v>
      </c>
      <c r="O196" s="4" t="s">
        <v>2401</v>
      </c>
      <c r="P196" s="3"/>
      <c r="Q196" s="3" t="str">
        <f ca="1">IFERROR(__xludf.DUMMYFUNCTION("GOOGLETRANSLATE(R196,""en"",""ta"")"),"ஒரு நடுத்தர அளவிலான மரம், இலைகள், கூட்டு, இருபக்க வடிவ, ஏராளமான சிற்றிலைகள், சிறிய மற்றும் வெளிர் பச்சை நிறத்தில். மஞ்சரி முனையக் கோரிம்ப், இழைகள் சிவப்பு. பூக்கள் பெரிய மஞ்சள் நிற வெள்ளை. பழங்கள் காய்கள், நீளமானது. விதைகள் குறுக்குவெட்டு நீள்வட்டம்.")</f>
        <v>ஒரு நடுத்தர அளவிலான மரம், இலைகள், கூட்டு, இருபக்க வடிவ, ஏராளமான சிற்றிலைகள், சிறிய மற்றும் வெளிர் பச்சை நிறத்தில். மஞ்சரி முனையக் கோரிம்ப், இழைகள் சிவப்பு. பூக்கள் பெரிய மஞ்சள் நிற வெள்ளை. பழங்கள் காய்கள், நீளமானது. விதைகள் குறுக்குவெட்டு நீள்வட்டம்.</v>
      </c>
      <c r="R196" s="4" t="s">
        <v>2402</v>
      </c>
      <c r="S196" s="3" t="str">
        <f ca="1">IFERROR(__xludf.DUMMYFUNCTION("GOOGLETRANSLATE(T196,""en"",""ta"")"),"#VALUE!")</f>
        <v>#VALUE!</v>
      </c>
      <c r="T196" s="3"/>
      <c r="U196" s="3" t="str">
        <f ca="1">IFERROR(__xludf.DUMMYFUNCTION("GOOGLETRANSLATE(V196,""en"",""ta"")"),"#VALUE!")</f>
        <v>#VALUE!</v>
      </c>
      <c r="V196" s="3"/>
      <c r="W196" s="3" t="str">
        <f ca="1">IFERROR(__xludf.DUMMYFUNCTION("GOOGLETRANSLATE(X196,""en"",""ta"")"),"#VALUE!")</f>
        <v>#VALUE!</v>
      </c>
      <c r="X196" s="3"/>
      <c r="Y196" s="3" t="str">
        <f ca="1">IFERROR(__xludf.DUMMYFUNCTION("GOOGLETRANSLATE(Z196,""en"",""ta"")"),"#VALUE!")</f>
        <v>#VALUE!</v>
      </c>
      <c r="Z196" s="3"/>
      <c r="AA196" s="3" t="str">
        <f ca="1">IFERROR(__xludf.DUMMYFUNCTION("GOOGLETRANSLATE(AB196,""en"",""ta"")"),"#VALUE!")</f>
        <v>#VALUE!</v>
      </c>
      <c r="AB196" s="3"/>
      <c r="AC196" s="3" t="str">
        <f ca="1">IFERROR(__xludf.DUMMYFUNCTION("GOOGLETRANSLATE(AD196,""en"",""ta"")"),"#VALUE!")</f>
        <v>#VALUE!</v>
      </c>
      <c r="AD196" s="3"/>
      <c r="AE196" s="3" t="str">
        <f ca="1">IFERROR(__xludf.DUMMYFUNCTION("GOOGLETRANSLATE(AF196,""en"",""ta"")"),"#VALUE!")</f>
        <v>#VALUE!</v>
      </c>
      <c r="AF196" s="3"/>
      <c r="AG196" s="3" t="str">
        <f ca="1">IFERROR(__xludf.DUMMYFUNCTION("GOOGLETRANSLATE(AH196,""en"",""ta"")"),"#VALUE!")</f>
        <v>#VALUE!</v>
      </c>
      <c r="AH196" s="3"/>
      <c r="AI196" s="3" t="str">
        <f ca="1">IFERROR(__xludf.DUMMYFUNCTION("GOOGLETRANSLATE(AJ196,""en"",""ta"")"),"#VALUE!")</f>
        <v>#VALUE!</v>
      </c>
      <c r="AJ196" s="3"/>
      <c r="AK196" s="3" t="str">
        <f ca="1">IFERROR(__xludf.DUMMYFUNCTION("GOOGLETRANSLATE(AL196,""en"",""ta"")"),"#VALUE!")</f>
        <v>#VALUE!</v>
      </c>
      <c r="AL196" s="3"/>
      <c r="AM196" s="3" t="str">
        <f ca="1">IFERROR(__xludf.DUMMYFUNCTION("GOOGLETRANSLATE(AN196,""en"",""ta"")"),"#VALUE!")</f>
        <v>#VALUE!</v>
      </c>
      <c r="AN196" s="3"/>
      <c r="AO196" s="3" t="str">
        <f ca="1">IFERROR(__xludf.DUMMYFUNCTION("GOOGLETRANSLATE(AP196,""en"",""ta"")"),"#VALUE!")</f>
        <v>#VALUE!</v>
      </c>
      <c r="AP196" s="3"/>
      <c r="AQ196" s="3"/>
      <c r="AR196" s="3" t="str">
        <f ca="1">IFERROR(__xludf.DUMMYFUNCTION("GOOGLETRANSLATE(AS196,""en"",""ta"")")," வாத எதிர்ப்பு, மலமிளக்கி, காய்ச்சல், ஆன்டிபீரியாடிக்")</f>
        <v xml:space="preserve"> வாத எதிர்ப்பு, மலமிளக்கி, காய்ச்சல், ஆன்டிபீரியாடிக்</v>
      </c>
      <c r="AS196" s="4" t="s">
        <v>2403</v>
      </c>
      <c r="AT196" s="3" t="str">
        <f ca="1">IFERROR(__xludf.DUMMYFUNCTION("GOOGLETRANSLATE(AU196,""en"",""ta"")"),"அஸ்பார்ஜின், அஸ்பார்டிக் அமிலம், ஏ-அமிரின், பி-சிட்டோஸ்டெரால், டி-குளுக்கோபைரனோசைடு.")</f>
        <v>அஸ்பார்ஜின், அஸ்பார்டிக் அமிலம், ஏ-அமிரின், பி-சிட்டோஸ்டெரால், டி-குளுக்கோபைரனோசைடு.</v>
      </c>
      <c r="AU196" s="4" t="s">
        <v>2404</v>
      </c>
      <c r="AV196" s="3"/>
      <c r="AW196" s="3" t="str">
        <f ca="1">IFERROR(__xludf.DUMMYFUNCTION("GOOGLETRANSLATE(AX196,""en"",""ta"")"),"இலைகளை ஆமணக்கு எண்ணெயில் வறுத்து, புண்கள் மற்றும் மூட்டு வலிகளுக்குப் பூச வேண்டும். இலைச் சாற்றை ஆமணக்கு எண்ணெயில் கொதிக்க வைத்து, உள்ளே மலமிளக்கியாகக் கொடுக்க வேண்டும்.")</f>
        <v>இலைகளை ஆமணக்கு எண்ணெயில் வறுத்து, புண்கள் மற்றும் மூட்டு வலிகளுக்குப் பூச வேண்டும். இலைச் சாற்றை ஆமணக்கு எண்ணெயில் கொதிக்க வைத்து, உள்ளே மலமிளக்கியாகக் கொடுக்க வேண்டும்.</v>
      </c>
      <c r="AX196" s="4" t="s">
        <v>2405</v>
      </c>
      <c r="AY196" s="3"/>
      <c r="AZ196" s="3"/>
      <c r="BA196" s="3"/>
      <c r="BB196" s="3"/>
      <c r="BC196" s="3"/>
      <c r="BD196" s="3"/>
      <c r="BE196" s="3"/>
      <c r="BF196" s="3"/>
    </row>
    <row r="197" spans="1:58" ht="56" x14ac:dyDescent="0.15">
      <c r="A197" s="3">
        <v>196</v>
      </c>
      <c r="B197" s="3" t="str">
        <f ca="1">IFERROR(__xludf.DUMMYFUNCTION("GOOGLETRANSLATE(C197,""en"",""ta"")"),"டெல்பினியம் டெனுடேட்டம்")</f>
        <v>டெல்பினியம் டெனுடேட்டம்</v>
      </c>
      <c r="C197" s="4" t="s">
        <v>2406</v>
      </c>
      <c r="D197" s="3" t="str">
        <f ca="1">IFERROR(__xludf.DUMMYFUNCTION("GOOGLETRANSLATE(E197,""en"",""ta"")"),"விசாலகரணி")</f>
        <v>விசாலகரணி</v>
      </c>
      <c r="E197" s="4" t="s">
        <v>2407</v>
      </c>
      <c r="F197" s="3" t="str">
        <f ca="1">IFERROR(__xludf.DUMMYFUNCTION("GOOGLETRANSLATE(G197,""en"",""ta"")"),"#VALUE!")</f>
        <v>#VALUE!</v>
      </c>
      <c r="G197" s="3"/>
      <c r="H197" s="3" t="str">
        <f ca="1">IFERROR(__xludf.DUMMYFUNCTION("GOOGLETRANSLATE(I197,""en"",""ta"")"),"#VALUE!")</f>
        <v>#VALUE!</v>
      </c>
      <c r="I197" s="3"/>
      <c r="J197" s="3" t="str">
        <f ca="1">IFERROR(__xludf.DUMMYFUNCTION("GOOGLETRANSLATE(K197,""en"",""ta"")"),"#VALUE!")</f>
        <v>#VALUE!</v>
      </c>
      <c r="K197" s="3"/>
      <c r="L197" s="3" t="str">
        <f ca="1">IFERROR(__xludf.DUMMYFUNCTION("GOOGLETRANSLATE(M197,""en"",""ta"")"),"#VALUE!")</f>
        <v>#VALUE!</v>
      </c>
      <c r="M197" s="3"/>
      <c r="N197" s="3" t="str">
        <f ca="1">IFERROR(__xludf.DUMMYFUNCTION("GOOGLETRANSLATE(O197,""en"",""ta"")"),"ஜூட்வார்")</f>
        <v>ஜூட்வார்</v>
      </c>
      <c r="O197" s="4" t="s">
        <v>2408</v>
      </c>
      <c r="P197" s="3"/>
      <c r="Q197" s="3" t="str">
        <f ca="1">IFERROR(__xludf.DUMMYFUNCTION("GOOGLETRANSLATE(R197,""en"",""ta"")"),"மேற்கு இமயமலையில் பொதுவாகக் காணப்படும் உரோமங்களற்ற, சற்று கீழ்நோக்கிய மூலிகை. தண்டு கிளைத்திருக்கும். இலைகள் தீவிரமானவை, வட்ட வடிவமானவை, இறகு போன்ற மடல்கள் கொண்டவை மற்றும் பெரும்பாலும் பற்கள் கொண்டவை. நீண்ட உருளை வடிவ ஸ்பர்ஸில் பூக்கள் குறைவாக இருக்கும். "&amp;"பழ நுண்ணறை.")</f>
        <v>மேற்கு இமயமலையில் பொதுவாகக் காணப்படும் உரோமங்களற்ற, சற்று கீழ்நோக்கிய மூலிகை. தண்டு கிளைத்திருக்கும். இலைகள் தீவிரமானவை, வட்ட வடிவமானவை, இறகு போன்ற மடல்கள் கொண்டவை மற்றும் பெரும்பாலும் பற்கள் கொண்டவை. நீண்ட உருளை வடிவ ஸ்பர்ஸில் பூக்கள் குறைவாக இருக்கும். பழ நுண்ணறை.</v>
      </c>
      <c r="R197" s="4" t="s">
        <v>2409</v>
      </c>
      <c r="S197" s="3" t="str">
        <f ca="1">IFERROR(__xludf.DUMMYFUNCTION("GOOGLETRANSLATE(T197,""en"",""ta"")"),"#VALUE!")</f>
        <v>#VALUE!</v>
      </c>
      <c r="T197" s="3"/>
      <c r="U197" s="3" t="str">
        <f ca="1">IFERROR(__xludf.DUMMYFUNCTION("GOOGLETRANSLATE(V197,""en"",""ta"")"),"#VALUE!")</f>
        <v>#VALUE!</v>
      </c>
      <c r="V197" s="3"/>
      <c r="W197" s="3" t="str">
        <f ca="1">IFERROR(__xludf.DUMMYFUNCTION("GOOGLETRANSLATE(X197,""en"",""ta"")"),"#VALUE!")</f>
        <v>#VALUE!</v>
      </c>
      <c r="X197" s="3"/>
      <c r="Y197" s="3" t="str">
        <f ca="1">IFERROR(__xludf.DUMMYFUNCTION("GOOGLETRANSLATE(Z197,""en"",""ta"")"),"#VALUE!")</f>
        <v>#VALUE!</v>
      </c>
      <c r="Z197" s="3"/>
      <c r="AA197" s="3" t="str">
        <f ca="1">IFERROR(__xludf.DUMMYFUNCTION("GOOGLETRANSLATE(AB197,""en"",""ta"")"),"#VALUE!")</f>
        <v>#VALUE!</v>
      </c>
      <c r="AB197" s="3"/>
      <c r="AC197" s="3" t="str">
        <f ca="1">IFERROR(__xludf.DUMMYFUNCTION("GOOGLETRANSLATE(AD197,""en"",""ta"")"),"#VALUE!")</f>
        <v>#VALUE!</v>
      </c>
      <c r="AD197" s="3"/>
      <c r="AE197" s="3" t="str">
        <f ca="1">IFERROR(__xludf.DUMMYFUNCTION("GOOGLETRANSLATE(AF197,""en"",""ta"")"),"#VALUE!")</f>
        <v>#VALUE!</v>
      </c>
      <c r="AF197" s="3"/>
      <c r="AG197" s="3" t="str">
        <f ca="1">IFERROR(__xludf.DUMMYFUNCTION("GOOGLETRANSLATE(AH197,""en"",""ta"")"),"#VALUE!")</f>
        <v>#VALUE!</v>
      </c>
      <c r="AH197" s="3"/>
      <c r="AI197" s="3" t="str">
        <f ca="1">IFERROR(__xludf.DUMMYFUNCTION("GOOGLETRANSLATE(AJ197,""en"",""ta"")"),"#VALUE!")</f>
        <v>#VALUE!</v>
      </c>
      <c r="AJ197" s="3"/>
      <c r="AK197" s="3" t="str">
        <f ca="1">IFERROR(__xludf.DUMMYFUNCTION("GOOGLETRANSLATE(AL197,""en"",""ta"")"),"#VALUE!")</f>
        <v>#VALUE!</v>
      </c>
      <c r="AL197" s="3"/>
      <c r="AM197" s="3" t="str">
        <f ca="1">IFERROR(__xludf.DUMMYFUNCTION("GOOGLETRANSLATE(AN197,""en"",""ta"")"),"#VALUE!")</f>
        <v>#VALUE!</v>
      </c>
      <c r="AN197" s="3"/>
      <c r="AO197" s="3" t="str">
        <f ca="1">IFERROR(__xludf.DUMMYFUNCTION("GOOGLETRANSLATE(AP197,""en"",""ta"")"),"#VALUE!")</f>
        <v>#VALUE!</v>
      </c>
      <c r="AP197" s="3"/>
      <c r="AQ197" s="3"/>
      <c r="AR197" s="3" t="str">
        <f ca="1">IFERROR(__xludf.DUMMYFUNCTION("GOOGLETRANSLATE(AS197,""en"",""ta"")"),"மாற்று, வயிற்று, டானிக் மற்றும் அனோடைன்")</f>
        <v>மாற்று, வயிற்று, டானிக் மற்றும் அனோடைன்</v>
      </c>
      <c r="AS197" s="4" t="s">
        <v>2410</v>
      </c>
      <c r="AT197" s="3" t="str">
        <f ca="1">IFERROR(__xludf.DUMMYFUNCTION("GOOGLETRANSLATE(AU197,""en"",""ta"")"),"டெல்ஃபினைன், ஸ்டேஃபிசாக்ரின், ß-சிட்டோஸ்டெரால், மோனோஹைட்ரோ ஆல்கஹால், டைட்டர்பீனாய்டு, ஆல்கலாய்டு, காண்டல்ஃபைன், எனுடாடின்.")</f>
        <v>டெல்ஃபினைன், ஸ்டேஃபிசாக்ரின், ß-சிட்டோஸ்டெரால், மோனோஹைட்ரோ ஆல்கஹால், டைட்டர்பீனாய்டு, ஆல்கலாய்டு, காண்டல்ஃபைன், எனுடாடின்.</v>
      </c>
      <c r="AU197" s="4" t="s">
        <v>2411</v>
      </c>
      <c r="AV197" s="3"/>
      <c r="AW197" s="3" t="str">
        <f ca="1">IFERROR(__xludf.DUMMYFUNCTION("GOOGLETRANSLATE(AX197,""en"",""ta"")"),"பல் வலியைக் குணப்படுத்த வேரை மென்று சாப்பிடுவார்கள். காய்ச்சல் குணமடையும் போது வேர்க் குழம்பின் கஷாயம் ஒரு டானிக்காகக் கொடுக்கப்படுகிறது.")</f>
        <v>பல் வலியைக் குணப்படுத்த வேரை மென்று சாப்பிடுவார்கள். காய்ச்சல் குணமடையும் போது வேர்க் குழம்பின் கஷாயம் ஒரு டானிக்காகக் கொடுக்கப்படுகிறது.</v>
      </c>
      <c r="AX197" s="4" t="s">
        <v>2412</v>
      </c>
      <c r="AY197" s="3"/>
      <c r="AZ197" s="3"/>
      <c r="BA197" s="3"/>
      <c r="BB197" s="3"/>
      <c r="BC197" s="3"/>
      <c r="BD197" s="3"/>
      <c r="BE197" s="3"/>
      <c r="BF197" s="3"/>
    </row>
    <row r="198" spans="1:58" ht="56" x14ac:dyDescent="0.15">
      <c r="A198" s="3">
        <v>197</v>
      </c>
      <c r="B198" s="3" t="str">
        <f ca="1">IFERROR(__xludf.DUMMYFUNCTION("GOOGLETRANSLATE(C198,""en"",""ta"")"),"டெஸ்மோடியம் கஞ்செடிகம்")</f>
        <v>டெஸ்மோடியம் கஞ்செடிகம்</v>
      </c>
      <c r="C198" s="4" t="s">
        <v>2413</v>
      </c>
      <c r="D198" s="3" t="str">
        <f ca="1">IFERROR(__xludf.DUMMYFUNCTION("GOOGLETRANSLATE(E198,""en"",""ta"")"),"ஷாலபர்ணி")</f>
        <v>ஷாலபர்ணி</v>
      </c>
      <c r="E198" s="4" t="s">
        <v>2414</v>
      </c>
      <c r="F198" s="3" t="str">
        <f ca="1">IFERROR(__xludf.DUMMYFUNCTION("GOOGLETRANSLATE(G198,""en"",""ta"")"),"ஒரிலை")</f>
        <v>ஒரிலை</v>
      </c>
      <c r="G198" s="4" t="s">
        <v>2415</v>
      </c>
      <c r="H198" s="3" t="str">
        <f ca="1">IFERROR(__xludf.DUMMYFUNCTION("GOOGLETRANSLATE(I198,""en"",""ta"")"),"ஒற்றை இலை டிக்ட்ரெஃபாயில்")</f>
        <v>ஒற்றை இலை டிக்ட்ரெஃபாயில்</v>
      </c>
      <c r="I198" s="4" t="s">
        <v>2416</v>
      </c>
      <c r="J198" s="3" t="str">
        <f ca="1">IFERROR(__xludf.DUMMYFUNCTION("GOOGLETRANSLATE(K198,""en"",""ta"")"),"கீதா நரம்")</f>
        <v>கீதா நரம்</v>
      </c>
      <c r="K198" s="4" t="s">
        <v>2417</v>
      </c>
      <c r="L198" s="3" t="str">
        <f ca="1">IFERROR(__xludf.DUMMYFUNCTION("GOOGLETRANSLATE(M198,""en"",""ta"")"),"ஓரில்லா")</f>
        <v>ஓரில்லா</v>
      </c>
      <c r="M198" s="4" t="s">
        <v>2418</v>
      </c>
      <c r="N198" s="3" t="str">
        <f ca="1">IFERROR(__xludf.DUMMYFUNCTION("GOOGLETRANSLATE(O198,""en"",""ta"")"),"சரிவன்")</f>
        <v>சரிவன்</v>
      </c>
      <c r="O198" s="4" t="s">
        <v>2419</v>
      </c>
      <c r="P198" s="3"/>
      <c r="Q198" s="3" t="str">
        <f ca="1">IFERROR(__xludf.DUMMYFUNCTION("GOOGLETRANSLATE(R198,""en"",""ta"")"),"புதரின் அடிப்பகுதியில் கிட்டத்தட்ட நிமிர்ந்த தண்டு, உரோமங்களுடையது. இலைகள் எளிமையானவை, முட்டை வடிவானவை, முழுமையானவை, மழுங்கியவை அல்லது கூரியவை. பூக்கள் இளஞ்சிவப்பு நிறத்தில் ரேஸ்மி மஞ்சரியில் இருக்கும். பழங்கள் காய்கள், காம்பற்றவை, உரோமங்களுடையவை, வளைந்தவ"&amp;"ை மற்றும் ஃபால்கேட்.")</f>
        <v>புதரின் அடிப்பகுதியில் கிட்டத்தட்ட நிமிர்ந்த தண்டு, உரோமங்களுடையது. இலைகள் எளிமையானவை, முட்டை வடிவானவை, முழுமையானவை, மழுங்கியவை அல்லது கூரியவை. பூக்கள் இளஞ்சிவப்பு நிறத்தில் ரேஸ்மி மஞ்சரியில் இருக்கும். பழங்கள் காய்கள், காம்பற்றவை, உரோமங்களுடையவை, வளைந்தவை மற்றும் ஃபால்கேட்.</v>
      </c>
      <c r="R198" s="4" t="s">
        <v>2420</v>
      </c>
      <c r="S198" s="3" t="str">
        <f ca="1">IFERROR(__xludf.DUMMYFUNCTION("GOOGLETRANSLATE(T198,""en"",""ta"")"),"#VALUE!")</f>
        <v>#VALUE!</v>
      </c>
      <c r="T198" s="3"/>
      <c r="U198" s="3" t="str">
        <f ca="1">IFERROR(__xludf.DUMMYFUNCTION("GOOGLETRANSLATE(V198,""en"",""ta"")"),"#VALUE!")</f>
        <v>#VALUE!</v>
      </c>
      <c r="V198" s="3"/>
      <c r="W198" s="3" t="str">
        <f ca="1">IFERROR(__xludf.DUMMYFUNCTION("GOOGLETRANSLATE(X198,""en"",""ta"")"),"#VALUE!")</f>
        <v>#VALUE!</v>
      </c>
      <c r="X198" s="3"/>
      <c r="Y198" s="3" t="str">
        <f ca="1">IFERROR(__xludf.DUMMYFUNCTION("GOOGLETRANSLATE(Z198,""en"",""ta"")"),"#VALUE!")</f>
        <v>#VALUE!</v>
      </c>
      <c r="Z198" s="3"/>
      <c r="AA198" s="3" t="str">
        <f ca="1">IFERROR(__xludf.DUMMYFUNCTION("GOOGLETRANSLATE(AB198,""en"",""ta"")"),"#VALUE!")</f>
        <v>#VALUE!</v>
      </c>
      <c r="AB198" s="3"/>
      <c r="AC198" s="3" t="str">
        <f ca="1">IFERROR(__xludf.DUMMYFUNCTION("GOOGLETRANSLATE(AD198,""en"",""ta"")"),"#VALUE!")</f>
        <v>#VALUE!</v>
      </c>
      <c r="AD198" s="3"/>
      <c r="AE198" s="3" t="str">
        <f ca="1">IFERROR(__xludf.DUMMYFUNCTION("GOOGLETRANSLATE(AF198,""en"",""ta"")"),"#VALUE!")</f>
        <v>#VALUE!</v>
      </c>
      <c r="AF198" s="3"/>
      <c r="AG198" s="3" t="str">
        <f ca="1">IFERROR(__xludf.DUMMYFUNCTION("GOOGLETRANSLATE(AH198,""en"",""ta"")"),"#VALUE!")</f>
        <v>#VALUE!</v>
      </c>
      <c r="AH198" s="3"/>
      <c r="AI198" s="3" t="str">
        <f ca="1">IFERROR(__xludf.DUMMYFUNCTION("GOOGLETRANSLATE(AJ198,""en"",""ta"")"),"#VALUE!")</f>
        <v>#VALUE!</v>
      </c>
      <c r="AJ198" s="3"/>
      <c r="AK198" s="3" t="str">
        <f ca="1">IFERROR(__xludf.DUMMYFUNCTION("GOOGLETRANSLATE(AL198,""en"",""ta"")"),"#VALUE!")</f>
        <v>#VALUE!</v>
      </c>
      <c r="AL198" s="3"/>
      <c r="AM198" s="3" t="str">
        <f ca="1">IFERROR(__xludf.DUMMYFUNCTION("GOOGLETRANSLATE(AN198,""en"",""ta"")"),"#VALUE!")</f>
        <v>#VALUE!</v>
      </c>
      <c r="AN198" s="3"/>
      <c r="AO198" s="3" t="str">
        <f ca="1">IFERROR(__xludf.DUMMYFUNCTION("GOOGLETRANSLATE(AP198,""en"",""ta"")"),"#VALUE!")</f>
        <v>#VALUE!</v>
      </c>
      <c r="AP198" s="3"/>
      <c r="AQ198" s="3"/>
      <c r="AR198" s="3" t="str">
        <f ca="1">IFERROR(__xludf.DUMMYFUNCTION("GOOGLETRANSLATE(AS198,""en"",""ta"")"),"தெர்மோஜெனிக், நரம்பு மண்டல டானிக், ஆன்டெல்மிண்டிக், கார்டியாக் டானிக், அழற்சி எதிர்ப்பு, டையூரிடிக், இரத்தக் குழாய் அடைப்பு நீக்கி மற்றும் புத்துணர்ச்சியூட்டும்.")</f>
        <v>தெர்மோஜெனிக், நரம்பு மண்டல டானிக், ஆன்டெல்மிண்டிக், கார்டியாக் டானிக், அழற்சி எதிர்ப்பு, டையூரிடிக், இரத்தக் குழாய் அடைப்பு நீக்கி மற்றும் புத்துணர்ச்சியூட்டும்.</v>
      </c>
      <c r="AS198" s="4" t="s">
        <v>2421</v>
      </c>
      <c r="AT198" s="3" t="str">
        <f ca="1">IFERROR(__xludf.DUMMYFUNCTION("GOOGLETRANSLATE(AU198,""en"",""ta"")"),"டெஸ்மோடின், கஞ்செடினின், டெஸ்மோகார்பின், N, N-டைமெத்தில் டிரிப்டமைன், 5-மெத்தாக்ஸி-N, 3-டைமெத்தாக்ஸி டிரிப்டமைன்,")</f>
        <v>டெஸ்மோடின், கஞ்செடினின், டெஸ்மோகார்பின், N, N-டைமெத்தில் டிரிப்டமைன், 5-மெத்தாக்ஸி-N, 3-டைமெத்தாக்ஸி டிரிப்டமைன்,</v>
      </c>
      <c r="AU198" s="4" t="s">
        <v>2422</v>
      </c>
      <c r="AV198" s="3"/>
      <c r="AW198" s="3" t="str">
        <f ca="1">IFERROR(__xludf.DUMMYFUNCTION("GOOGLETRANSLATE(AX198,""en"",""ta"")"),"இந்த செடி மூல நோய்க்கு பூசணிக்காய் வடிவில் பயன்படுத்தப்படுகிறது. கண்களில் ஏற்படும் ஒளிபுகா தன்மையை நீக்க சாறு வடிக்கப்பட்டு கண்களில் விடப்படுகிறது.")</f>
        <v>இந்த செடி மூல நோய்க்கு பூசணிக்காய் வடிவில் பயன்படுத்தப்படுகிறது. கண்களில் ஏற்படும் ஒளிபுகா தன்மையை நீக்க சாறு வடிக்கப்பட்டு கண்களில் விடப்படுகிறது.</v>
      </c>
      <c r="AX198" s="4" t="s">
        <v>2423</v>
      </c>
      <c r="AY198" s="3"/>
      <c r="AZ198" s="3"/>
      <c r="BA198" s="3"/>
      <c r="BB198" s="3"/>
      <c r="BC198" s="3"/>
      <c r="BD198" s="3"/>
      <c r="BE198" s="3"/>
      <c r="BF198" s="3"/>
    </row>
    <row r="199" spans="1:58" ht="56" x14ac:dyDescent="0.15">
      <c r="A199" s="3">
        <v>198</v>
      </c>
      <c r="B199" s="3" t="str">
        <f ca="1">IFERROR(__xludf.DUMMYFUNCTION("GOOGLETRANSLATE(C199,""en"",""ta"")"),"டெஸ்மோடியம் ட்ரைஃப்ளோரம்")</f>
        <v>டெஸ்மோடியம் ட்ரைஃப்ளோரம்</v>
      </c>
      <c r="C199" s="4" t="s">
        <v>2424</v>
      </c>
      <c r="D199" s="3" t="str">
        <f ca="1">IFERROR(__xludf.DUMMYFUNCTION("GOOGLETRANSLATE(E199,""en"",""ta"")"),"ப்ருஷ்ணபர்ணி")</f>
        <v>ப்ருஷ்ணபர்ணி</v>
      </c>
      <c r="E199" s="4" t="s">
        <v>2425</v>
      </c>
      <c r="F199" s="3" t="str">
        <f ca="1">IFERROR(__xludf.DUMMYFUNCTION("GOOGLETRANSLATE(G199,""en"",""ta"")"),"மூவிளை")</f>
        <v>மூவிளை</v>
      </c>
      <c r="G199" s="4" t="s">
        <v>2426</v>
      </c>
      <c r="H199" s="3" t="str">
        <f ca="1">IFERROR(__xludf.DUMMYFUNCTION("GOOGLETRANSLATE(I199,""en"",""ta"")"),"3 இலைகள் கொண்ட டெஸ்மோடியம்")</f>
        <v>3 இலைகள் கொண்ட டெஸ்மோடியம்</v>
      </c>
      <c r="I199" s="4" t="s">
        <v>2427</v>
      </c>
      <c r="J199" s="3" t="str">
        <f ca="1">IFERROR(__xludf.DUMMYFUNCTION("GOOGLETRANSLATE(K199,""en"",""ta"")"),"முன்டா மண்டு")</f>
        <v>முன்டா மண்டு</v>
      </c>
      <c r="K199" s="4" t="s">
        <v>2428</v>
      </c>
      <c r="L199" s="3" t="str">
        <f ca="1">IFERROR(__xludf.DUMMYFUNCTION("GOOGLETRANSLATE(M199,""en"",""ta"")"),"முன்டா மண்டு")</f>
        <v>முன்டா மண்டு</v>
      </c>
      <c r="M199" s="4" t="s">
        <v>2428</v>
      </c>
      <c r="N199" s="3" t="str">
        <f ca="1">IFERROR(__xludf.DUMMYFUNCTION("GOOGLETRANSLATE(O199,""en"",""ta"")"),"குடலியா")</f>
        <v>குடலியா</v>
      </c>
      <c r="O199" s="4" t="s">
        <v>2429</v>
      </c>
      <c r="P199" s="3"/>
      <c r="Q199" s="3" t="str">
        <f ca="1">IFERROR(__xludf.DUMMYFUNCTION("GOOGLETRANSLATE(R199,""en"",""ta"")"),"ஒரு கீழ் புதர், 3 சிற்றிலைகள், சிறியது, ஒன்றுக்கு மேல் நீளமில்லாதது, சிற்றிலைகள் முட்டை வடிவானது, ஆப்பு வடிவமானது, நுனியில் வெட்டு விளிம்பு வடிவானது. பழங்கள் காய்கள். விதைகள் சுருக்கப்பட்டவை.")</f>
        <v>ஒரு கீழ் புதர், 3 சிற்றிலைகள், சிறியது, ஒன்றுக்கு மேல் நீளமில்லாதது, சிற்றிலைகள் முட்டை வடிவானது, ஆப்பு வடிவமானது, நுனியில் வெட்டு விளிம்பு வடிவானது. பழங்கள் காய்கள். விதைகள் சுருக்கப்பட்டவை.</v>
      </c>
      <c r="R199" s="4" t="s">
        <v>2430</v>
      </c>
      <c r="S199" s="3" t="str">
        <f ca="1">IFERROR(__xludf.DUMMYFUNCTION("GOOGLETRANSLATE(T199,""en"",""ta"")"),"#VALUE!")</f>
        <v>#VALUE!</v>
      </c>
      <c r="T199" s="3"/>
      <c r="U199" s="3" t="str">
        <f ca="1">IFERROR(__xludf.DUMMYFUNCTION("GOOGLETRANSLATE(V199,""en"",""ta"")"),"#VALUE!")</f>
        <v>#VALUE!</v>
      </c>
      <c r="V199" s="3"/>
      <c r="W199" s="3" t="str">
        <f ca="1">IFERROR(__xludf.DUMMYFUNCTION("GOOGLETRANSLATE(X199,""en"",""ta"")"),"#VALUE!")</f>
        <v>#VALUE!</v>
      </c>
      <c r="X199" s="3"/>
      <c r="Y199" s="3" t="str">
        <f ca="1">IFERROR(__xludf.DUMMYFUNCTION("GOOGLETRANSLATE(Z199,""en"",""ta"")"),"#VALUE!")</f>
        <v>#VALUE!</v>
      </c>
      <c r="Z199" s="3"/>
      <c r="AA199" s="3" t="str">
        <f ca="1">IFERROR(__xludf.DUMMYFUNCTION("GOOGLETRANSLATE(AB199,""en"",""ta"")"),"#VALUE!")</f>
        <v>#VALUE!</v>
      </c>
      <c r="AB199" s="3"/>
      <c r="AC199" s="3" t="str">
        <f ca="1">IFERROR(__xludf.DUMMYFUNCTION("GOOGLETRANSLATE(AD199,""en"",""ta"")"),"#VALUE!")</f>
        <v>#VALUE!</v>
      </c>
      <c r="AD199" s="3"/>
      <c r="AE199" s="3" t="str">
        <f ca="1">IFERROR(__xludf.DUMMYFUNCTION("GOOGLETRANSLATE(AF199,""en"",""ta"")"),"#VALUE!")</f>
        <v>#VALUE!</v>
      </c>
      <c r="AF199" s="3"/>
      <c r="AG199" s="3" t="str">
        <f ca="1">IFERROR(__xludf.DUMMYFUNCTION("GOOGLETRANSLATE(AH199,""en"",""ta"")"),"#VALUE!")</f>
        <v>#VALUE!</v>
      </c>
      <c r="AH199" s="3"/>
      <c r="AI199" s="3" t="str">
        <f ca="1">IFERROR(__xludf.DUMMYFUNCTION("GOOGLETRANSLATE(AJ199,""en"",""ta"")"),"#VALUE!")</f>
        <v>#VALUE!</v>
      </c>
      <c r="AJ199" s="3"/>
      <c r="AK199" s="3" t="str">
        <f ca="1">IFERROR(__xludf.DUMMYFUNCTION("GOOGLETRANSLATE(AL199,""en"",""ta"")"),"#VALUE!")</f>
        <v>#VALUE!</v>
      </c>
      <c r="AL199" s="3"/>
      <c r="AM199" s="3" t="str">
        <f ca="1">IFERROR(__xludf.DUMMYFUNCTION("GOOGLETRANSLATE(AN199,""en"",""ta"")"),"#VALUE!")</f>
        <v>#VALUE!</v>
      </c>
      <c r="AN199" s="3"/>
      <c r="AO199" s="3" t="str">
        <f ca="1">IFERROR(__xludf.DUMMYFUNCTION("GOOGLETRANSLATE(AP199,""en"",""ta"")"),"#VALUE!")</f>
        <v>#VALUE!</v>
      </c>
      <c r="AP199" s="3"/>
      <c r="AQ199" s="3"/>
      <c r="AR199" s="3" t="str">
        <f ca="1">IFERROR(__xludf.DUMMYFUNCTION("GOOGLETRANSLATE(AS199,""en"",""ta"")"),"கார்மினேட்டிவ், டானிக், டையூரிடிக் மற்றும் கேலக்டோகாக்.")</f>
        <v>கார்மினேட்டிவ், டானிக், டையூரிடிக் மற்றும் கேலக்டோகாக்.</v>
      </c>
      <c r="AS199" s="4" t="s">
        <v>2431</v>
      </c>
      <c r="AT199" s="3" t="str">
        <f ca="1">IFERROR(__xludf.DUMMYFUNCTION("GOOGLETRANSLATE(AU199,""en"",""ta"")"),"ஃபீனெதிலமைன்கள், ஸ்டாக்ஹைட்ரின், டைரமைன், இண்டோல்-3-அசிட்டிக் அமிலம், கோலின், டிரைகோனெல்லின், N,–டைமெத்தில் டிரிப்டோபான், ஹைபாஃபோரின்.")</f>
        <v>ஃபீனெதிலமைன்கள், ஸ்டாக்ஹைட்ரின், டைரமைன், இண்டோல்-3-அசிட்டிக் அமிலம், கோலின், டிரைகோனெல்லின், N,–டைமெத்தில் டிரிப்டோபான், ஹைபாஃபோரின்.</v>
      </c>
      <c r="AU199" s="4" t="s">
        <v>2432</v>
      </c>
      <c r="AV199" s="3"/>
      <c r="AW199" s="3" t="str">
        <f ca="1">IFERROR(__xludf.DUMMYFUNCTION("GOOGLETRANSLATE(AX199,""en"",""ta"")"),"அஜீரணக் கோளாறு காரணமாக ஏற்படும் வயிற்றுப்போக்குக்கு குழந்தைகளுக்கு இலைச்சாறு கொடுக்கப்படுகிறது. புதிய தாவரச் சாறு சீழ்ப்பிடிப்பு 
மற்றும் எளிதில் குணமடையாத காயங்களுக்குப் பயன்படுத்தப்படுகிறது.")</f>
        <v>அஜீரணக் கோளாறு காரணமாக ஏற்படும் வயிற்றுப்போக்குக்கு குழந்தைகளுக்கு இலைச்சாறு கொடுக்கப்படுகிறது. புதிய தாவரச் சாறு சீழ்ப்பிடிப்பு 
மற்றும் எளிதில் குணமடையாத காயங்களுக்குப் பயன்படுத்தப்படுகிறது.</v>
      </c>
      <c r="AX199" s="4" t="s">
        <v>2433</v>
      </c>
      <c r="AY199" s="3"/>
      <c r="AZ199" s="3"/>
      <c r="BA199" s="3"/>
      <c r="BB199" s="3"/>
      <c r="BC199" s="3"/>
      <c r="BD199" s="3"/>
      <c r="BE199" s="3"/>
      <c r="BF199" s="3"/>
    </row>
    <row r="200" spans="1:58" ht="56" x14ac:dyDescent="0.15">
      <c r="A200" s="3">
        <v>199</v>
      </c>
      <c r="B200" s="3" t="str">
        <f ca="1">IFERROR(__xludf.DUMMYFUNCTION("GOOGLETRANSLATE(C200,""en"",""ta"")"),"டைக்ரோஸ்டாக்கிஸ் சினீரியா")</f>
        <v>டைக்ரோஸ்டாக்கிஸ் சினீரியா</v>
      </c>
      <c r="C200" s="4" t="s">
        <v>2434</v>
      </c>
      <c r="D200" s="3" t="str">
        <f ca="1">IFERROR(__xludf.DUMMYFUNCTION("GOOGLETRANSLATE(E200,""en"",""ta"")"),"வீர விருக்ஷம்")</f>
        <v>வீர விருக்ஷம்</v>
      </c>
      <c r="E200" s="4" t="s">
        <v>2435</v>
      </c>
      <c r="F200" s="3" t="str">
        <f ca="1">IFERROR(__xludf.DUMMYFUNCTION("GOOGLETRANSLATE(G200,""en"",""ta"")"),"விதத்தலை")</f>
        <v>விதத்தலை</v>
      </c>
      <c r="G200" s="4" t="s">
        <v>2436</v>
      </c>
      <c r="H200" s="3" t="str">
        <f ca="1">IFERROR(__xludf.DUMMYFUNCTION("GOOGLETRANSLATE(I200,""en"",""ta"")"),"யாம்")</f>
        <v>யாம்</v>
      </c>
      <c r="I200" s="4" t="s">
        <v>2437</v>
      </c>
      <c r="J200" s="3" t="str">
        <f ca="1">IFERROR(__xludf.DUMMYFUNCTION("GOOGLETRANSLATE(K200,""en"",""ta"")"),"அடவி தும்பா")</f>
        <v>அடவி தும்பா</v>
      </c>
      <c r="K200" s="4" t="s">
        <v>2438</v>
      </c>
      <c r="L200" s="3" t="str">
        <f ca="1">IFERROR(__xludf.DUMMYFUNCTION("GOOGLETRANSLATE(M200,""en"",""ta"")"),"வடத்தல்லா")</f>
        <v>வடத்தல்லா</v>
      </c>
      <c r="M200" s="4" t="s">
        <v>2439</v>
      </c>
      <c r="N200" s="3" t="str">
        <f ca="1">IFERROR(__xludf.DUMMYFUNCTION("GOOGLETRANSLATE(O200,""en"",""ta"")"),"வுர்டுலி")</f>
        <v>வுர்டுலி</v>
      </c>
      <c r="O200" s="4" t="s">
        <v>2440</v>
      </c>
      <c r="P200" s="3"/>
      <c r="Q200" s="3" t="str">
        <f ca="1">IFERROR(__xludf.DUMMYFUNCTION("GOOGLETRANSLATE(R200,""en"",""ta"")"),"ஒரு முள் புதர், பெரும்பாலும் கரகரப்பான தண்டு மற்றும் முட்கள் நிறைந்த கிளைகள், அழகான குஞ்சம் போன்ற பூக்கள், முறுக்கப்பட்ட காய்கள் மற்றும் மிகச் சிறிய உரோமங்களுடைய சிற்றிலைகள். பட்டை சாம்பல் அல்லது வெளிர் பழுப்பு, மர சிவப்பு கோடுகளுடன் கருப்பு.")</f>
        <v>ஒரு முள் புதர், பெரும்பாலும் கரகரப்பான தண்டு மற்றும் முட்கள் நிறைந்த கிளைகள், அழகான குஞ்சம் போன்ற பூக்கள், முறுக்கப்பட்ட காய்கள் மற்றும் மிகச் சிறிய உரோமங்களுடைய சிற்றிலைகள். பட்டை சாம்பல் அல்லது வெளிர் பழுப்பு, மர சிவப்பு கோடுகளுடன் கருப்பு.</v>
      </c>
      <c r="R200" s="4" t="s">
        <v>2441</v>
      </c>
      <c r="S200" s="3" t="str">
        <f ca="1">IFERROR(__xludf.DUMMYFUNCTION("GOOGLETRANSLATE(T200,""en"",""ta"")"),"#VALUE!")</f>
        <v>#VALUE!</v>
      </c>
      <c r="T200" s="3"/>
      <c r="U200" s="3" t="str">
        <f ca="1">IFERROR(__xludf.DUMMYFUNCTION("GOOGLETRANSLATE(V200,""en"",""ta"")"),"#VALUE!")</f>
        <v>#VALUE!</v>
      </c>
      <c r="V200" s="3"/>
      <c r="W200" s="3" t="str">
        <f ca="1">IFERROR(__xludf.DUMMYFUNCTION("GOOGLETRANSLATE(X200,""en"",""ta"")"),"#VALUE!")</f>
        <v>#VALUE!</v>
      </c>
      <c r="X200" s="3"/>
      <c r="Y200" s="3" t="str">
        <f ca="1">IFERROR(__xludf.DUMMYFUNCTION("GOOGLETRANSLATE(Z200,""en"",""ta"")"),"#VALUE!")</f>
        <v>#VALUE!</v>
      </c>
      <c r="Z200" s="3"/>
      <c r="AA200" s="3" t="str">
        <f ca="1">IFERROR(__xludf.DUMMYFUNCTION("GOOGLETRANSLATE(AB200,""en"",""ta"")"),"#VALUE!")</f>
        <v>#VALUE!</v>
      </c>
      <c r="AB200" s="3"/>
      <c r="AC200" s="3" t="str">
        <f ca="1">IFERROR(__xludf.DUMMYFUNCTION("GOOGLETRANSLATE(AD200,""en"",""ta"")"),"#VALUE!")</f>
        <v>#VALUE!</v>
      </c>
      <c r="AD200" s="3"/>
      <c r="AE200" s="3" t="str">
        <f ca="1">IFERROR(__xludf.DUMMYFUNCTION("GOOGLETRANSLATE(AF200,""en"",""ta"")"),"#VALUE!")</f>
        <v>#VALUE!</v>
      </c>
      <c r="AF200" s="3"/>
      <c r="AG200" s="3" t="str">
        <f ca="1">IFERROR(__xludf.DUMMYFUNCTION("GOOGLETRANSLATE(AH200,""en"",""ta"")"),"#VALUE!")</f>
        <v>#VALUE!</v>
      </c>
      <c r="AH200" s="3"/>
      <c r="AI200" s="3" t="str">
        <f ca="1">IFERROR(__xludf.DUMMYFUNCTION("GOOGLETRANSLATE(AJ200,""en"",""ta"")"),"#VALUE!")</f>
        <v>#VALUE!</v>
      </c>
      <c r="AJ200" s="3"/>
      <c r="AK200" s="3" t="str">
        <f ca="1">IFERROR(__xludf.DUMMYFUNCTION("GOOGLETRANSLATE(AL200,""en"",""ta"")"),"#VALUE!")</f>
        <v>#VALUE!</v>
      </c>
      <c r="AL200" s="3"/>
      <c r="AM200" s="3" t="str">
        <f ca="1">IFERROR(__xludf.DUMMYFUNCTION("GOOGLETRANSLATE(AN200,""en"",""ta"")"),"#VALUE!")</f>
        <v>#VALUE!</v>
      </c>
      <c r="AN200" s="3"/>
      <c r="AO200" s="3" t="str">
        <f ca="1">IFERROR(__xludf.DUMMYFUNCTION("GOOGLETRANSLATE(AP200,""en"",""ta"")"),"#VALUE!")</f>
        <v>#VALUE!</v>
      </c>
      <c r="AP200" s="3"/>
      <c r="AQ200" s="3"/>
      <c r="AR200" s="3" t="str">
        <f ca="1">IFERROR(__xludf.DUMMYFUNCTION("GOOGLETRANSLATE(AS200,""en"",""ta"")"),"அழற்சி எதிர்ப்பு, துவர்ப்பு மருந்து.")</f>
        <v>அழற்சி எதிர்ப்பு, துவர்ப்பு மருந்து.</v>
      </c>
      <c r="AS200" s="4" t="s">
        <v>2442</v>
      </c>
      <c r="AT200" s="3" t="str">
        <f ca="1">IFERROR(__xludf.DUMMYFUNCTION("GOOGLETRANSLATE(AU200,""en"",""ta"")"),"ஃப்ரீடெலின், ஏ-அமிரின், ஃப்ரீடெலன்-3-ஒன், ஆக்டோகோசனோல், ஹென்ட்ரியாகோன்டனோல், பி-சிட்டோஸ்டெரால்.")</f>
        <v>ஃப்ரீடெலின், ஏ-அமிரின், ஃப்ரீடெலன்-3-ஒன், ஆக்டோகோசனோல், ஹென்ட்ரியாகோன்டனோல், பி-சிட்டோஸ்டெரால்.</v>
      </c>
      <c r="AU200" s="4" t="s">
        <v>2443</v>
      </c>
      <c r="AV200" s="3"/>
      <c r="AW200" s="3" t="str">
        <f ca="1">IFERROR(__xludf.DUMMYFUNCTION("GOOGLETRANSLATE(AX200,""en"",""ta"")"),"கண் நோய் ஏற்பட்டால் இளம் தளிர்கள் நசுக்கப்பட்டு கண்களில் தடவப்படுகின்றன. வாத நோய்க்கு வேர் பசை முழங்கால் மூட்டுகளில் தடவப்படுகிறது.")</f>
        <v>கண் நோய் ஏற்பட்டால் இளம் தளிர்கள் நசுக்கப்பட்டு கண்களில் தடவப்படுகின்றன. வாத நோய்க்கு வேர் பசை முழங்கால் மூட்டுகளில் தடவப்படுகிறது.</v>
      </c>
      <c r="AX200" s="4" t="s">
        <v>2444</v>
      </c>
      <c r="AY200" s="3"/>
      <c r="AZ200" s="3"/>
      <c r="BA200" s="3"/>
      <c r="BB200" s="3"/>
      <c r="BC200" s="3"/>
      <c r="BD200" s="3"/>
      <c r="BE200" s="3"/>
      <c r="BF200" s="3"/>
    </row>
    <row r="201" spans="1:58" ht="84" x14ac:dyDescent="0.15">
      <c r="A201" s="3">
        <v>200</v>
      </c>
      <c r="B201" s="3" t="str">
        <f ca="1">IFERROR(__xludf.DUMMYFUNCTION("GOOGLETRANSLATE(C201,""en"",""ta"")"),"டிஜிட்டல் பர்ப்யூரியா")</f>
        <v>டிஜிட்டல் பர்ப்யூரியா</v>
      </c>
      <c r="C201" s="4" t="s">
        <v>2445</v>
      </c>
      <c r="D201" s="3" t="str">
        <f ca="1">IFERROR(__xludf.DUMMYFUNCTION("GOOGLETRANSLATE(E201,""en"",""ta"")"),"இல்லை")</f>
        <v>இல்லை</v>
      </c>
      <c r="E201" s="3" t="s">
        <v>46</v>
      </c>
      <c r="F201" s="3" t="str">
        <f ca="1">IFERROR(__xludf.DUMMYFUNCTION("GOOGLETRANSLATE(G201,""en"",""ta"")"),"நாரி புகேலை")</f>
        <v>நாரி புகேலை</v>
      </c>
      <c r="G201" s="4" t="s">
        <v>2446</v>
      </c>
      <c r="H201" s="3" t="str">
        <f ca="1">IFERROR(__xludf.DUMMYFUNCTION("GOOGLETRANSLATE(I201,""en"",""ta"")"),"நரி கையுறை")</f>
        <v>நரி கையுறை</v>
      </c>
      <c r="I201" s="4" t="s">
        <v>2447</v>
      </c>
      <c r="J201" s="3" t="str">
        <f ca="1">IFERROR(__xludf.DUMMYFUNCTION("GOOGLETRANSLATE(K201,""en"",""ta"")"),"இல்லை")</f>
        <v>இல்லை</v>
      </c>
      <c r="K201" s="3" t="s">
        <v>46</v>
      </c>
      <c r="L201" s="3" t="str">
        <f ca="1">IFERROR(__xludf.DUMMYFUNCTION("GOOGLETRANSLATE(M201,""en"",""ta"")"),"இல்லை")</f>
        <v>இல்லை</v>
      </c>
      <c r="M201" s="3" t="s">
        <v>46</v>
      </c>
      <c r="N201" s="3" t="str">
        <f ca="1">IFERROR(__xludf.DUMMYFUNCTION("GOOGLETRANSLATE(O201,""en"",""ta"")"),"இல்லை")</f>
        <v>இல்லை</v>
      </c>
      <c r="O201" s="3" t="s">
        <v>46</v>
      </c>
      <c r="P201" s="3"/>
      <c r="Q201" s="3" t="str">
        <f ca="1">IFERROR(__xludf.DUMMYFUNCTION("GOOGLETRANSLATE(R201,""en"",""ta"")"),"இரண்டு ஆண்டுகளுக்கு ஒருமுறை வளரும், சில சமயங்களில் வற்றாத மூலிகை. இலைகள் எளிமையானவை, தீவிரமான, சற்று கீழ் இலைகளைக் கொண்ட ரொசெட்டாக இருக்கும், முட்டை வடிவானது முதல் ஈட்டி வடிவானது, இறக்கைகள் கொண்ட இலைக்காம்புடன் இருக்கும். மஞ்சரி ஒரு பக்க ரேசீம் ஆகும். மலர"&amp;"்கள் குழாய் வடிவானது, ஊதா, மஞ்சள் அல்லது வெள்ளை. விதைகள் சிறியவை.")</f>
        <v>இரண்டு ஆண்டுகளுக்கு ஒருமுறை வளரும், சில சமயங்களில் வற்றாத மூலிகை. இலைகள் எளிமையானவை, தீவிரமான, சற்று கீழ் இலைகளைக் கொண்ட ரொசெட்டாக இருக்கும், முட்டை வடிவானது முதல் ஈட்டி வடிவானது, இறக்கைகள் கொண்ட இலைக்காம்புடன் இருக்கும். மஞ்சரி ஒரு பக்க ரேசீம் ஆகும். மலர்கள் குழாய் வடிவானது, ஊதா, மஞ்சள் அல்லது வெள்ளை. விதைகள் சிறியவை.</v>
      </c>
      <c r="R201" s="4" t="s">
        <v>2448</v>
      </c>
      <c r="S201" s="3" t="str">
        <f ca="1">IFERROR(__xludf.DUMMYFUNCTION("GOOGLETRANSLATE(T201,""en"",""ta"")"),"#VALUE!")</f>
        <v>#VALUE!</v>
      </c>
      <c r="T201" s="3"/>
      <c r="U201" s="3" t="str">
        <f ca="1">IFERROR(__xludf.DUMMYFUNCTION("GOOGLETRANSLATE(V201,""en"",""ta"")"),"#VALUE!")</f>
        <v>#VALUE!</v>
      </c>
      <c r="V201" s="3"/>
      <c r="W201" s="3" t="str">
        <f ca="1">IFERROR(__xludf.DUMMYFUNCTION("GOOGLETRANSLATE(X201,""en"",""ta"")"),"#VALUE!")</f>
        <v>#VALUE!</v>
      </c>
      <c r="X201" s="3"/>
      <c r="Y201" s="3" t="str">
        <f ca="1">IFERROR(__xludf.DUMMYFUNCTION("GOOGLETRANSLATE(Z201,""en"",""ta"")"),"#VALUE!")</f>
        <v>#VALUE!</v>
      </c>
      <c r="Z201" s="3"/>
      <c r="AA201" s="3" t="str">
        <f ca="1">IFERROR(__xludf.DUMMYFUNCTION("GOOGLETRANSLATE(AB201,""en"",""ta"")"),"#VALUE!")</f>
        <v>#VALUE!</v>
      </c>
      <c r="AB201" s="3"/>
      <c r="AC201" s="3" t="str">
        <f ca="1">IFERROR(__xludf.DUMMYFUNCTION("GOOGLETRANSLATE(AD201,""en"",""ta"")"),"#VALUE!")</f>
        <v>#VALUE!</v>
      </c>
      <c r="AD201" s="3"/>
      <c r="AE201" s="3" t="str">
        <f ca="1">IFERROR(__xludf.DUMMYFUNCTION("GOOGLETRANSLATE(AF201,""en"",""ta"")"),"#VALUE!")</f>
        <v>#VALUE!</v>
      </c>
      <c r="AF201" s="3"/>
      <c r="AG201" s="3" t="str">
        <f ca="1">IFERROR(__xludf.DUMMYFUNCTION("GOOGLETRANSLATE(AH201,""en"",""ta"")"),"#VALUE!")</f>
        <v>#VALUE!</v>
      </c>
      <c r="AH201" s="3"/>
      <c r="AI201" s="3" t="str">
        <f ca="1">IFERROR(__xludf.DUMMYFUNCTION("GOOGLETRANSLATE(AJ201,""en"",""ta"")"),"#VALUE!")</f>
        <v>#VALUE!</v>
      </c>
      <c r="AJ201" s="3"/>
      <c r="AK201" s="3" t="str">
        <f ca="1">IFERROR(__xludf.DUMMYFUNCTION("GOOGLETRANSLATE(AL201,""en"",""ta"")"),"#VALUE!")</f>
        <v>#VALUE!</v>
      </c>
      <c r="AL201" s="3"/>
      <c r="AM201" s="3" t="str">
        <f ca="1">IFERROR(__xludf.DUMMYFUNCTION("GOOGLETRANSLATE(AN201,""en"",""ta"")"),"#VALUE!")</f>
        <v>#VALUE!</v>
      </c>
      <c r="AN201" s="3"/>
      <c r="AO201" s="3" t="str">
        <f ca="1">IFERROR(__xludf.DUMMYFUNCTION("GOOGLETRANSLATE(AP201,""en"",""ta"")"),"#VALUE!")</f>
        <v>#VALUE!</v>
      </c>
      <c r="AP201" s="3"/>
      <c r="AQ201" s="3"/>
      <c r="AR201" s="3" t="str">
        <f ca="1">IFERROR(__xludf.DUMMYFUNCTION("GOOGLETRANSLATE(AS201,""en"",""ta"")"),"இதய டானிக், டையூரிடிக்")</f>
        <v>இதய டானிக், டையூரிடிக்</v>
      </c>
      <c r="AS201" s="4" t="s">
        <v>2449</v>
      </c>
      <c r="AT201" s="3" t="str">
        <f ca="1">IFERROR(__xludf.DUMMYFUNCTION("GOOGLETRANSLATE(AU201,""en"",""ta"")"),"கார்டியாக் குளுக்கோசைடு, டிஜிடாக்சின், கிடாக்சின், சைக்ளோயூகலனோல், பர்ப்யூரியாகிடோசைடு, அபிஜெனின், சைக்ளோஆர்டெனோல், கேம்பஸ்டெரோல், ஸ்டிக்மாஸ்டரோல், லுடியோலின், டிஜிடோலுடீன், டிஜிடோபர்போன், ஃபோமரின்.")</f>
        <v>கார்டியாக் குளுக்கோசைடு, டிஜிடாக்சின், கிடாக்சின், சைக்ளோயூகலனோல், பர்ப்யூரியாகிடோசைடு, அபிஜெனின், சைக்ளோஆர்டெனோல், கேம்பஸ்டெரோல், ஸ்டிக்மாஸ்டரோல், லுடியோலின், டிஜிடோலுடீன், டிஜிடோபர்போன், ஃபோமரின்.</v>
      </c>
      <c r="AU201" s="4" t="s">
        <v>2450</v>
      </c>
      <c r="AV201" s="3"/>
      <c r="AW201" s="3" t="str">
        <f ca="1">IFERROR(__xludf.DUMMYFUNCTION("GOOGLETRANSLATE(AX201,""en"",""ta"")"),"இதய செயலிழப்புக்கு சிகிச்சையளிக்க டிஜிடாக்சின் யு.எஸ்.பி. பயன்படுத்தப்படுகிறது. இது இதய செயலிழப்பு, ஆரிகுலர் படபடப்பு மற்றும் விரைவான ஆரிகுலர் ஃபைப்ரிலேஷன் ஆகியவற்றில் மாரடைப்பு தூண்டுதலாகப் பயன்படுத்தப்படுகிறது.")</f>
        <v>இதய செயலிழப்புக்கு சிகிச்சையளிக்க டிஜிடாக்சின் யு.எஸ்.பி. பயன்படுத்தப்படுகிறது. இது இதய செயலிழப்பு, ஆரிகுலர் படபடப்பு மற்றும் விரைவான ஆரிகுலர் ஃபைப்ரிலேஷன் ஆகியவற்றில் மாரடைப்பு தூண்டுதலாகப் பயன்படுத்தப்படுகிறது.</v>
      </c>
      <c r="AX201" s="4" t="s">
        <v>2451</v>
      </c>
      <c r="AY201" s="3"/>
      <c r="AZ201" s="3"/>
      <c r="BA201" s="3"/>
      <c r="BB201" s="3"/>
      <c r="BC201" s="3"/>
      <c r="BD201" s="3"/>
      <c r="BE201" s="3"/>
      <c r="BF201" s="3"/>
    </row>
    <row r="202" spans="1:58" ht="14" x14ac:dyDescent="0.15">
      <c r="Y202" s="3" t="str">
        <f ca="1">IFERROR(__xludf.DUMMYFUNCTION("GOOGLETRANSLATE(Z202,""en"",""ta"")"),"#VALUE!")</f>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SREE SHARMILA T</cp:lastModifiedBy>
  <dcterms:created xsi:type="dcterms:W3CDTF">2026-04-06T16:50:57Z</dcterms:created>
  <dcterms:modified xsi:type="dcterms:W3CDTF">2026-08-23T16:25:10Z</dcterms:modified>
</cp:coreProperties>
</file>